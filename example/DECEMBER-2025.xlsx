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LI\madam\NASIB\document\mdm\2025\"/>
    </mc:Choice>
  </mc:AlternateContent>
  <xr:revisionPtr revIDLastSave="0" documentId="13_ncr:1_{FDDF4BA6-8C2A-41C1-85E2-A7194629332E}" xr6:coauthVersionLast="36" xr6:coauthVersionMax="36" xr10:uidLastSave="{00000000-0000-0000-0000-000000000000}"/>
  <bookViews>
    <workbookView xWindow="0" yWindow="0" windowWidth="20490" windowHeight="7500" tabRatio="598" xr2:uid="{00000000-000D-0000-FFFF-FFFF00000000}"/>
  </bookViews>
  <sheets>
    <sheet name="39-6-OZ" sheetId="1" r:id="rId1"/>
    <sheet name="20 X10 " sheetId="20" r:id="rId2"/>
    <sheet name="38-8.12-OZ " sheetId="4" r:id="rId3"/>
    <sheet name="44-8.12 OZ (2)" sheetId="63" r:id="rId4"/>
    <sheet name="44-8.12 OZ" sheetId="46" r:id="rId5"/>
    <sheet name="40-4.5-OZ" sheetId="5" r:id="rId6"/>
    <sheet name="36-4.05 OZ" sheetId="44" r:id="rId7"/>
    <sheet name="34-9.82" sheetId="45" r:id="rId8"/>
    <sheet name="44-5 OZ (2)" sheetId="62" r:id="rId9"/>
    <sheet name="44-5 OZ" sheetId="61" r:id="rId10"/>
    <sheet name="54-6.5" sheetId="6" r:id="rId11"/>
    <sheet name="44-7.15 " sheetId="7" r:id="rId12"/>
    <sheet name="48-8.4-OZ  " sheetId="8" r:id="rId13"/>
    <sheet name="40-6.5" sheetId="9" r:id="rId14"/>
    <sheet name="51-11.36-OZ " sheetId="10" r:id="rId15"/>
    <sheet name="48-7.80 EXP" sheetId="24" r:id="rId16"/>
    <sheet name="40-5-OZ-EXP" sheetId="11" r:id="rId17"/>
    <sheet name="EXPORT " sheetId="12" r:id="rId18"/>
    <sheet name="48-6 EXPORT" sheetId="13" r:id="rId19"/>
    <sheet name="TYPE A GOV" sheetId="14" r:id="rId20"/>
    <sheet name="767 GMS 500 PCS" sheetId="15" r:id="rId21"/>
    <sheet name="EXCISE SALES DETAILS" sheetId="17" r:id="rId22"/>
    <sheet name="JCIR" sheetId="18" r:id="rId23"/>
    <sheet name="GROSS" sheetId="19" r:id="rId24"/>
    <sheet name="DSA HESS" sheetId="25" state="hidden" r:id="rId25"/>
    <sheet name="DSA SKG" sheetId="26" state="hidden" r:id="rId26"/>
    <sheet name="PRD" sheetId="56" state="hidden" r:id="rId27"/>
    <sheet name="MTOY" sheetId="55" r:id="rId28"/>
    <sheet name="YEARLY" sheetId="60" r:id="rId29"/>
    <sheet name="51 X51 LENO" sheetId="27" r:id="rId30"/>
    <sheet name="EXPORT 100FT" sheetId="29" r:id="rId31"/>
    <sheet name="EXPORT 30 FT)" sheetId="31" r:id="rId32"/>
    <sheet name="JUTE LENO" sheetId="32" r:id="rId33"/>
    <sheet name="JUCO" sheetId="35" r:id="rId34"/>
    <sheet name="BLEACH" sheetId="37" r:id="rId35"/>
    <sheet name="YARN" sheetId="38" r:id="rId36"/>
    <sheet name="MONTHLY " sheetId="59" r:id="rId37"/>
    <sheet name="YEARLY WISE" sheetId="48" state="hidden" r:id="rId38"/>
    <sheet name="yearly sum" sheetId="52" state="hidden" r:id="rId39"/>
    <sheet name="DATASHEET" sheetId="49" state="hidden" r:id="rId40"/>
    <sheet name="Sheet1" sheetId="53" r:id="rId41"/>
    <sheet name="Sheet4" sheetId="65" r:id="rId42"/>
    <sheet name="Sheet2" sheetId="57" r:id="rId43"/>
  </sheets>
  <externalReferences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calcPr calcId="191029"/>
  <pivotCaches>
    <pivotCache cacheId="0" r:id="rId54"/>
  </pivotCaches>
</workbook>
</file>

<file path=xl/calcChain.xml><?xml version="1.0" encoding="utf-8"?>
<calcChain xmlns="http://schemas.openxmlformats.org/spreadsheetml/2006/main">
  <c r="K15" i="55" l="1"/>
  <c r="D39" i="4" l="1"/>
  <c r="D39" i="14" l="1"/>
  <c r="I7" i="60" l="1"/>
  <c r="M6" i="19" l="1"/>
  <c r="L6" i="19"/>
  <c r="O39" i="17" l="1"/>
  <c r="O67" i="17"/>
  <c r="AX31" i="17"/>
  <c r="O38" i="17"/>
  <c r="O37" i="17"/>
  <c r="H8" i="57" l="1"/>
  <c r="CC8" i="17" l="1"/>
  <c r="O22" i="17" l="1"/>
  <c r="O36" i="17" l="1"/>
  <c r="O66" i="17"/>
  <c r="O65" i="17"/>
  <c r="O35" i="17" l="1"/>
  <c r="E18" i="57" l="1"/>
  <c r="H13" i="57"/>
  <c r="H7" i="57"/>
  <c r="H6" i="57"/>
  <c r="H5" i="57"/>
  <c r="H4" i="57"/>
  <c r="H17" i="57" l="1"/>
  <c r="E19" i="57"/>
  <c r="O64" i="17" l="1"/>
  <c r="S64" i="17" s="1"/>
  <c r="O34" i="17"/>
  <c r="AX46" i="17"/>
  <c r="AX63" i="17" l="1"/>
  <c r="G37" i="60" l="1"/>
  <c r="BN7" i="17" l="1"/>
  <c r="N49" i="60" l="1"/>
  <c r="L49" i="60"/>
  <c r="J49" i="60"/>
  <c r="D49" i="60"/>
  <c r="P48" i="60"/>
  <c r="O47" i="60"/>
  <c r="M47" i="60"/>
  <c r="K47" i="60"/>
  <c r="H47" i="60"/>
  <c r="I47" i="60" s="1"/>
  <c r="F47" i="60"/>
  <c r="R47" i="60" s="1"/>
  <c r="O46" i="60"/>
  <c r="O49" i="60" s="1"/>
  <c r="M46" i="60"/>
  <c r="M49" i="60" s="1"/>
  <c r="K46" i="60"/>
  <c r="K49" i="60" s="1"/>
  <c r="E46" i="60"/>
  <c r="E49" i="60" s="1"/>
  <c r="N42" i="60"/>
  <c r="N51" i="60" s="1"/>
  <c r="L42" i="60"/>
  <c r="L51" i="60" s="1"/>
  <c r="J42" i="60"/>
  <c r="J51" i="60" s="1"/>
  <c r="D42" i="60"/>
  <c r="D51" i="60" s="1"/>
  <c r="I41" i="60"/>
  <c r="I40" i="60"/>
  <c r="I39" i="60"/>
  <c r="I38" i="60"/>
  <c r="S37" i="60"/>
  <c r="R37" i="60"/>
  <c r="P37" i="60"/>
  <c r="S36" i="60"/>
  <c r="R36" i="60"/>
  <c r="P36" i="60"/>
  <c r="I36" i="60"/>
  <c r="Q36" i="60" s="1"/>
  <c r="S35" i="60"/>
  <c r="R35" i="60"/>
  <c r="P35" i="60"/>
  <c r="S34" i="60"/>
  <c r="R34" i="60"/>
  <c r="Q34" i="60"/>
  <c r="P34" i="60"/>
  <c r="K33" i="60"/>
  <c r="G33" i="60"/>
  <c r="I33" i="60" s="1"/>
  <c r="I32" i="60"/>
  <c r="S31" i="60"/>
  <c r="R31" i="60"/>
  <c r="P31" i="60"/>
  <c r="M31" i="60"/>
  <c r="K31" i="60"/>
  <c r="Q31" i="60" s="1"/>
  <c r="I31" i="60"/>
  <c r="E31" i="60"/>
  <c r="O31" i="60" s="1"/>
  <c r="S30" i="60"/>
  <c r="R30" i="60"/>
  <c r="P30" i="60"/>
  <c r="M30" i="60"/>
  <c r="K30" i="60"/>
  <c r="I30" i="60"/>
  <c r="E30" i="60"/>
  <c r="O30" i="60" s="1"/>
  <c r="S29" i="60"/>
  <c r="R29" i="60"/>
  <c r="P29" i="60"/>
  <c r="M29" i="60"/>
  <c r="K29" i="60"/>
  <c r="I29" i="60"/>
  <c r="E29" i="60"/>
  <c r="O29" i="60" s="1"/>
  <c r="S28" i="60"/>
  <c r="R28" i="60"/>
  <c r="P28" i="60"/>
  <c r="M28" i="60"/>
  <c r="K28" i="60"/>
  <c r="I28" i="60"/>
  <c r="E28" i="60"/>
  <c r="O28" i="60" s="1"/>
  <c r="S27" i="60"/>
  <c r="R27" i="60"/>
  <c r="P27" i="60"/>
  <c r="M27" i="60"/>
  <c r="K27" i="60"/>
  <c r="Q27" i="60" s="1"/>
  <c r="I27" i="60"/>
  <c r="E27" i="60"/>
  <c r="O27" i="60" s="1"/>
  <c r="I26" i="60"/>
  <c r="I25" i="60"/>
  <c r="I24" i="60"/>
  <c r="I23" i="60"/>
  <c r="I22" i="60"/>
  <c r="I21" i="60"/>
  <c r="S20" i="60"/>
  <c r="R20" i="60"/>
  <c r="P20" i="60"/>
  <c r="O20" i="60"/>
  <c r="M20" i="60"/>
  <c r="K20" i="60"/>
  <c r="I20" i="60"/>
  <c r="G20" i="60"/>
  <c r="E20" i="60"/>
  <c r="Q20" i="60" s="1"/>
  <c r="S19" i="60"/>
  <c r="R19" i="60"/>
  <c r="P19" i="60"/>
  <c r="O19" i="60"/>
  <c r="M19" i="60"/>
  <c r="K19" i="60"/>
  <c r="I19" i="60"/>
  <c r="G19" i="60"/>
  <c r="E19" i="60"/>
  <c r="Q19" i="60" s="1"/>
  <c r="H18" i="60"/>
  <c r="S18" i="60" s="1"/>
  <c r="F18" i="60"/>
  <c r="G18" i="60" s="1"/>
  <c r="E18" i="60"/>
  <c r="S17" i="60"/>
  <c r="R17" i="60"/>
  <c r="P17" i="60"/>
  <c r="O17" i="60"/>
  <c r="M17" i="60"/>
  <c r="K17" i="60"/>
  <c r="Q17" i="60" s="1"/>
  <c r="E17" i="60"/>
  <c r="S16" i="60"/>
  <c r="R16" i="60"/>
  <c r="P16" i="60"/>
  <c r="O16" i="60"/>
  <c r="M16" i="60"/>
  <c r="K16" i="60"/>
  <c r="Q16" i="60" s="1"/>
  <c r="I16" i="60"/>
  <c r="G16" i="60"/>
  <c r="E16" i="60"/>
  <c r="S15" i="60"/>
  <c r="R15" i="60"/>
  <c r="P15" i="60"/>
  <c r="O15" i="60"/>
  <c r="M15" i="60"/>
  <c r="K15" i="60"/>
  <c r="I15" i="60"/>
  <c r="G15" i="60"/>
  <c r="Q15" i="60" s="1"/>
  <c r="E15" i="60"/>
  <c r="S14" i="60"/>
  <c r="R14" i="60"/>
  <c r="P14" i="60"/>
  <c r="O14" i="60"/>
  <c r="M14" i="60"/>
  <c r="K14" i="60"/>
  <c r="Q14" i="60" s="1"/>
  <c r="I14" i="60"/>
  <c r="G14" i="60"/>
  <c r="E14" i="60"/>
  <c r="O13" i="60"/>
  <c r="M13" i="60"/>
  <c r="K13" i="60"/>
  <c r="E13" i="60"/>
  <c r="S12" i="60"/>
  <c r="R12" i="60"/>
  <c r="P12" i="60"/>
  <c r="O12" i="60"/>
  <c r="M12" i="60"/>
  <c r="K12" i="60"/>
  <c r="I12" i="60"/>
  <c r="G12" i="60"/>
  <c r="Q12" i="60" s="1"/>
  <c r="E12" i="60"/>
  <c r="S11" i="60"/>
  <c r="R11" i="60"/>
  <c r="Q11" i="60"/>
  <c r="P11" i="60"/>
  <c r="I11" i="60"/>
  <c r="G11" i="60"/>
  <c r="S10" i="60"/>
  <c r="R10" i="60"/>
  <c r="P10" i="60"/>
  <c r="O10" i="60"/>
  <c r="M10" i="60"/>
  <c r="K10" i="60"/>
  <c r="I10" i="60"/>
  <c r="G10" i="60"/>
  <c r="Q10" i="60" s="1"/>
  <c r="E10" i="60"/>
  <c r="S9" i="60"/>
  <c r="R9" i="60"/>
  <c r="P9" i="60"/>
  <c r="O9" i="60"/>
  <c r="M9" i="60"/>
  <c r="K9" i="60"/>
  <c r="Q9" i="60" s="1"/>
  <c r="I9" i="60"/>
  <c r="G9" i="60"/>
  <c r="E9" i="60"/>
  <c r="E42" i="60" s="1"/>
  <c r="S8" i="60"/>
  <c r="R8" i="60"/>
  <c r="P8" i="60"/>
  <c r="O8" i="60"/>
  <c r="M8" i="60"/>
  <c r="K8" i="60"/>
  <c r="I8" i="60"/>
  <c r="G8" i="60"/>
  <c r="Q8" i="60" s="1"/>
  <c r="E8" i="60"/>
  <c r="O7" i="60"/>
  <c r="M7" i="60"/>
  <c r="K7" i="60"/>
  <c r="E7" i="60"/>
  <c r="O6" i="60"/>
  <c r="M6" i="60"/>
  <c r="M42" i="60" s="1"/>
  <c r="M51" i="60" s="1"/>
  <c r="K6" i="60"/>
  <c r="K42" i="60" s="1"/>
  <c r="K51" i="60" s="1"/>
  <c r="E6" i="60"/>
  <c r="N55" i="55"/>
  <c r="M55" i="55"/>
  <c r="I55" i="55"/>
  <c r="E55" i="55"/>
  <c r="D55" i="55"/>
  <c r="C55" i="55"/>
  <c r="B55" i="55"/>
  <c r="F44" i="55"/>
  <c r="F45" i="55" s="1"/>
  <c r="F46" i="55" s="1"/>
  <c r="F47" i="55" s="1"/>
  <c r="F48" i="55" s="1"/>
  <c r="F49" i="55" s="1"/>
  <c r="F50" i="55" s="1"/>
  <c r="F51" i="55" s="1"/>
  <c r="F52" i="55" s="1"/>
  <c r="F53" i="55" s="1"/>
  <c r="F54" i="55" s="1"/>
  <c r="G43" i="55"/>
  <c r="G44" i="55" s="1"/>
  <c r="G45" i="55" s="1"/>
  <c r="G46" i="55" s="1"/>
  <c r="G47" i="55" s="1"/>
  <c r="G48" i="55" s="1"/>
  <c r="G49" i="55" s="1"/>
  <c r="G50" i="55" s="1"/>
  <c r="G51" i="55" s="1"/>
  <c r="G52" i="55" s="1"/>
  <c r="G53" i="55" s="1"/>
  <c r="G54" i="55" s="1"/>
  <c r="F43" i="55"/>
  <c r="N37" i="55"/>
  <c r="M37" i="55"/>
  <c r="I37" i="55"/>
  <c r="E36" i="55"/>
  <c r="C36" i="55"/>
  <c r="E35" i="55"/>
  <c r="C35" i="55"/>
  <c r="E34" i="55"/>
  <c r="C34" i="55"/>
  <c r="D32" i="55"/>
  <c r="E32" i="55" s="1"/>
  <c r="B32" i="55"/>
  <c r="C32" i="55" s="1"/>
  <c r="E31" i="55"/>
  <c r="D31" i="55"/>
  <c r="C31" i="55"/>
  <c r="B31" i="55"/>
  <c r="D30" i="55"/>
  <c r="E30" i="55" s="1"/>
  <c r="B30" i="55"/>
  <c r="C30" i="55" s="1"/>
  <c r="D29" i="55"/>
  <c r="E29" i="55" s="1"/>
  <c r="B29" i="55"/>
  <c r="C29" i="55" s="1"/>
  <c r="D28" i="55"/>
  <c r="E28" i="55" s="1"/>
  <c r="B28" i="55"/>
  <c r="C28" i="55" s="1"/>
  <c r="D27" i="55"/>
  <c r="E27" i="55" s="1"/>
  <c r="B27" i="55"/>
  <c r="C27" i="55" s="1"/>
  <c r="D26" i="55"/>
  <c r="E26" i="55" s="1"/>
  <c r="B26" i="55"/>
  <c r="C26" i="55" s="1"/>
  <c r="D25" i="55"/>
  <c r="E25" i="55" s="1"/>
  <c r="B25" i="55"/>
  <c r="C25" i="55" s="1"/>
  <c r="C23" i="55"/>
  <c r="P19" i="55"/>
  <c r="O19" i="55"/>
  <c r="H19" i="55"/>
  <c r="I16" i="55"/>
  <c r="I14" i="55"/>
  <c r="E14" i="55"/>
  <c r="D14" i="55"/>
  <c r="C14" i="55"/>
  <c r="B14" i="55"/>
  <c r="L13" i="55"/>
  <c r="I13" i="55"/>
  <c r="E13" i="55"/>
  <c r="D13" i="55"/>
  <c r="C13" i="55"/>
  <c r="B13" i="55"/>
  <c r="L12" i="55"/>
  <c r="K12" i="55"/>
  <c r="J12" i="55"/>
  <c r="I12" i="55"/>
  <c r="E12" i="55"/>
  <c r="D12" i="55"/>
  <c r="C12" i="55"/>
  <c r="B12" i="55"/>
  <c r="L11" i="55"/>
  <c r="K11" i="55"/>
  <c r="J11" i="55"/>
  <c r="I11" i="55"/>
  <c r="E11" i="55"/>
  <c r="D11" i="55"/>
  <c r="C11" i="55"/>
  <c r="B11" i="55"/>
  <c r="N10" i="55"/>
  <c r="M10" i="55"/>
  <c r="L10" i="55"/>
  <c r="L19" i="55" s="1"/>
  <c r="K10" i="55"/>
  <c r="J10" i="55"/>
  <c r="I10" i="55"/>
  <c r="E10" i="55"/>
  <c r="D10" i="55"/>
  <c r="C10" i="55"/>
  <c r="B10" i="55"/>
  <c r="N9" i="55"/>
  <c r="M9" i="55"/>
  <c r="L9" i="55"/>
  <c r="K9" i="55"/>
  <c r="J9" i="55"/>
  <c r="J19" i="55" s="1"/>
  <c r="I9" i="55"/>
  <c r="E9" i="55"/>
  <c r="D9" i="55"/>
  <c r="C9" i="55"/>
  <c r="B9" i="55"/>
  <c r="N8" i="55"/>
  <c r="N19" i="55" s="1"/>
  <c r="M8" i="55"/>
  <c r="M19" i="55" s="1"/>
  <c r="K8" i="55"/>
  <c r="E8" i="55"/>
  <c r="D8" i="55"/>
  <c r="C8" i="55"/>
  <c r="B8" i="55"/>
  <c r="K7" i="55"/>
  <c r="I7" i="55"/>
  <c r="E7" i="55"/>
  <c r="D7" i="55"/>
  <c r="C7" i="55"/>
  <c r="B7" i="55"/>
  <c r="F7" i="55" l="1"/>
  <c r="F8" i="55" s="1"/>
  <c r="F9" i="55" s="1"/>
  <c r="F10" i="55" s="1"/>
  <c r="F11" i="55" s="1"/>
  <c r="F12" i="55" s="1"/>
  <c r="F13" i="55" s="1"/>
  <c r="F14" i="55" s="1"/>
  <c r="K19" i="55"/>
  <c r="Q18" i="60"/>
  <c r="O42" i="60"/>
  <c r="O51" i="60" s="1"/>
  <c r="E51" i="60"/>
  <c r="Q28" i="60"/>
  <c r="R18" i="60"/>
  <c r="Q29" i="60"/>
  <c r="S47" i="60"/>
  <c r="I18" i="60"/>
  <c r="Q30" i="60"/>
  <c r="I37" i="60"/>
  <c r="Q37" i="60" s="1"/>
  <c r="P47" i="60"/>
  <c r="P18" i="60"/>
  <c r="G47" i="60"/>
  <c r="Q47" i="60" s="1"/>
  <c r="G25" i="55"/>
  <c r="G26" i="55" s="1"/>
  <c r="G27" i="55" s="1"/>
  <c r="G28" i="55" s="1"/>
  <c r="G29" i="55" s="1"/>
  <c r="G30" i="55" s="1"/>
  <c r="G31" i="55" s="1"/>
  <c r="G32" i="55" s="1"/>
  <c r="G7" i="55"/>
  <c r="G8" i="55" s="1"/>
  <c r="G9" i="55" s="1"/>
  <c r="G10" i="55" s="1"/>
  <c r="G11" i="55" s="1"/>
  <c r="G12" i="55" s="1"/>
  <c r="G13" i="55" s="1"/>
  <c r="G14" i="55" s="1"/>
  <c r="F25" i="55"/>
  <c r="F26" i="55" s="1"/>
  <c r="F27" i="55" s="1"/>
  <c r="F28" i="55" s="1"/>
  <c r="F29" i="55" s="1"/>
  <c r="F30" i="55" s="1"/>
  <c r="F31" i="55" s="1"/>
  <c r="F32" i="55" s="1"/>
  <c r="AB93" i="17" l="1"/>
  <c r="AB92" i="17"/>
  <c r="AB91" i="17"/>
  <c r="AB90" i="17"/>
  <c r="AB89" i="17"/>
  <c r="AB88" i="17"/>
  <c r="AB87" i="17"/>
  <c r="AB86" i="17"/>
  <c r="AB85" i="17"/>
  <c r="AB84" i="17"/>
  <c r="AB83" i="17"/>
  <c r="AB82" i="17"/>
  <c r="AB81" i="17"/>
  <c r="AB80" i="17"/>
  <c r="AB79" i="17"/>
  <c r="AB78" i="17"/>
  <c r="S42" i="59"/>
  <c r="O42" i="59"/>
  <c r="I42" i="59"/>
  <c r="H42" i="59"/>
  <c r="E42" i="59"/>
  <c r="D42" i="59"/>
  <c r="S8" i="15"/>
  <c r="S7" i="15"/>
  <c r="S6" i="15"/>
  <c r="I14" i="59" l="1"/>
  <c r="G14" i="59"/>
  <c r="C21" i="53" l="1"/>
  <c r="C20" i="53"/>
  <c r="C19" i="53"/>
  <c r="C17" i="53"/>
  <c r="C12" i="53"/>
  <c r="C11" i="53"/>
  <c r="C10" i="53"/>
  <c r="C8" i="53"/>
  <c r="C6" i="53"/>
  <c r="C4" i="53"/>
  <c r="C3" i="53"/>
  <c r="F102" i="48"/>
  <c r="F51" i="48"/>
  <c r="H43" i="48"/>
  <c r="N43" i="48" s="1"/>
  <c r="F43" i="48"/>
  <c r="G43" i="48" s="1"/>
  <c r="D43" i="48"/>
  <c r="H42" i="48"/>
  <c r="N42" i="48" s="1"/>
  <c r="F42" i="48"/>
  <c r="D42" i="48"/>
  <c r="E42" i="48" s="1"/>
  <c r="L37" i="48"/>
  <c r="G35" i="48"/>
  <c r="I35" i="48" s="1"/>
  <c r="G34" i="48"/>
  <c r="I34" i="48" s="1"/>
  <c r="K13" i="48" s="1"/>
  <c r="G33" i="48"/>
  <c r="I33" i="48" s="1"/>
  <c r="K12" i="48" s="1"/>
  <c r="G32" i="48"/>
  <c r="I32" i="48" s="1"/>
  <c r="K32" i="48" s="1"/>
  <c r="G31" i="48"/>
  <c r="I31" i="48" s="1"/>
  <c r="K31" i="48" s="1"/>
  <c r="G30" i="48"/>
  <c r="H28" i="48"/>
  <c r="N28" i="48" s="1"/>
  <c r="F28" i="48"/>
  <c r="H25" i="48"/>
  <c r="N25" i="48" s="1"/>
  <c r="F25" i="48"/>
  <c r="M25" i="48" s="1"/>
  <c r="D25" i="48"/>
  <c r="E25" i="48" s="1"/>
  <c r="H24" i="48"/>
  <c r="N24" i="48" s="1"/>
  <c r="F24" i="48"/>
  <c r="G24" i="48" s="1"/>
  <c r="D24" i="48"/>
  <c r="N23" i="48"/>
  <c r="M23" i="48"/>
  <c r="K23" i="48"/>
  <c r="J23" i="48"/>
  <c r="I23" i="48"/>
  <c r="E23" i="48"/>
  <c r="N22" i="48"/>
  <c r="M22" i="48"/>
  <c r="K22" i="48"/>
  <c r="J22" i="48"/>
  <c r="I22" i="48"/>
  <c r="G22" i="48"/>
  <c r="E22" i="48"/>
  <c r="N21" i="48"/>
  <c r="M21" i="48"/>
  <c r="K21" i="48"/>
  <c r="J21" i="48"/>
  <c r="I21" i="48"/>
  <c r="G21" i="48"/>
  <c r="E21" i="48"/>
  <c r="N20" i="48"/>
  <c r="M20" i="48"/>
  <c r="J20" i="48"/>
  <c r="G20" i="48"/>
  <c r="I20" i="48" s="1"/>
  <c r="E20" i="48"/>
  <c r="N19" i="48"/>
  <c r="M19" i="48"/>
  <c r="K19" i="48"/>
  <c r="J19" i="48"/>
  <c r="I19" i="48"/>
  <c r="G19" i="48"/>
  <c r="E19" i="48"/>
  <c r="H18" i="48"/>
  <c r="N18" i="48" s="1"/>
  <c r="F18" i="48"/>
  <c r="G18" i="48" s="1"/>
  <c r="D18" i="48"/>
  <c r="H17" i="48"/>
  <c r="N17" i="48" s="1"/>
  <c r="F17" i="48"/>
  <c r="M17" i="48" s="1"/>
  <c r="D17" i="48"/>
  <c r="E17" i="48" s="1"/>
  <c r="N16" i="48"/>
  <c r="M16" i="48"/>
  <c r="K16" i="48"/>
  <c r="J16" i="48"/>
  <c r="I16" i="48"/>
  <c r="G16" i="48"/>
  <c r="E16" i="48"/>
  <c r="H15" i="48"/>
  <c r="N15" i="48" s="1"/>
  <c r="F15" i="48"/>
  <c r="M15" i="48" s="1"/>
  <c r="D15" i="48"/>
  <c r="E15" i="48" s="1"/>
  <c r="J12" i="48"/>
  <c r="N11" i="48"/>
  <c r="M11" i="48"/>
  <c r="K11" i="48"/>
  <c r="J11" i="48"/>
  <c r="I11" i="48"/>
  <c r="G11" i="48"/>
  <c r="E11" i="48"/>
  <c r="N10" i="48"/>
  <c r="M10" i="48"/>
  <c r="K10" i="48"/>
  <c r="J10" i="48"/>
  <c r="I10" i="48"/>
  <c r="G10" i="48"/>
  <c r="E10" i="48"/>
  <c r="H9" i="48"/>
  <c r="N9" i="48" s="1"/>
  <c r="F9" i="48"/>
  <c r="M9" i="48" s="1"/>
  <c r="D9" i="48"/>
  <c r="E9" i="48" s="1"/>
  <c r="N8" i="48"/>
  <c r="M8" i="48"/>
  <c r="K8" i="48"/>
  <c r="J8" i="48"/>
  <c r="I8" i="48"/>
  <c r="G8" i="48"/>
  <c r="E8" i="48"/>
  <c r="H7" i="48"/>
  <c r="N7" i="48" s="1"/>
  <c r="F7" i="48"/>
  <c r="G7" i="48" s="1"/>
  <c r="D7" i="48"/>
  <c r="E7" i="48" s="1"/>
  <c r="H6" i="48"/>
  <c r="N6" i="48" s="1"/>
  <c r="F6" i="48"/>
  <c r="G6" i="48" s="1"/>
  <c r="D6" i="48"/>
  <c r="C53" i="59"/>
  <c r="N46" i="59"/>
  <c r="L46" i="59"/>
  <c r="J46" i="59"/>
  <c r="N44" i="59"/>
  <c r="L44" i="59"/>
  <c r="J44" i="59"/>
  <c r="P43" i="59"/>
  <c r="O43" i="59"/>
  <c r="M43" i="59"/>
  <c r="K43" i="59"/>
  <c r="K42" i="59"/>
  <c r="D41" i="59"/>
  <c r="N37" i="59"/>
  <c r="L37" i="59"/>
  <c r="J37" i="59"/>
  <c r="S36" i="59"/>
  <c r="R36" i="59"/>
  <c r="P36" i="59"/>
  <c r="S35" i="59"/>
  <c r="R35" i="59"/>
  <c r="P35" i="59"/>
  <c r="S34" i="59"/>
  <c r="R34" i="59"/>
  <c r="P34" i="59"/>
  <c r="S33" i="59"/>
  <c r="R33" i="59"/>
  <c r="P33" i="59"/>
  <c r="S32" i="59"/>
  <c r="R32" i="59"/>
  <c r="Q32" i="59"/>
  <c r="P32" i="59"/>
  <c r="I32" i="59"/>
  <c r="G32" i="59"/>
  <c r="S31" i="59"/>
  <c r="R31" i="59"/>
  <c r="P31" i="59"/>
  <c r="S30" i="59"/>
  <c r="R30" i="59"/>
  <c r="Q30" i="59"/>
  <c r="P30" i="59"/>
  <c r="S29" i="59"/>
  <c r="R29" i="59"/>
  <c r="Q29" i="59"/>
  <c r="P29" i="59"/>
  <c r="O29" i="59"/>
  <c r="M29" i="59"/>
  <c r="K29" i="59"/>
  <c r="I29" i="59"/>
  <c r="G29" i="59"/>
  <c r="E29" i="59"/>
  <c r="S28" i="59"/>
  <c r="R28" i="59"/>
  <c r="Q28" i="59"/>
  <c r="P28" i="59"/>
  <c r="O28" i="59"/>
  <c r="M28" i="59"/>
  <c r="K28" i="59"/>
  <c r="I28" i="59"/>
  <c r="G28" i="59"/>
  <c r="E28" i="59"/>
  <c r="S27" i="59"/>
  <c r="R27" i="59"/>
  <c r="Q27" i="59"/>
  <c r="P27" i="59"/>
  <c r="O27" i="59"/>
  <c r="M27" i="59"/>
  <c r="K27" i="59"/>
  <c r="I27" i="59"/>
  <c r="G27" i="59"/>
  <c r="E27" i="59"/>
  <c r="S26" i="59"/>
  <c r="R26" i="59"/>
  <c r="Q26" i="59"/>
  <c r="P26" i="59"/>
  <c r="O26" i="59"/>
  <c r="M26" i="59"/>
  <c r="K26" i="59"/>
  <c r="I26" i="59"/>
  <c r="G26" i="59"/>
  <c r="E26" i="59"/>
  <c r="S25" i="59"/>
  <c r="R25" i="59"/>
  <c r="Q25" i="59"/>
  <c r="P25" i="59"/>
  <c r="O25" i="59"/>
  <c r="M25" i="59"/>
  <c r="K25" i="59"/>
  <c r="I25" i="59"/>
  <c r="G25" i="59"/>
  <c r="E25" i="59"/>
  <c r="S24" i="59"/>
  <c r="R24" i="59"/>
  <c r="Q24" i="59"/>
  <c r="P24" i="59"/>
  <c r="O24" i="59"/>
  <c r="M24" i="59"/>
  <c r="K24" i="59"/>
  <c r="I24" i="59"/>
  <c r="G24" i="59"/>
  <c r="E24" i="59"/>
  <c r="S23" i="59"/>
  <c r="R23" i="59"/>
  <c r="Q23" i="59"/>
  <c r="P23" i="59"/>
  <c r="O23" i="59"/>
  <c r="M23" i="59"/>
  <c r="K23" i="59"/>
  <c r="I23" i="59"/>
  <c r="G23" i="59"/>
  <c r="E23" i="59"/>
  <c r="S22" i="59"/>
  <c r="R22" i="59"/>
  <c r="Q22" i="59"/>
  <c r="P22" i="59"/>
  <c r="O22" i="59"/>
  <c r="M22" i="59"/>
  <c r="K22" i="59"/>
  <c r="I22" i="59"/>
  <c r="G22" i="59"/>
  <c r="E22" i="59"/>
  <c r="S21" i="59"/>
  <c r="R21" i="59"/>
  <c r="Q21" i="59"/>
  <c r="P21" i="59"/>
  <c r="O21" i="59"/>
  <c r="M21" i="59"/>
  <c r="K21" i="59"/>
  <c r="I21" i="59"/>
  <c r="G21" i="59"/>
  <c r="E21" i="59"/>
  <c r="S20" i="59"/>
  <c r="R20" i="59"/>
  <c r="Q20" i="59"/>
  <c r="P20" i="59"/>
  <c r="O20" i="59"/>
  <c r="M20" i="59"/>
  <c r="K20" i="59"/>
  <c r="I20" i="59"/>
  <c r="G20" i="59"/>
  <c r="E20" i="59"/>
  <c r="S19" i="59"/>
  <c r="R19" i="59"/>
  <c r="Q19" i="59"/>
  <c r="P19" i="59"/>
  <c r="O19" i="59"/>
  <c r="M19" i="59"/>
  <c r="K19" i="59"/>
  <c r="I19" i="59"/>
  <c r="G19" i="59"/>
  <c r="E19" i="59"/>
  <c r="S18" i="59"/>
  <c r="R18" i="59"/>
  <c r="Q18" i="59"/>
  <c r="P18" i="59"/>
  <c r="O18" i="59"/>
  <c r="M18" i="59"/>
  <c r="K18" i="59"/>
  <c r="I18" i="59"/>
  <c r="G18" i="59"/>
  <c r="E18" i="59"/>
  <c r="S17" i="59"/>
  <c r="R17" i="59"/>
  <c r="Q17" i="59"/>
  <c r="P17" i="59"/>
  <c r="O17" i="59"/>
  <c r="M17" i="59"/>
  <c r="K17" i="59"/>
  <c r="I17" i="59"/>
  <c r="G17" i="59"/>
  <c r="E17" i="59"/>
  <c r="S16" i="59"/>
  <c r="R16" i="59"/>
  <c r="Q16" i="59"/>
  <c r="P16" i="59"/>
  <c r="O16" i="59"/>
  <c r="M16" i="59"/>
  <c r="K16" i="59"/>
  <c r="I16" i="59"/>
  <c r="G16" i="59"/>
  <c r="E16" i="59"/>
  <c r="S15" i="59"/>
  <c r="R15" i="59"/>
  <c r="Q15" i="59"/>
  <c r="P15" i="59"/>
  <c r="O15" i="59"/>
  <c r="M15" i="59"/>
  <c r="K15" i="59"/>
  <c r="I15" i="59"/>
  <c r="G15" i="59"/>
  <c r="E15" i="59"/>
  <c r="S14" i="59"/>
  <c r="R14" i="59"/>
  <c r="P14" i="59"/>
  <c r="O14" i="59"/>
  <c r="M14" i="59"/>
  <c r="K14" i="59"/>
  <c r="S13" i="59"/>
  <c r="R13" i="59"/>
  <c r="Q13" i="59"/>
  <c r="P13" i="59"/>
  <c r="O13" i="59"/>
  <c r="M13" i="59"/>
  <c r="K13" i="59"/>
  <c r="I13" i="59"/>
  <c r="H13" i="59"/>
  <c r="G13" i="59"/>
  <c r="F13" i="59"/>
  <c r="E13" i="59"/>
  <c r="D13" i="59"/>
  <c r="S12" i="59"/>
  <c r="R12" i="59"/>
  <c r="Q12" i="59"/>
  <c r="P12" i="59"/>
  <c r="O12" i="59"/>
  <c r="M12" i="59"/>
  <c r="K12" i="59"/>
  <c r="I12" i="59"/>
  <c r="H12" i="59"/>
  <c r="G12" i="59"/>
  <c r="F12" i="59"/>
  <c r="E12" i="59"/>
  <c r="S11" i="59"/>
  <c r="R11" i="59"/>
  <c r="Q11" i="59"/>
  <c r="P11" i="59"/>
  <c r="O11" i="59"/>
  <c r="M11" i="59"/>
  <c r="K11" i="59"/>
  <c r="I11" i="59"/>
  <c r="H11" i="59"/>
  <c r="G11" i="59"/>
  <c r="F11" i="59"/>
  <c r="E11" i="59"/>
  <c r="D11" i="59"/>
  <c r="S10" i="59"/>
  <c r="R10" i="59"/>
  <c r="O10" i="59"/>
  <c r="M10" i="59"/>
  <c r="I10" i="59"/>
  <c r="H10" i="59"/>
  <c r="G10" i="59"/>
  <c r="F10" i="59"/>
  <c r="E10" i="59"/>
  <c r="D10" i="59"/>
  <c r="P10" i="59" s="1"/>
  <c r="S9" i="59"/>
  <c r="R9" i="59"/>
  <c r="Q9" i="59"/>
  <c r="P9" i="59"/>
  <c r="O9" i="59"/>
  <c r="M9" i="59"/>
  <c r="K9" i="59"/>
  <c r="I9" i="59"/>
  <c r="G9" i="59"/>
  <c r="E9" i="59"/>
  <c r="D8" i="59"/>
  <c r="D7" i="59"/>
  <c r="D6" i="59"/>
  <c r="E42" i="38"/>
  <c r="M40" i="38"/>
  <c r="L40" i="38"/>
  <c r="K40" i="38"/>
  <c r="H40" i="38"/>
  <c r="G40" i="38"/>
  <c r="F40" i="38"/>
  <c r="O39" i="38"/>
  <c r="N39" i="38"/>
  <c r="M39" i="38"/>
  <c r="L39" i="38"/>
  <c r="J39" i="38"/>
  <c r="E39" i="38"/>
  <c r="O38" i="38"/>
  <c r="N38" i="38"/>
  <c r="M38" i="38"/>
  <c r="L38" i="38"/>
  <c r="J38" i="38"/>
  <c r="E38" i="38"/>
  <c r="O37" i="38"/>
  <c r="N37" i="38"/>
  <c r="M37" i="38"/>
  <c r="L37" i="38"/>
  <c r="J37" i="38"/>
  <c r="E37" i="38"/>
  <c r="O36" i="38"/>
  <c r="N36" i="38"/>
  <c r="M36" i="38"/>
  <c r="L36" i="38"/>
  <c r="J36" i="38"/>
  <c r="E36" i="38"/>
  <c r="O35" i="38"/>
  <c r="M35" i="38"/>
  <c r="L35" i="38"/>
  <c r="J35" i="38"/>
  <c r="O34" i="38"/>
  <c r="N34" i="38"/>
  <c r="M34" i="38"/>
  <c r="L34" i="38"/>
  <c r="J34" i="38"/>
  <c r="E34" i="38"/>
  <c r="O33" i="38"/>
  <c r="N33" i="38"/>
  <c r="M33" i="38"/>
  <c r="L33" i="38"/>
  <c r="J33" i="38"/>
  <c r="E33" i="38"/>
  <c r="O32" i="38"/>
  <c r="N32" i="38"/>
  <c r="M32" i="38"/>
  <c r="L32" i="38"/>
  <c r="O31" i="38"/>
  <c r="N31" i="38"/>
  <c r="M31" i="38"/>
  <c r="L31" i="38"/>
  <c r="J31" i="38"/>
  <c r="E31" i="38"/>
  <c r="O30" i="38"/>
  <c r="N30" i="38"/>
  <c r="M30" i="38"/>
  <c r="L30" i="38"/>
  <c r="J30" i="38"/>
  <c r="E30" i="38"/>
  <c r="O29" i="38"/>
  <c r="N29" i="38"/>
  <c r="M29" i="38"/>
  <c r="L29" i="38"/>
  <c r="J29" i="38"/>
  <c r="E29" i="38"/>
  <c r="O28" i="38"/>
  <c r="N28" i="38"/>
  <c r="M28" i="38"/>
  <c r="L28" i="38"/>
  <c r="J28" i="38"/>
  <c r="E28" i="38"/>
  <c r="O27" i="38"/>
  <c r="N27" i="38"/>
  <c r="M27" i="38"/>
  <c r="L27" i="38"/>
  <c r="O26" i="38"/>
  <c r="N26" i="38"/>
  <c r="M26" i="38"/>
  <c r="L26" i="38"/>
  <c r="J26" i="38"/>
  <c r="E26" i="38"/>
  <c r="O25" i="38"/>
  <c r="N25" i="38"/>
  <c r="M25" i="38"/>
  <c r="L25" i="38"/>
  <c r="J25" i="38"/>
  <c r="E25" i="38"/>
  <c r="O24" i="38"/>
  <c r="N24" i="38"/>
  <c r="M24" i="38"/>
  <c r="L24" i="38"/>
  <c r="J24" i="38"/>
  <c r="E24" i="38"/>
  <c r="O23" i="38"/>
  <c r="N23" i="38"/>
  <c r="M23" i="38"/>
  <c r="L23" i="38"/>
  <c r="J23" i="38"/>
  <c r="E23" i="38"/>
  <c r="O22" i="38"/>
  <c r="N22" i="38"/>
  <c r="M22" i="38"/>
  <c r="L22" i="38"/>
  <c r="O21" i="38"/>
  <c r="N21" i="38"/>
  <c r="M21" i="38"/>
  <c r="L21" i="38"/>
  <c r="E21" i="38"/>
  <c r="O20" i="38"/>
  <c r="N20" i="38"/>
  <c r="M20" i="38"/>
  <c r="L20" i="38"/>
  <c r="J20" i="38"/>
  <c r="E20" i="38"/>
  <c r="O19" i="38"/>
  <c r="N19" i="38"/>
  <c r="M19" i="38"/>
  <c r="L19" i="38"/>
  <c r="O18" i="38"/>
  <c r="N18" i="38"/>
  <c r="M18" i="38"/>
  <c r="L18" i="38"/>
  <c r="J18" i="38"/>
  <c r="E18" i="38"/>
  <c r="O17" i="38"/>
  <c r="N17" i="38"/>
  <c r="M17" i="38"/>
  <c r="L17" i="38"/>
  <c r="J17" i="38"/>
  <c r="E17" i="38"/>
  <c r="O16" i="38"/>
  <c r="N16" i="38"/>
  <c r="M16" i="38"/>
  <c r="L16" i="38"/>
  <c r="J16" i="38"/>
  <c r="E16" i="38"/>
  <c r="O15" i="38"/>
  <c r="N15" i="38"/>
  <c r="M15" i="38"/>
  <c r="L15" i="38"/>
  <c r="J15" i="38"/>
  <c r="E15" i="38"/>
  <c r="O14" i="38"/>
  <c r="N14" i="38"/>
  <c r="M14" i="38"/>
  <c r="L14" i="38"/>
  <c r="E14" i="38"/>
  <c r="O13" i="38"/>
  <c r="N13" i="38"/>
  <c r="M13" i="38"/>
  <c r="L13" i="38"/>
  <c r="J13" i="38"/>
  <c r="E13" i="38"/>
  <c r="O12" i="38"/>
  <c r="N12" i="38"/>
  <c r="M12" i="38"/>
  <c r="L12" i="38"/>
  <c r="J12" i="38"/>
  <c r="I12" i="38"/>
  <c r="E12" i="38"/>
  <c r="Q11" i="38"/>
  <c r="O11" i="38"/>
  <c r="M11" i="38"/>
  <c r="L11" i="38"/>
  <c r="I11" i="38"/>
  <c r="M10" i="38"/>
  <c r="L10" i="38"/>
  <c r="M9" i="38"/>
  <c r="L9" i="38"/>
  <c r="R8" i="38"/>
  <c r="E42" i="37"/>
  <c r="M40" i="37"/>
  <c r="L40" i="37"/>
  <c r="K40" i="37"/>
  <c r="H40" i="37"/>
  <c r="G40" i="37"/>
  <c r="F40" i="37"/>
  <c r="O39" i="37"/>
  <c r="N39" i="37"/>
  <c r="M39" i="37"/>
  <c r="L39" i="37"/>
  <c r="J39" i="37"/>
  <c r="E39" i="37"/>
  <c r="O38" i="37"/>
  <c r="N38" i="37"/>
  <c r="M38" i="37"/>
  <c r="L38" i="37"/>
  <c r="J38" i="37"/>
  <c r="E38" i="37"/>
  <c r="O37" i="37"/>
  <c r="N37" i="37"/>
  <c r="M37" i="37"/>
  <c r="L37" i="37"/>
  <c r="J37" i="37"/>
  <c r="E37" i="37"/>
  <c r="O36" i="37"/>
  <c r="N36" i="37"/>
  <c r="M36" i="37"/>
  <c r="L36" i="37"/>
  <c r="J36" i="37"/>
  <c r="E36" i="37"/>
  <c r="O35" i="37"/>
  <c r="M35" i="37"/>
  <c r="L35" i="37"/>
  <c r="J35" i="37"/>
  <c r="O34" i="37"/>
  <c r="N34" i="37"/>
  <c r="M34" i="37"/>
  <c r="L34" i="37"/>
  <c r="J34" i="37"/>
  <c r="E34" i="37"/>
  <c r="O33" i="37"/>
  <c r="N33" i="37"/>
  <c r="M33" i="37"/>
  <c r="L33" i="37"/>
  <c r="J33" i="37"/>
  <c r="E33" i="37"/>
  <c r="O32" i="37"/>
  <c r="N32" i="37"/>
  <c r="M32" i="37"/>
  <c r="L32" i="37"/>
  <c r="O31" i="37"/>
  <c r="N31" i="37"/>
  <c r="M31" i="37"/>
  <c r="L31" i="37"/>
  <c r="J31" i="37"/>
  <c r="E31" i="37"/>
  <c r="O30" i="37"/>
  <c r="N30" i="37"/>
  <c r="M30" i="37"/>
  <c r="L30" i="37"/>
  <c r="J30" i="37"/>
  <c r="E30" i="37"/>
  <c r="O29" i="37"/>
  <c r="N29" i="37"/>
  <c r="M29" i="37"/>
  <c r="L29" i="37"/>
  <c r="J29" i="37"/>
  <c r="E29" i="37"/>
  <c r="O28" i="37"/>
  <c r="N28" i="37"/>
  <c r="M28" i="37"/>
  <c r="L28" i="37"/>
  <c r="J28" i="37"/>
  <c r="E28" i="37"/>
  <c r="O27" i="37"/>
  <c r="N27" i="37"/>
  <c r="M27" i="37"/>
  <c r="L27" i="37"/>
  <c r="O26" i="37"/>
  <c r="N26" i="37"/>
  <c r="M26" i="37"/>
  <c r="L26" i="37"/>
  <c r="J26" i="37"/>
  <c r="E26" i="37"/>
  <c r="O25" i="37"/>
  <c r="N25" i="37"/>
  <c r="M25" i="37"/>
  <c r="L25" i="37"/>
  <c r="J25" i="37"/>
  <c r="E25" i="37"/>
  <c r="O24" i="37"/>
  <c r="N24" i="37"/>
  <c r="M24" i="37"/>
  <c r="L24" i="37"/>
  <c r="J24" i="37"/>
  <c r="E24" i="37"/>
  <c r="O23" i="37"/>
  <c r="N23" i="37"/>
  <c r="M23" i="37"/>
  <c r="L23" i="37"/>
  <c r="J23" i="37"/>
  <c r="E23" i="37"/>
  <c r="O22" i="37"/>
  <c r="N22" i="37"/>
  <c r="M22" i="37"/>
  <c r="L22" i="37"/>
  <c r="O21" i="37"/>
  <c r="N21" i="37"/>
  <c r="M21" i="37"/>
  <c r="L21" i="37"/>
  <c r="E21" i="37"/>
  <c r="O20" i="37"/>
  <c r="N20" i="37"/>
  <c r="M20" i="37"/>
  <c r="L20" i="37"/>
  <c r="J20" i="37"/>
  <c r="E20" i="37"/>
  <c r="O19" i="37"/>
  <c r="N19" i="37"/>
  <c r="M19" i="37"/>
  <c r="L19" i="37"/>
  <c r="O18" i="37"/>
  <c r="N18" i="37"/>
  <c r="M18" i="37"/>
  <c r="L18" i="37"/>
  <c r="J18" i="37"/>
  <c r="E18" i="37"/>
  <c r="O17" i="37"/>
  <c r="N17" i="37"/>
  <c r="M17" i="37"/>
  <c r="L17" i="37"/>
  <c r="J17" i="37"/>
  <c r="E17" i="37"/>
  <c r="O16" i="37"/>
  <c r="N16" i="37"/>
  <c r="M16" i="37"/>
  <c r="L16" i="37"/>
  <c r="J16" i="37"/>
  <c r="E16" i="37"/>
  <c r="O15" i="37"/>
  <c r="N15" i="37"/>
  <c r="M15" i="37"/>
  <c r="L15" i="37"/>
  <c r="J15" i="37"/>
  <c r="E15" i="37"/>
  <c r="O14" i="37"/>
  <c r="N14" i="37"/>
  <c r="M14" i="37"/>
  <c r="L14" i="37"/>
  <c r="E14" i="37"/>
  <c r="O13" i="37"/>
  <c r="N13" i="37"/>
  <c r="M13" i="37"/>
  <c r="L13" i="37"/>
  <c r="J13" i="37"/>
  <c r="E13" i="37"/>
  <c r="O12" i="37"/>
  <c r="N12" i="37"/>
  <c r="M12" i="37"/>
  <c r="L12" i="37"/>
  <c r="J12" i="37"/>
  <c r="I12" i="37"/>
  <c r="E12" i="37"/>
  <c r="O11" i="37"/>
  <c r="M11" i="37"/>
  <c r="L11" i="37"/>
  <c r="M10" i="37"/>
  <c r="L10" i="37"/>
  <c r="M9" i="37"/>
  <c r="L9" i="37"/>
  <c r="R8" i="37"/>
  <c r="E42" i="35"/>
  <c r="M40" i="35"/>
  <c r="L40" i="35"/>
  <c r="K40" i="35"/>
  <c r="H40" i="35"/>
  <c r="G40" i="35"/>
  <c r="F40" i="35"/>
  <c r="O39" i="35"/>
  <c r="N39" i="35"/>
  <c r="M39" i="35"/>
  <c r="L39" i="35"/>
  <c r="J39" i="35"/>
  <c r="E39" i="35"/>
  <c r="O38" i="35"/>
  <c r="N38" i="35"/>
  <c r="M38" i="35"/>
  <c r="L38" i="35"/>
  <c r="J38" i="35"/>
  <c r="E38" i="35"/>
  <c r="O37" i="35"/>
  <c r="N37" i="35"/>
  <c r="M37" i="35"/>
  <c r="L37" i="35"/>
  <c r="J37" i="35"/>
  <c r="E37" i="35"/>
  <c r="O36" i="35"/>
  <c r="N36" i="35"/>
  <c r="M36" i="35"/>
  <c r="L36" i="35"/>
  <c r="J36" i="35"/>
  <c r="E36" i="35"/>
  <c r="O35" i="35"/>
  <c r="M35" i="35"/>
  <c r="L35" i="35"/>
  <c r="J35" i="35"/>
  <c r="O34" i="35"/>
  <c r="N34" i="35"/>
  <c r="M34" i="35"/>
  <c r="L34" i="35"/>
  <c r="J34" i="35"/>
  <c r="E34" i="35"/>
  <c r="O33" i="35"/>
  <c r="N33" i="35"/>
  <c r="M33" i="35"/>
  <c r="L33" i="35"/>
  <c r="J33" i="35"/>
  <c r="E33" i="35"/>
  <c r="O32" i="35"/>
  <c r="N32" i="35"/>
  <c r="M32" i="35"/>
  <c r="L32" i="35"/>
  <c r="O31" i="35"/>
  <c r="N31" i="35"/>
  <c r="M31" i="35"/>
  <c r="L31" i="35"/>
  <c r="J31" i="35"/>
  <c r="E31" i="35"/>
  <c r="O30" i="35"/>
  <c r="N30" i="35"/>
  <c r="M30" i="35"/>
  <c r="L30" i="35"/>
  <c r="J30" i="35"/>
  <c r="E30" i="35"/>
  <c r="O29" i="35"/>
  <c r="N29" i="35"/>
  <c r="M29" i="35"/>
  <c r="L29" i="35"/>
  <c r="J29" i="35"/>
  <c r="E29" i="35"/>
  <c r="O28" i="35"/>
  <c r="N28" i="35"/>
  <c r="M28" i="35"/>
  <c r="L28" i="35"/>
  <c r="J28" i="35"/>
  <c r="E28" i="35"/>
  <c r="O27" i="35"/>
  <c r="N27" i="35"/>
  <c r="M27" i="35"/>
  <c r="L27" i="35"/>
  <c r="O26" i="35"/>
  <c r="N26" i="35"/>
  <c r="M26" i="35"/>
  <c r="L26" i="35"/>
  <c r="J26" i="35"/>
  <c r="E26" i="35"/>
  <c r="O25" i="35"/>
  <c r="N25" i="35"/>
  <c r="M25" i="35"/>
  <c r="L25" i="35"/>
  <c r="J25" i="35"/>
  <c r="E25" i="35"/>
  <c r="O24" i="35"/>
  <c r="N24" i="35"/>
  <c r="M24" i="35"/>
  <c r="L24" i="35"/>
  <c r="J24" i="35"/>
  <c r="E24" i="35"/>
  <c r="O23" i="35"/>
  <c r="N23" i="35"/>
  <c r="M23" i="35"/>
  <c r="L23" i="35"/>
  <c r="J23" i="35"/>
  <c r="E23" i="35"/>
  <c r="O22" i="35"/>
  <c r="N22" i="35"/>
  <c r="M22" i="35"/>
  <c r="L22" i="35"/>
  <c r="O21" i="35"/>
  <c r="N21" i="35"/>
  <c r="M21" i="35"/>
  <c r="L21" i="35"/>
  <c r="E21" i="35"/>
  <c r="O20" i="35"/>
  <c r="N20" i="35"/>
  <c r="M20" i="35"/>
  <c r="L20" i="35"/>
  <c r="J20" i="35"/>
  <c r="E20" i="35"/>
  <c r="O19" i="35"/>
  <c r="N19" i="35"/>
  <c r="M19" i="35"/>
  <c r="L19" i="35"/>
  <c r="O18" i="35"/>
  <c r="N18" i="35"/>
  <c r="M18" i="35"/>
  <c r="L18" i="35"/>
  <c r="J18" i="35"/>
  <c r="E18" i="35"/>
  <c r="O17" i="35"/>
  <c r="N17" i="35"/>
  <c r="M17" i="35"/>
  <c r="L17" i="35"/>
  <c r="J17" i="35"/>
  <c r="E17" i="35"/>
  <c r="O16" i="35"/>
  <c r="N16" i="35"/>
  <c r="M16" i="35"/>
  <c r="L16" i="35"/>
  <c r="J16" i="35"/>
  <c r="E16" i="35"/>
  <c r="O15" i="35"/>
  <c r="N15" i="35"/>
  <c r="M15" i="35"/>
  <c r="L15" i="35"/>
  <c r="J15" i="35"/>
  <c r="E15" i="35"/>
  <c r="O14" i="35"/>
  <c r="N14" i="35"/>
  <c r="M14" i="35"/>
  <c r="L14" i="35"/>
  <c r="E14" i="35"/>
  <c r="O13" i="35"/>
  <c r="N13" i="35"/>
  <c r="M13" i="35"/>
  <c r="L13" i="35"/>
  <c r="J13" i="35"/>
  <c r="E13" i="35"/>
  <c r="O12" i="35"/>
  <c r="N12" i="35"/>
  <c r="M12" i="35"/>
  <c r="L12" i="35"/>
  <c r="J12" i="35"/>
  <c r="I12" i="35"/>
  <c r="E12" i="35"/>
  <c r="O11" i="35"/>
  <c r="M11" i="35"/>
  <c r="L11" i="35"/>
  <c r="I11" i="35"/>
  <c r="M10" i="35"/>
  <c r="L10" i="35"/>
  <c r="M9" i="35"/>
  <c r="L9" i="35"/>
  <c r="R8" i="35"/>
  <c r="E42" i="32"/>
  <c r="M40" i="32"/>
  <c r="L40" i="32"/>
  <c r="K40" i="32"/>
  <c r="H40" i="32"/>
  <c r="G40" i="32"/>
  <c r="F40" i="32"/>
  <c r="O39" i="32"/>
  <c r="N39" i="32"/>
  <c r="M39" i="32"/>
  <c r="L39" i="32"/>
  <c r="J39" i="32"/>
  <c r="E39" i="32"/>
  <c r="O38" i="32"/>
  <c r="N38" i="32"/>
  <c r="M38" i="32"/>
  <c r="L38" i="32"/>
  <c r="J38" i="32"/>
  <c r="E38" i="32"/>
  <c r="O37" i="32"/>
  <c r="N37" i="32"/>
  <c r="M37" i="32"/>
  <c r="L37" i="32"/>
  <c r="J37" i="32"/>
  <c r="E37" i="32"/>
  <c r="O36" i="32"/>
  <c r="N36" i="32"/>
  <c r="M36" i="32"/>
  <c r="L36" i="32"/>
  <c r="J36" i="32"/>
  <c r="E36" i="32"/>
  <c r="O35" i="32"/>
  <c r="N35" i="32"/>
  <c r="M35" i="32"/>
  <c r="L35" i="32"/>
  <c r="J35" i="32"/>
  <c r="E35" i="32"/>
  <c r="O34" i="32"/>
  <c r="N34" i="32"/>
  <c r="M34" i="32"/>
  <c r="L34" i="32"/>
  <c r="J34" i="32"/>
  <c r="E34" i="32"/>
  <c r="O33" i="32"/>
  <c r="N33" i="32"/>
  <c r="M33" i="32"/>
  <c r="L33" i="32"/>
  <c r="J33" i="32"/>
  <c r="E33" i="32"/>
  <c r="O32" i="32"/>
  <c r="N32" i="32"/>
  <c r="M32" i="32"/>
  <c r="L32" i="32"/>
  <c r="O31" i="32"/>
  <c r="N31" i="32"/>
  <c r="M31" i="32"/>
  <c r="L31" i="32"/>
  <c r="J31" i="32"/>
  <c r="E31" i="32"/>
  <c r="O30" i="32"/>
  <c r="N30" i="32"/>
  <c r="M30" i="32"/>
  <c r="L30" i="32"/>
  <c r="J30" i="32"/>
  <c r="E30" i="32"/>
  <c r="O29" i="32"/>
  <c r="N29" i="32"/>
  <c r="M29" i="32"/>
  <c r="L29" i="32"/>
  <c r="J29" i="32"/>
  <c r="E29" i="32"/>
  <c r="O28" i="32"/>
  <c r="N28" i="32"/>
  <c r="M28" i="32"/>
  <c r="L28" i="32"/>
  <c r="J28" i="32"/>
  <c r="E28" i="32"/>
  <c r="O27" i="32"/>
  <c r="N27" i="32"/>
  <c r="M27" i="32"/>
  <c r="L27" i="32"/>
  <c r="O26" i="32"/>
  <c r="N26" i="32"/>
  <c r="M26" i="32"/>
  <c r="L26" i="32"/>
  <c r="J26" i="32"/>
  <c r="E26" i="32"/>
  <c r="O25" i="32"/>
  <c r="N25" i="32"/>
  <c r="M25" i="32"/>
  <c r="L25" i="32"/>
  <c r="J25" i="32"/>
  <c r="E25" i="32"/>
  <c r="O24" i="32"/>
  <c r="N24" i="32"/>
  <c r="M24" i="32"/>
  <c r="L24" i="32"/>
  <c r="J24" i="32"/>
  <c r="E24" i="32"/>
  <c r="O23" i="32"/>
  <c r="N23" i="32"/>
  <c r="M23" i="32"/>
  <c r="L23" i="32"/>
  <c r="J23" i="32"/>
  <c r="E23" i="32"/>
  <c r="O22" i="32"/>
  <c r="N22" i="32"/>
  <c r="M22" i="32"/>
  <c r="L22" i="32"/>
  <c r="O21" i="32"/>
  <c r="N21" i="32"/>
  <c r="M21" i="32"/>
  <c r="L21" i="32"/>
  <c r="E21" i="32"/>
  <c r="O20" i="32"/>
  <c r="N20" i="32"/>
  <c r="M20" i="32"/>
  <c r="L20" i="32"/>
  <c r="J20" i="32"/>
  <c r="E20" i="32"/>
  <c r="O19" i="32"/>
  <c r="N19" i="32"/>
  <c r="M19" i="32"/>
  <c r="L19" i="32"/>
  <c r="O18" i="32"/>
  <c r="N18" i="32"/>
  <c r="M18" i="32"/>
  <c r="L18" i="32"/>
  <c r="J18" i="32"/>
  <c r="E18" i="32"/>
  <c r="O17" i="32"/>
  <c r="N17" i="32"/>
  <c r="M17" i="32"/>
  <c r="L17" i="32"/>
  <c r="J17" i="32"/>
  <c r="E17" i="32"/>
  <c r="O16" i="32"/>
  <c r="N16" i="32"/>
  <c r="M16" i="32"/>
  <c r="L16" i="32"/>
  <c r="J16" i="32"/>
  <c r="E16" i="32"/>
  <c r="O15" i="32"/>
  <c r="N15" i="32"/>
  <c r="M15" i="32"/>
  <c r="L15" i="32"/>
  <c r="J15" i="32"/>
  <c r="E15" i="32"/>
  <c r="O14" i="32"/>
  <c r="N14" i="32"/>
  <c r="M14" i="32"/>
  <c r="L14" i="32"/>
  <c r="E14" i="32"/>
  <c r="O13" i="32"/>
  <c r="N13" i="32"/>
  <c r="M13" i="32"/>
  <c r="L13" i="32"/>
  <c r="J13" i="32"/>
  <c r="E13" i="32"/>
  <c r="O12" i="32"/>
  <c r="N12" i="32"/>
  <c r="M12" i="32"/>
  <c r="L12" i="32"/>
  <c r="J12" i="32"/>
  <c r="I12" i="32"/>
  <c r="E12" i="32"/>
  <c r="O11" i="32"/>
  <c r="M11" i="32"/>
  <c r="L11" i="32"/>
  <c r="I11" i="32"/>
  <c r="M10" i="32"/>
  <c r="L10" i="32"/>
  <c r="M9" i="32"/>
  <c r="L9" i="32"/>
  <c r="R8" i="32"/>
  <c r="E42" i="31"/>
  <c r="M40" i="31"/>
  <c r="L40" i="31"/>
  <c r="K40" i="31"/>
  <c r="H40" i="31"/>
  <c r="G40" i="31"/>
  <c r="F40" i="31"/>
  <c r="O39" i="31"/>
  <c r="M39" i="31"/>
  <c r="J39" i="31"/>
  <c r="E39" i="31"/>
  <c r="O38" i="31"/>
  <c r="M38" i="31"/>
  <c r="L38" i="31"/>
  <c r="J38" i="31"/>
  <c r="E38" i="31"/>
  <c r="O37" i="31"/>
  <c r="M37" i="31"/>
  <c r="L37" i="31"/>
  <c r="J37" i="31"/>
  <c r="E37" i="31"/>
  <c r="O36" i="31"/>
  <c r="M36" i="31"/>
  <c r="L36" i="31"/>
  <c r="J36" i="31"/>
  <c r="E36" i="31"/>
  <c r="O35" i="31"/>
  <c r="M35" i="31"/>
  <c r="L35" i="31"/>
  <c r="J35" i="31"/>
  <c r="E35" i="31"/>
  <c r="O34" i="31"/>
  <c r="M34" i="31"/>
  <c r="L34" i="31"/>
  <c r="J34" i="31"/>
  <c r="E34" i="31"/>
  <c r="O33" i="31"/>
  <c r="M33" i="31"/>
  <c r="L33" i="31"/>
  <c r="J33" i="31"/>
  <c r="E33" i="31"/>
  <c r="O32" i="31"/>
  <c r="M32" i="31"/>
  <c r="L32" i="31"/>
  <c r="O31" i="31"/>
  <c r="M31" i="31"/>
  <c r="L31" i="31"/>
  <c r="J31" i="31"/>
  <c r="E31" i="31"/>
  <c r="O30" i="31"/>
  <c r="M30" i="31"/>
  <c r="L30" i="31"/>
  <c r="J30" i="31"/>
  <c r="E30" i="31"/>
  <c r="O29" i="31"/>
  <c r="M29" i="31"/>
  <c r="L29" i="31"/>
  <c r="J29" i="31"/>
  <c r="E29" i="31"/>
  <c r="O28" i="31"/>
  <c r="M28" i="31"/>
  <c r="L28" i="31"/>
  <c r="J28" i="31"/>
  <c r="E28" i="31"/>
  <c r="O27" i="31"/>
  <c r="M27" i="31"/>
  <c r="L27" i="31"/>
  <c r="O26" i="31"/>
  <c r="M26" i="31"/>
  <c r="L26" i="31"/>
  <c r="J26" i="31"/>
  <c r="E26" i="31"/>
  <c r="O25" i="31"/>
  <c r="L25" i="31"/>
  <c r="J25" i="31"/>
  <c r="O24" i="31"/>
  <c r="M24" i="31"/>
  <c r="L24" i="31"/>
  <c r="J24" i="31"/>
  <c r="E24" i="31"/>
  <c r="O23" i="31"/>
  <c r="M23" i="31"/>
  <c r="L23" i="31"/>
  <c r="J23" i="31"/>
  <c r="E23" i="31"/>
  <c r="O22" i="31"/>
  <c r="M22" i="31"/>
  <c r="L22" i="31"/>
  <c r="O21" i="31"/>
  <c r="M21" i="31"/>
  <c r="L21" i="31"/>
  <c r="O20" i="31"/>
  <c r="M20" i="31"/>
  <c r="L20" i="31"/>
  <c r="J20" i="31"/>
  <c r="E20" i="31"/>
  <c r="O19" i="31"/>
  <c r="M19" i="31"/>
  <c r="L19" i="31"/>
  <c r="O18" i="31"/>
  <c r="M18" i="31"/>
  <c r="L18" i="31"/>
  <c r="J18" i="31"/>
  <c r="E18" i="31"/>
  <c r="O17" i="31"/>
  <c r="M17" i="31"/>
  <c r="L17" i="31"/>
  <c r="J17" i="31"/>
  <c r="O16" i="31"/>
  <c r="N16" i="31"/>
  <c r="M16" i="31"/>
  <c r="L16" i="31"/>
  <c r="J16" i="31"/>
  <c r="E16" i="31"/>
  <c r="O15" i="31"/>
  <c r="N15" i="31"/>
  <c r="M15" i="31"/>
  <c r="L15" i="31"/>
  <c r="J15" i="31"/>
  <c r="E15" i="31"/>
  <c r="O14" i="31"/>
  <c r="M14" i="31"/>
  <c r="L14" i="31"/>
  <c r="O13" i="31"/>
  <c r="N13" i="31"/>
  <c r="M13" i="31"/>
  <c r="L13" i="31"/>
  <c r="J13" i="31"/>
  <c r="E13" i="31"/>
  <c r="O12" i="31"/>
  <c r="N12" i="31"/>
  <c r="M12" i="31"/>
  <c r="J12" i="31"/>
  <c r="I12" i="31"/>
  <c r="E12" i="31"/>
  <c r="O11" i="31"/>
  <c r="M11" i="31"/>
  <c r="I11" i="31"/>
  <c r="M10" i="31"/>
  <c r="M9" i="31"/>
  <c r="R8" i="31"/>
  <c r="E42" i="29"/>
  <c r="M40" i="29"/>
  <c r="L40" i="29"/>
  <c r="K40" i="29"/>
  <c r="H40" i="29"/>
  <c r="G40" i="29"/>
  <c r="F40" i="29"/>
  <c r="O39" i="29"/>
  <c r="N39" i="29"/>
  <c r="M39" i="29"/>
  <c r="L39" i="29"/>
  <c r="J39" i="29"/>
  <c r="E39" i="29"/>
  <c r="O38" i="29"/>
  <c r="N38" i="29"/>
  <c r="M38" i="29"/>
  <c r="L38" i="29"/>
  <c r="J38" i="29"/>
  <c r="E38" i="29"/>
  <c r="O37" i="29"/>
  <c r="N37" i="29"/>
  <c r="M37" i="29"/>
  <c r="L37" i="29"/>
  <c r="J37" i="29"/>
  <c r="E37" i="29"/>
  <c r="O36" i="29"/>
  <c r="N36" i="29"/>
  <c r="M36" i="29"/>
  <c r="L36" i="29"/>
  <c r="J36" i="29"/>
  <c r="E36" i="29"/>
  <c r="O35" i="29"/>
  <c r="N35" i="29"/>
  <c r="M35" i="29"/>
  <c r="L35" i="29"/>
  <c r="J35" i="29"/>
  <c r="E35" i="29"/>
  <c r="O34" i="29"/>
  <c r="N34" i="29"/>
  <c r="M34" i="29"/>
  <c r="L34" i="29"/>
  <c r="J34" i="29"/>
  <c r="E34" i="29"/>
  <c r="O33" i="29"/>
  <c r="N33" i="29"/>
  <c r="M33" i="29"/>
  <c r="L33" i="29"/>
  <c r="J33" i="29"/>
  <c r="E33" i="29"/>
  <c r="O32" i="29"/>
  <c r="N32" i="29"/>
  <c r="M32" i="29"/>
  <c r="L32" i="29"/>
  <c r="O31" i="29"/>
  <c r="N31" i="29"/>
  <c r="M31" i="29"/>
  <c r="L31" i="29"/>
  <c r="J31" i="29"/>
  <c r="E31" i="29"/>
  <c r="O30" i="29"/>
  <c r="N30" i="29"/>
  <c r="M30" i="29"/>
  <c r="L30" i="29"/>
  <c r="J30" i="29"/>
  <c r="E30" i="29"/>
  <c r="O29" i="29"/>
  <c r="N29" i="29"/>
  <c r="M29" i="29"/>
  <c r="L29" i="29"/>
  <c r="J29" i="29"/>
  <c r="E29" i="29"/>
  <c r="O28" i="29"/>
  <c r="N28" i="29"/>
  <c r="M28" i="29"/>
  <c r="L28" i="29"/>
  <c r="J28" i="29"/>
  <c r="E28" i="29"/>
  <c r="O27" i="29"/>
  <c r="N27" i="29"/>
  <c r="M27" i="29"/>
  <c r="L27" i="29"/>
  <c r="O26" i="29"/>
  <c r="N26" i="29"/>
  <c r="M26" i="29"/>
  <c r="L26" i="29"/>
  <c r="J26" i="29"/>
  <c r="E26" i="29"/>
  <c r="O25" i="29"/>
  <c r="M25" i="29"/>
  <c r="L25" i="29"/>
  <c r="J25" i="29"/>
  <c r="O24" i="29"/>
  <c r="N24" i="29"/>
  <c r="M24" i="29"/>
  <c r="L24" i="29"/>
  <c r="J24" i="29"/>
  <c r="E24" i="29"/>
  <c r="O23" i="29"/>
  <c r="N23" i="29"/>
  <c r="M23" i="29"/>
  <c r="L23" i="29"/>
  <c r="J23" i="29"/>
  <c r="E23" i="29"/>
  <c r="O22" i="29"/>
  <c r="N22" i="29"/>
  <c r="M22" i="29"/>
  <c r="L22" i="29"/>
  <c r="O21" i="29"/>
  <c r="N21" i="29"/>
  <c r="M21" i="29"/>
  <c r="L21" i="29"/>
  <c r="E21" i="29"/>
  <c r="O20" i="29"/>
  <c r="N20" i="29"/>
  <c r="M20" i="29"/>
  <c r="L20" i="29"/>
  <c r="J20" i="29"/>
  <c r="E20" i="29"/>
  <c r="O19" i="29"/>
  <c r="N19" i="29"/>
  <c r="M19" i="29"/>
  <c r="L19" i="29"/>
  <c r="O18" i="29"/>
  <c r="N18" i="29"/>
  <c r="M18" i="29"/>
  <c r="L18" i="29"/>
  <c r="J18" i="29"/>
  <c r="E18" i="29"/>
  <c r="O17" i="29"/>
  <c r="N17" i="29"/>
  <c r="M17" i="29"/>
  <c r="L17" i="29"/>
  <c r="J17" i="29"/>
  <c r="E17" i="29"/>
  <c r="O16" i="29"/>
  <c r="N16" i="29"/>
  <c r="M16" i="29"/>
  <c r="L16" i="29"/>
  <c r="J16" i="29"/>
  <c r="E16" i="29"/>
  <c r="O15" i="29"/>
  <c r="N15" i="29"/>
  <c r="M15" i="29"/>
  <c r="L15" i="29"/>
  <c r="J15" i="29"/>
  <c r="E15" i="29"/>
  <c r="O14" i="29"/>
  <c r="N14" i="29"/>
  <c r="M14" i="29"/>
  <c r="L14" i="29"/>
  <c r="E14" i="29"/>
  <c r="O13" i="29"/>
  <c r="N13" i="29"/>
  <c r="M13" i="29"/>
  <c r="L13" i="29"/>
  <c r="J13" i="29"/>
  <c r="E13" i="29"/>
  <c r="O12" i="29"/>
  <c r="N12" i="29"/>
  <c r="M12" i="29"/>
  <c r="L12" i="29"/>
  <c r="J12" i="29"/>
  <c r="I12" i="29"/>
  <c r="E12" i="29"/>
  <c r="O11" i="29"/>
  <c r="M11" i="29"/>
  <c r="L11" i="29"/>
  <c r="I11" i="29"/>
  <c r="M10" i="29"/>
  <c r="L10" i="29"/>
  <c r="M9" i="29"/>
  <c r="L9" i="29"/>
  <c r="R8" i="29"/>
  <c r="F41" i="27"/>
  <c r="M39" i="27"/>
  <c r="L39" i="27"/>
  <c r="K39" i="27"/>
  <c r="J39" i="27"/>
  <c r="G39" i="27"/>
  <c r="F39" i="27"/>
  <c r="E39" i="27"/>
  <c r="O38" i="27"/>
  <c r="N38" i="27"/>
  <c r="M38" i="27"/>
  <c r="L38" i="27"/>
  <c r="K38" i="27"/>
  <c r="I38" i="27"/>
  <c r="H38" i="27"/>
  <c r="D38" i="27"/>
  <c r="T37" i="27"/>
  <c r="O37" i="27"/>
  <c r="N37" i="27"/>
  <c r="M37" i="27"/>
  <c r="L37" i="27"/>
  <c r="K37" i="27"/>
  <c r="I37" i="27"/>
  <c r="H37" i="27"/>
  <c r="D37" i="27"/>
  <c r="T36" i="27"/>
  <c r="O36" i="27"/>
  <c r="N36" i="27"/>
  <c r="M36" i="27"/>
  <c r="L36" i="27"/>
  <c r="K36" i="27"/>
  <c r="I36" i="27"/>
  <c r="H36" i="27"/>
  <c r="D36" i="27"/>
  <c r="T35" i="27"/>
  <c r="O35" i="27"/>
  <c r="N35" i="27"/>
  <c r="M35" i="27"/>
  <c r="L35" i="27"/>
  <c r="K35" i="27"/>
  <c r="I35" i="27"/>
  <c r="H35" i="27"/>
  <c r="D35" i="27"/>
  <c r="O34" i="27"/>
  <c r="N34" i="27"/>
  <c r="M34" i="27"/>
  <c r="L34" i="27"/>
  <c r="K34" i="27"/>
  <c r="I34" i="27"/>
  <c r="H34" i="27"/>
  <c r="D34" i="27"/>
  <c r="O33" i="27"/>
  <c r="N33" i="27"/>
  <c r="M33" i="27"/>
  <c r="L33" i="27"/>
  <c r="K33" i="27"/>
  <c r="I33" i="27"/>
  <c r="H33" i="27"/>
  <c r="D33" i="27"/>
  <c r="O32" i="27"/>
  <c r="N32" i="27"/>
  <c r="M32" i="27"/>
  <c r="L32" i="27"/>
  <c r="K32" i="27"/>
  <c r="I32" i="27"/>
  <c r="H32" i="27"/>
  <c r="D32" i="27"/>
  <c r="O31" i="27"/>
  <c r="N31" i="27"/>
  <c r="M31" i="27"/>
  <c r="L31" i="27"/>
  <c r="K31" i="27"/>
  <c r="I31" i="27"/>
  <c r="H31" i="27"/>
  <c r="D31" i="27"/>
  <c r="O30" i="27"/>
  <c r="N30" i="27"/>
  <c r="M30" i="27"/>
  <c r="L30" i="27"/>
  <c r="K30" i="27"/>
  <c r="I30" i="27"/>
  <c r="H30" i="27"/>
  <c r="D30" i="27"/>
  <c r="O29" i="27"/>
  <c r="N29" i="27"/>
  <c r="M29" i="27"/>
  <c r="L29" i="27"/>
  <c r="K29" i="27"/>
  <c r="I29" i="27"/>
  <c r="H29" i="27"/>
  <c r="D29" i="27"/>
  <c r="O28" i="27"/>
  <c r="N28" i="27"/>
  <c r="M28" i="27"/>
  <c r="L28" i="27"/>
  <c r="K28" i="27"/>
  <c r="I28" i="27"/>
  <c r="H28" i="27"/>
  <c r="D28" i="27"/>
  <c r="O27" i="27"/>
  <c r="N27" i="27"/>
  <c r="M27" i="27"/>
  <c r="L27" i="27"/>
  <c r="K27" i="27"/>
  <c r="I27" i="27"/>
  <c r="H27" i="27"/>
  <c r="D27" i="27"/>
  <c r="O26" i="27"/>
  <c r="N26" i="27"/>
  <c r="M26" i="27"/>
  <c r="L26" i="27"/>
  <c r="K26" i="27"/>
  <c r="I26" i="27"/>
  <c r="H26" i="27"/>
  <c r="D26" i="27"/>
  <c r="O25" i="27"/>
  <c r="N25" i="27"/>
  <c r="M25" i="27"/>
  <c r="L25" i="27"/>
  <c r="K25" i="27"/>
  <c r="I25" i="27"/>
  <c r="H25" i="27"/>
  <c r="D25" i="27"/>
  <c r="O24" i="27"/>
  <c r="N24" i="27"/>
  <c r="M24" i="27"/>
  <c r="L24" i="27"/>
  <c r="K24" i="27"/>
  <c r="I24" i="27"/>
  <c r="H24" i="27"/>
  <c r="D24" i="27"/>
  <c r="O23" i="27"/>
  <c r="N23" i="27"/>
  <c r="M23" i="27"/>
  <c r="L23" i="27"/>
  <c r="K23" i="27"/>
  <c r="I23" i="27"/>
  <c r="H23" i="27"/>
  <c r="D23" i="27"/>
  <c r="O22" i="27"/>
  <c r="N22" i="27"/>
  <c r="M22" i="27"/>
  <c r="L22" i="27"/>
  <c r="K22" i="27"/>
  <c r="I22" i="27"/>
  <c r="H22" i="27"/>
  <c r="D22" i="27"/>
  <c r="O21" i="27"/>
  <c r="N21" i="27"/>
  <c r="M21" i="27"/>
  <c r="L21" i="27"/>
  <c r="K21" i="27"/>
  <c r="I21" i="27"/>
  <c r="H21" i="27"/>
  <c r="D21" i="27"/>
  <c r="O20" i="27"/>
  <c r="N20" i="27"/>
  <c r="M20" i="27"/>
  <c r="L20" i="27"/>
  <c r="K20" i="27"/>
  <c r="I20" i="27"/>
  <c r="H20" i="27"/>
  <c r="D20" i="27"/>
  <c r="O19" i="27"/>
  <c r="N19" i="27"/>
  <c r="M19" i="27"/>
  <c r="L19" i="27"/>
  <c r="K19" i="27"/>
  <c r="I19" i="27"/>
  <c r="H19" i="27"/>
  <c r="D19" i="27"/>
  <c r="O18" i="27"/>
  <c r="N18" i="27"/>
  <c r="M18" i="27"/>
  <c r="L18" i="27"/>
  <c r="K18" i="27"/>
  <c r="I18" i="27"/>
  <c r="H18" i="27"/>
  <c r="D18" i="27"/>
  <c r="O17" i="27"/>
  <c r="N17" i="27"/>
  <c r="M17" i="27"/>
  <c r="L17" i="27"/>
  <c r="K17" i="27"/>
  <c r="I17" i="27"/>
  <c r="O16" i="27"/>
  <c r="N16" i="27"/>
  <c r="M16" i="27"/>
  <c r="L16" i="27"/>
  <c r="K16" i="27"/>
  <c r="I16" i="27"/>
  <c r="H16" i="27"/>
  <c r="D16" i="27"/>
  <c r="O15" i="27"/>
  <c r="N15" i="27"/>
  <c r="M15" i="27"/>
  <c r="L15" i="27"/>
  <c r="K15" i="27"/>
  <c r="I15" i="27"/>
  <c r="H15" i="27"/>
  <c r="D15" i="27"/>
  <c r="O14" i="27"/>
  <c r="N14" i="27"/>
  <c r="M14" i="27"/>
  <c r="L14" i="27"/>
  <c r="K14" i="27"/>
  <c r="I14" i="27"/>
  <c r="H14" i="27"/>
  <c r="D14" i="27"/>
  <c r="O13" i="27"/>
  <c r="N13" i="27"/>
  <c r="M13" i="27"/>
  <c r="K13" i="27"/>
  <c r="O12" i="27"/>
  <c r="N12" i="27"/>
  <c r="M12" i="27"/>
  <c r="L12" i="27"/>
  <c r="K12" i="27"/>
  <c r="I12" i="27"/>
  <c r="H12" i="27"/>
  <c r="D12" i="27"/>
  <c r="O11" i="27"/>
  <c r="N11" i="27"/>
  <c r="M11" i="27"/>
  <c r="L11" i="27"/>
  <c r="K11" i="27"/>
  <c r="I11" i="27"/>
  <c r="H11" i="27"/>
  <c r="D11" i="27"/>
  <c r="O10" i="27"/>
  <c r="N10" i="27"/>
  <c r="M10" i="27"/>
  <c r="L10" i="27"/>
  <c r="K10" i="27"/>
  <c r="I10" i="27"/>
  <c r="H10" i="27"/>
  <c r="D10" i="27"/>
  <c r="O9" i="27"/>
  <c r="N9" i="27"/>
  <c r="M9" i="27"/>
  <c r="L9" i="27"/>
  <c r="K9" i="27"/>
  <c r="I9" i="27"/>
  <c r="H9" i="27"/>
  <c r="D9" i="27"/>
  <c r="O8" i="27"/>
  <c r="N8" i="27"/>
  <c r="M8" i="27"/>
  <c r="L8" i="27"/>
  <c r="K8" i="27"/>
  <c r="I8" i="27"/>
  <c r="H8" i="27"/>
  <c r="D8" i="27"/>
  <c r="F32" i="56"/>
  <c r="F31" i="56"/>
  <c r="F30" i="56"/>
  <c r="F29" i="56"/>
  <c r="F24" i="56"/>
  <c r="F23" i="56"/>
  <c r="F15" i="56"/>
  <c r="E15" i="56"/>
  <c r="E13" i="56"/>
  <c r="F13" i="56" s="1"/>
  <c r="E12" i="56"/>
  <c r="F12" i="56" s="1"/>
  <c r="F38" i="26"/>
  <c r="K37" i="26"/>
  <c r="G37" i="26"/>
  <c r="K36" i="26"/>
  <c r="G36" i="26"/>
  <c r="K35" i="26"/>
  <c r="G35" i="26"/>
  <c r="K34" i="26"/>
  <c r="G34" i="26"/>
  <c r="K33" i="26"/>
  <c r="G33" i="26"/>
  <c r="K32" i="26"/>
  <c r="G32" i="26"/>
  <c r="K31" i="26"/>
  <c r="G31" i="26"/>
  <c r="K30" i="26"/>
  <c r="G30" i="26"/>
  <c r="K29" i="26"/>
  <c r="G29" i="26"/>
  <c r="K28" i="26"/>
  <c r="G28" i="26"/>
  <c r="K27" i="26"/>
  <c r="G27" i="26"/>
  <c r="K26" i="26"/>
  <c r="G26" i="26"/>
  <c r="K25" i="26"/>
  <c r="G25" i="26"/>
  <c r="K24" i="26"/>
  <c r="G24" i="26"/>
  <c r="K23" i="26"/>
  <c r="G23" i="26"/>
  <c r="K22" i="26"/>
  <c r="G22" i="26"/>
  <c r="K21" i="26"/>
  <c r="G21" i="26"/>
  <c r="K20" i="26"/>
  <c r="G20" i="26"/>
  <c r="K19" i="26"/>
  <c r="G19" i="26"/>
  <c r="K18" i="26"/>
  <c r="G18" i="26"/>
  <c r="K17" i="26"/>
  <c r="G17" i="26"/>
  <c r="K16" i="26"/>
  <c r="G16" i="26"/>
  <c r="K15" i="26"/>
  <c r="G15" i="26"/>
  <c r="K14" i="26"/>
  <c r="G14" i="26"/>
  <c r="K13" i="26"/>
  <c r="G13" i="26"/>
  <c r="K12" i="26"/>
  <c r="G12" i="26"/>
  <c r="K11" i="26"/>
  <c r="G11" i="26"/>
  <c r="K10" i="26"/>
  <c r="G10" i="26"/>
  <c r="K9" i="26"/>
  <c r="G9" i="26"/>
  <c r="K8" i="26"/>
  <c r="G8" i="26"/>
  <c r="K7" i="26"/>
  <c r="G7" i="26"/>
  <c r="D7" i="26"/>
  <c r="F38" i="25"/>
  <c r="L37" i="25"/>
  <c r="K37" i="25"/>
  <c r="G37" i="25"/>
  <c r="L36" i="25"/>
  <c r="K36" i="25"/>
  <c r="G36" i="25"/>
  <c r="L35" i="25"/>
  <c r="K35" i="25"/>
  <c r="G35" i="25"/>
  <c r="L34" i="25"/>
  <c r="K34" i="25"/>
  <c r="H34" i="25"/>
  <c r="G34" i="25"/>
  <c r="K33" i="25"/>
  <c r="G33" i="25"/>
  <c r="L32" i="25"/>
  <c r="K32" i="25"/>
  <c r="G32" i="25"/>
  <c r="L31" i="25"/>
  <c r="K31" i="25"/>
  <c r="H31" i="25"/>
  <c r="G31" i="25"/>
  <c r="L30" i="25"/>
  <c r="K30" i="25"/>
  <c r="G30" i="25"/>
  <c r="L29" i="25"/>
  <c r="K29" i="25"/>
  <c r="G29" i="25"/>
  <c r="L28" i="25"/>
  <c r="K28" i="25"/>
  <c r="G28" i="25"/>
  <c r="L27" i="25"/>
  <c r="K27" i="25"/>
  <c r="H27" i="25"/>
  <c r="G27" i="25"/>
  <c r="L26" i="25"/>
  <c r="K26" i="25"/>
  <c r="H26" i="25"/>
  <c r="G26" i="25"/>
  <c r="L25" i="25"/>
  <c r="K25" i="25"/>
  <c r="H25" i="25"/>
  <c r="G25" i="25"/>
  <c r="L24" i="25"/>
  <c r="K24" i="25"/>
  <c r="H24" i="25"/>
  <c r="G24" i="25"/>
  <c r="L23" i="25"/>
  <c r="K23" i="25"/>
  <c r="H23" i="25"/>
  <c r="G23" i="25"/>
  <c r="K22" i="25"/>
  <c r="G22" i="25"/>
  <c r="L21" i="25"/>
  <c r="K21" i="25"/>
  <c r="H21" i="25"/>
  <c r="G21" i="25"/>
  <c r="L20" i="25"/>
  <c r="K20" i="25"/>
  <c r="H20" i="25"/>
  <c r="G20" i="25"/>
  <c r="L19" i="25"/>
  <c r="K19" i="25"/>
  <c r="H19" i="25"/>
  <c r="G19" i="25"/>
  <c r="L18" i="25"/>
  <c r="K18" i="25"/>
  <c r="G18" i="25"/>
  <c r="L17" i="25"/>
  <c r="K17" i="25"/>
  <c r="H17" i="25"/>
  <c r="G17" i="25"/>
  <c r="L16" i="25"/>
  <c r="K16" i="25"/>
  <c r="G16" i="25"/>
  <c r="K15" i="25"/>
  <c r="G15" i="25"/>
  <c r="K14" i="25"/>
  <c r="G14" i="25"/>
  <c r="L13" i="25"/>
  <c r="K13" i="25"/>
  <c r="G13" i="25"/>
  <c r="L12" i="25"/>
  <c r="K12" i="25"/>
  <c r="G12" i="25"/>
  <c r="K11" i="25"/>
  <c r="G11" i="25"/>
  <c r="K10" i="25"/>
  <c r="G10" i="25"/>
  <c r="L9" i="25"/>
  <c r="K9" i="25"/>
  <c r="G9" i="25"/>
  <c r="L8" i="25"/>
  <c r="K8" i="25"/>
  <c r="G8" i="25"/>
  <c r="K7" i="25"/>
  <c r="G7" i="25"/>
  <c r="D7" i="25"/>
  <c r="E55" i="19"/>
  <c r="C55" i="19"/>
  <c r="C49" i="19"/>
  <c r="H45" i="19"/>
  <c r="I42" i="19"/>
  <c r="K42" i="19" s="1"/>
  <c r="I41" i="19"/>
  <c r="K41" i="19" s="1"/>
  <c r="E36" i="19"/>
  <c r="M35" i="19"/>
  <c r="K35" i="19"/>
  <c r="L35" i="19" s="1"/>
  <c r="G22" i="18" s="1"/>
  <c r="G35" i="19"/>
  <c r="E35" i="19"/>
  <c r="N31" i="19"/>
  <c r="K31" i="19"/>
  <c r="H31" i="19"/>
  <c r="F31" i="19"/>
  <c r="O30" i="19"/>
  <c r="O31" i="19" s="1"/>
  <c r="N30" i="19"/>
  <c r="M30" i="19"/>
  <c r="L30" i="19"/>
  <c r="J30" i="19"/>
  <c r="I30" i="19"/>
  <c r="G35" i="59" s="1"/>
  <c r="I35" i="59" s="1"/>
  <c r="E30" i="19"/>
  <c r="E31" i="19" s="1"/>
  <c r="L29" i="19"/>
  <c r="M29" i="19" s="1"/>
  <c r="I29" i="19"/>
  <c r="J29" i="19" s="1"/>
  <c r="L28" i="19"/>
  <c r="M28" i="19" s="1"/>
  <c r="I28" i="19"/>
  <c r="I27" i="19"/>
  <c r="K24" i="19"/>
  <c r="L24" i="19" s="1"/>
  <c r="G13" i="18" s="1"/>
  <c r="H24" i="19"/>
  <c r="J24" i="19" s="1"/>
  <c r="E24" i="19"/>
  <c r="G24" i="19" s="1"/>
  <c r="M20" i="19"/>
  <c r="K20" i="19"/>
  <c r="L20" i="19" s="1"/>
  <c r="I20" i="19"/>
  <c r="H20" i="19"/>
  <c r="N20" i="19" s="1"/>
  <c r="O20" i="19" s="1"/>
  <c r="G20" i="19"/>
  <c r="K19" i="19"/>
  <c r="L19" i="19" s="1"/>
  <c r="J19" i="19"/>
  <c r="H19" i="19"/>
  <c r="I19" i="19" s="1"/>
  <c r="E19" i="19"/>
  <c r="K18" i="19"/>
  <c r="L18" i="19" s="1"/>
  <c r="J18" i="19"/>
  <c r="I18" i="19"/>
  <c r="H18" i="19"/>
  <c r="E18" i="19"/>
  <c r="K17" i="19"/>
  <c r="L17" i="19" s="1"/>
  <c r="I17" i="19"/>
  <c r="H17" i="19"/>
  <c r="J17" i="19" s="1"/>
  <c r="E17" i="19"/>
  <c r="K16" i="19"/>
  <c r="L16" i="19" s="1"/>
  <c r="H16" i="19"/>
  <c r="J16" i="19" s="1"/>
  <c r="E16" i="19"/>
  <c r="G16" i="19" s="1"/>
  <c r="K15" i="19"/>
  <c r="L15" i="19" s="1"/>
  <c r="H15" i="19"/>
  <c r="J15" i="19" s="1"/>
  <c r="F15" i="19"/>
  <c r="E15" i="19"/>
  <c r="G15" i="19" s="1"/>
  <c r="M14" i="19"/>
  <c r="K14" i="19"/>
  <c r="L14" i="19" s="1"/>
  <c r="I14" i="19"/>
  <c r="H14" i="19"/>
  <c r="J14" i="19" s="1"/>
  <c r="F14" i="19"/>
  <c r="E14" i="19"/>
  <c r="G14" i="19" s="1"/>
  <c r="K13" i="19"/>
  <c r="L13" i="19" s="1"/>
  <c r="H13" i="19"/>
  <c r="J13" i="19" s="1"/>
  <c r="G13" i="19"/>
  <c r="F13" i="19"/>
  <c r="E13" i="19"/>
  <c r="M12" i="19"/>
  <c r="K12" i="19"/>
  <c r="L12" i="19" s="1"/>
  <c r="I12" i="19"/>
  <c r="H12" i="19"/>
  <c r="J12" i="19" s="1"/>
  <c r="G12" i="19"/>
  <c r="P12" i="19" s="1"/>
  <c r="E12" i="19"/>
  <c r="F12" i="19" s="1"/>
  <c r="K11" i="19"/>
  <c r="M11" i="19" s="1"/>
  <c r="H11" i="19"/>
  <c r="J11" i="19" s="1"/>
  <c r="E11" i="19"/>
  <c r="K10" i="19"/>
  <c r="M10" i="19" s="1"/>
  <c r="H10" i="19"/>
  <c r="J10" i="19" s="1"/>
  <c r="E10" i="19"/>
  <c r="K9" i="19"/>
  <c r="H9" i="19"/>
  <c r="E9" i="19"/>
  <c r="K8" i="19"/>
  <c r="M8" i="19" s="1"/>
  <c r="H8" i="19"/>
  <c r="J8" i="19" s="1"/>
  <c r="G8" i="19"/>
  <c r="P8" i="19" s="1"/>
  <c r="E8" i="19"/>
  <c r="E7" i="19"/>
  <c r="E6" i="19"/>
  <c r="E5" i="19"/>
  <c r="N58" i="18"/>
  <c r="M58" i="18"/>
  <c r="M55" i="18"/>
  <c r="I55" i="18"/>
  <c r="F55" i="18"/>
  <c r="D55" i="18"/>
  <c r="N49" i="18"/>
  <c r="M49" i="18"/>
  <c r="L49" i="18"/>
  <c r="M47" i="18"/>
  <c r="K47" i="18"/>
  <c r="J47" i="18"/>
  <c r="M45" i="18"/>
  <c r="L45" i="18"/>
  <c r="I37" i="18"/>
  <c r="H37" i="18"/>
  <c r="M34" i="18"/>
  <c r="G34" i="18"/>
  <c r="F34" i="18"/>
  <c r="R108" i="17"/>
  <c r="Q108" i="17"/>
  <c r="Q106" i="17"/>
  <c r="M106" i="17"/>
  <c r="R104" i="17"/>
  <c r="Q104" i="17"/>
  <c r="P104" i="17"/>
  <c r="Q102" i="17"/>
  <c r="O102" i="17"/>
  <c r="N102" i="17"/>
  <c r="Q100" i="17"/>
  <c r="P100" i="17"/>
  <c r="Q98" i="17"/>
  <c r="P98" i="17"/>
  <c r="N98" i="17"/>
  <c r="H97" i="17"/>
  <c r="Q96" i="17"/>
  <c r="P96" i="17"/>
  <c r="DZ94" i="17"/>
  <c r="DY94" i="17"/>
  <c r="DX94" i="17"/>
  <c r="DW94" i="17"/>
  <c r="DV94" i="17"/>
  <c r="DT94" i="17"/>
  <c r="DS94" i="17"/>
  <c r="DR94" i="17"/>
  <c r="DJ94" i="17"/>
  <c r="DI94" i="17"/>
  <c r="DH94" i="17"/>
  <c r="DG94" i="17"/>
  <c r="DF94" i="17"/>
  <c r="DD94" i="17"/>
  <c r="DC94" i="17"/>
  <c r="DB94" i="17"/>
  <c r="CN94" i="17"/>
  <c r="CL94" i="17"/>
  <c r="F49" i="59" s="1"/>
  <c r="CK94" i="17"/>
  <c r="CF94" i="17"/>
  <c r="CE94" i="17"/>
  <c r="CD94" i="17"/>
  <c r="BW94" i="17"/>
  <c r="O44" i="19" s="1"/>
  <c r="BV94" i="17"/>
  <c r="BP94" i="17"/>
  <c r="BO94" i="17"/>
  <c r="BN94" i="17"/>
  <c r="O98" i="17" s="1"/>
  <c r="BM94" i="17"/>
  <c r="BL94" i="17"/>
  <c r="M98" i="17" s="1"/>
  <c r="BK94" i="17"/>
  <c r="H96" i="17" s="1"/>
  <c r="BI94" i="17"/>
  <c r="BA94" i="17"/>
  <c r="AZ94" i="17"/>
  <c r="AY94" i="17"/>
  <c r="AW94" i="17"/>
  <c r="N104" i="17" s="1"/>
  <c r="J49" i="18" s="1"/>
  <c r="AU94" i="17"/>
  <c r="AJ94" i="17"/>
  <c r="AH94" i="17"/>
  <c r="AG94" i="17"/>
  <c r="AE94" i="17"/>
  <c r="AD94" i="17"/>
  <c r="AC94" i="17"/>
  <c r="Z94" i="17"/>
  <c r="G102" i="17" s="1"/>
  <c r="R94" i="17"/>
  <c r="Q94" i="17"/>
  <c r="P94" i="17"/>
  <c r="N94" i="17"/>
  <c r="N96" i="17" s="1"/>
  <c r="J94" i="17"/>
  <c r="CR93" i="17"/>
  <c r="CC93" i="17"/>
  <c r="BQ93" i="17"/>
  <c r="BB93" i="17"/>
  <c r="AX93" i="17"/>
  <c r="AV93" i="17"/>
  <c r="AU93" i="17"/>
  <c r="AT93" i="17"/>
  <c r="AS93" i="17"/>
  <c r="AK93" i="17"/>
  <c r="AF93" i="17"/>
  <c r="S93" i="17"/>
  <c r="M93" i="17"/>
  <c r="H93" i="17"/>
  <c r="DZ92" i="17"/>
  <c r="DJ92" i="17"/>
  <c r="CR92" i="17"/>
  <c r="BQ92" i="17"/>
  <c r="BK92" i="17"/>
  <c r="BB92" i="17"/>
  <c r="AX92" i="17"/>
  <c r="AV92" i="17"/>
  <c r="AU92" i="17"/>
  <c r="AT92" i="17"/>
  <c r="AS92" i="17"/>
  <c r="AK92" i="17"/>
  <c r="AF92" i="17"/>
  <c r="S92" i="17"/>
  <c r="DZ91" i="17"/>
  <c r="DJ91" i="17"/>
  <c r="CR91" i="17"/>
  <c r="BQ91" i="17"/>
  <c r="BK91" i="17"/>
  <c r="BB91" i="17"/>
  <c r="AX91" i="17"/>
  <c r="AK91" i="17"/>
  <c r="AF91" i="17"/>
  <c r="S91" i="17"/>
  <c r="DZ90" i="17"/>
  <c r="DJ90" i="17"/>
  <c r="CR90" i="17"/>
  <c r="BQ90" i="17"/>
  <c r="BK90" i="17"/>
  <c r="BB90" i="17"/>
  <c r="AX90" i="17"/>
  <c r="AK90" i="17"/>
  <c r="AF90" i="17"/>
  <c r="S90" i="17"/>
  <c r="DZ89" i="17"/>
  <c r="DJ89" i="17"/>
  <c r="CR89" i="17"/>
  <c r="BQ89" i="17"/>
  <c r="BK89" i="17"/>
  <c r="BB89" i="17"/>
  <c r="AX89" i="17"/>
  <c r="AK89" i="17"/>
  <c r="AF89" i="17"/>
  <c r="S89" i="17"/>
  <c r="DZ88" i="17"/>
  <c r="DJ88" i="17"/>
  <c r="CR88" i="17"/>
  <c r="BQ88" i="17"/>
  <c r="BK88" i="17"/>
  <c r="BB88" i="17"/>
  <c r="AX88" i="17"/>
  <c r="AK88" i="17"/>
  <c r="AF88" i="17"/>
  <c r="S88" i="17"/>
  <c r="M88" i="17"/>
  <c r="H88" i="17"/>
  <c r="DZ87" i="17"/>
  <c r="DJ87" i="17"/>
  <c r="CR87" i="17"/>
  <c r="CC87" i="17"/>
  <c r="BQ87" i="17"/>
  <c r="BK87" i="17"/>
  <c r="BB87" i="17"/>
  <c r="AX87" i="17"/>
  <c r="AK87" i="17"/>
  <c r="AF87" i="17"/>
  <c r="S87" i="17"/>
  <c r="DZ86" i="17"/>
  <c r="DJ86" i="17"/>
  <c r="CR86" i="17"/>
  <c r="BQ86" i="17"/>
  <c r="BK86" i="17"/>
  <c r="BB86" i="17"/>
  <c r="AX86" i="17"/>
  <c r="AV86" i="17"/>
  <c r="AU86" i="17"/>
  <c r="AT86" i="17"/>
  <c r="AS86" i="17"/>
  <c r="AK86" i="17"/>
  <c r="AF86" i="17"/>
  <c r="S86" i="17"/>
  <c r="DZ85" i="17"/>
  <c r="DJ85" i="17"/>
  <c r="CR85" i="17"/>
  <c r="BQ85" i="17"/>
  <c r="BK85" i="17"/>
  <c r="BB85" i="17"/>
  <c r="AX85" i="17"/>
  <c r="AK85" i="17"/>
  <c r="AF85" i="17"/>
  <c r="S85" i="17"/>
  <c r="DZ84" i="17"/>
  <c r="DJ84" i="17"/>
  <c r="CR84" i="17"/>
  <c r="BQ84" i="17"/>
  <c r="BK84" i="17"/>
  <c r="BB84" i="17"/>
  <c r="AX84" i="17"/>
  <c r="AK84" i="17"/>
  <c r="AF84" i="17"/>
  <c r="S84" i="17"/>
  <c r="DZ83" i="17"/>
  <c r="DJ83" i="17"/>
  <c r="CR83" i="17"/>
  <c r="BQ83" i="17"/>
  <c r="BK83" i="17"/>
  <c r="BB83" i="17"/>
  <c r="AX83" i="17"/>
  <c r="AK83" i="17"/>
  <c r="AF83" i="17"/>
  <c r="S83" i="17"/>
  <c r="DZ82" i="17"/>
  <c r="DJ82" i="17"/>
  <c r="CR82" i="17"/>
  <c r="BQ82" i="17"/>
  <c r="BK82" i="17"/>
  <c r="BB82" i="17"/>
  <c r="AX82" i="17"/>
  <c r="AK82" i="17"/>
  <c r="AF82" i="17"/>
  <c r="S82" i="17"/>
  <c r="DZ81" i="17"/>
  <c r="DJ81" i="17"/>
  <c r="CR81" i="17"/>
  <c r="BQ81" i="17"/>
  <c r="BK81" i="17"/>
  <c r="BB81" i="17"/>
  <c r="AX81" i="17"/>
  <c r="AK81" i="17"/>
  <c r="AF81" i="17"/>
  <c r="S81" i="17"/>
  <c r="M81" i="17"/>
  <c r="H81" i="17"/>
  <c r="G81" i="17"/>
  <c r="DZ80" i="17"/>
  <c r="DJ80" i="17"/>
  <c r="CR80" i="17"/>
  <c r="CC80" i="17"/>
  <c r="BQ80" i="17"/>
  <c r="BK80" i="17"/>
  <c r="BB80" i="17"/>
  <c r="AX80" i="17"/>
  <c r="AK80" i="17"/>
  <c r="AF80" i="17"/>
  <c r="S80" i="17"/>
  <c r="DZ79" i="17"/>
  <c r="DJ79" i="17"/>
  <c r="CR79" i="17"/>
  <c r="CC79" i="17"/>
  <c r="BQ79" i="17"/>
  <c r="BK79" i="17"/>
  <c r="BB79" i="17"/>
  <c r="AX79" i="17"/>
  <c r="AK79" i="17"/>
  <c r="AF79" i="17"/>
  <c r="S79" i="17"/>
  <c r="DZ78" i="17"/>
  <c r="DJ78" i="17"/>
  <c r="CR78" i="17"/>
  <c r="CC78" i="17"/>
  <c r="BQ78" i="17"/>
  <c r="BK78" i="17"/>
  <c r="AX78" i="17"/>
  <c r="AU78" i="17"/>
  <c r="AK78" i="17"/>
  <c r="AF78" i="17"/>
  <c r="S78" i="17"/>
  <c r="BB77" i="17"/>
  <c r="AV77" i="17"/>
  <c r="AU77" i="17"/>
  <c r="AT77" i="17"/>
  <c r="AS77" i="17"/>
  <c r="AK77" i="17"/>
  <c r="AF77" i="17"/>
  <c r="S77" i="17"/>
  <c r="BB76" i="17"/>
  <c r="AK76" i="17"/>
  <c r="AF76" i="17"/>
  <c r="S76" i="17"/>
  <c r="BB75" i="17"/>
  <c r="AK75" i="17"/>
  <c r="AF75" i="17"/>
  <c r="S75" i="17"/>
  <c r="M75" i="17"/>
  <c r="H75" i="17"/>
  <c r="G75" i="17"/>
  <c r="BB74" i="17"/>
  <c r="AK74" i="17"/>
  <c r="AF74" i="17"/>
  <c r="S74" i="17"/>
  <c r="DZ73" i="17"/>
  <c r="DJ73" i="17"/>
  <c r="CR73" i="17"/>
  <c r="CC73" i="17"/>
  <c r="BQ73" i="17"/>
  <c r="BK73" i="17"/>
  <c r="BB73" i="17"/>
  <c r="AK73" i="17"/>
  <c r="AF73" i="17"/>
  <c r="AB73" i="17"/>
  <c r="S73" i="17"/>
  <c r="BB72" i="17"/>
  <c r="AK72" i="17"/>
  <c r="AF72" i="17"/>
  <c r="S72" i="17"/>
  <c r="BB71" i="17"/>
  <c r="AV71" i="17"/>
  <c r="AU71" i="17"/>
  <c r="AT71" i="17"/>
  <c r="AS71" i="17"/>
  <c r="AK71" i="17"/>
  <c r="AI71" i="17"/>
  <c r="AF71" i="17"/>
  <c r="S71" i="17"/>
  <c r="DZ70" i="17"/>
  <c r="DJ70" i="17"/>
  <c r="CR70" i="17"/>
  <c r="CC70" i="17"/>
  <c r="BQ70" i="17"/>
  <c r="BK70" i="17"/>
  <c r="BB70" i="17"/>
  <c r="AK70" i="17"/>
  <c r="AI70" i="17"/>
  <c r="AF70" i="17"/>
  <c r="AB70" i="17"/>
  <c r="M70" i="17"/>
  <c r="S70" i="17" s="1"/>
  <c r="H70" i="17"/>
  <c r="G70" i="17"/>
  <c r="DZ69" i="17"/>
  <c r="DJ69" i="17"/>
  <c r="CR69" i="17"/>
  <c r="CC69" i="17"/>
  <c r="BQ69" i="17"/>
  <c r="BK69" i="17"/>
  <c r="BB69" i="17"/>
  <c r="AK69" i="17"/>
  <c r="AI69" i="17"/>
  <c r="AF69" i="17"/>
  <c r="AB69" i="17"/>
  <c r="S69" i="17"/>
  <c r="DZ68" i="17"/>
  <c r="DJ68" i="17"/>
  <c r="CR68" i="17"/>
  <c r="CC68" i="17"/>
  <c r="BQ68" i="17"/>
  <c r="BK68" i="17"/>
  <c r="BB68" i="17"/>
  <c r="AX68" i="17"/>
  <c r="AK68" i="17"/>
  <c r="AI68" i="17"/>
  <c r="AF68" i="17"/>
  <c r="AB68" i="17"/>
  <c r="S68" i="17"/>
  <c r="AK67" i="17"/>
  <c r="AI67" i="17"/>
  <c r="AF67" i="17"/>
  <c r="S67" i="17"/>
  <c r="AK66" i="17"/>
  <c r="AI66" i="17"/>
  <c r="AF66" i="17"/>
  <c r="S66" i="17"/>
  <c r="DZ65" i="17"/>
  <c r="DJ65" i="17"/>
  <c r="CR65" i="17"/>
  <c r="CC65" i="17"/>
  <c r="BQ65" i="17"/>
  <c r="BK65" i="17"/>
  <c r="BB65" i="17"/>
  <c r="AK65" i="17"/>
  <c r="AI65" i="17"/>
  <c r="AF65" i="17"/>
  <c r="AB65" i="17"/>
  <c r="S65" i="17"/>
  <c r="BB64" i="17"/>
  <c r="AK64" i="17"/>
  <c r="AI64" i="17"/>
  <c r="AF64" i="17"/>
  <c r="BB63" i="17"/>
  <c r="AK63" i="17"/>
  <c r="AI63" i="17"/>
  <c r="AF63" i="17"/>
  <c r="S63" i="17"/>
  <c r="M63" i="17"/>
  <c r="H63" i="17"/>
  <c r="G63" i="17"/>
  <c r="BB62" i="17"/>
  <c r="AV62" i="17"/>
  <c r="AU62" i="17"/>
  <c r="AT62" i="17"/>
  <c r="AS62" i="17"/>
  <c r="AK62" i="17"/>
  <c r="AI62" i="17"/>
  <c r="AF62" i="17"/>
  <c r="S62" i="17"/>
  <c r="BB61" i="17"/>
  <c r="AK61" i="17"/>
  <c r="AI61" i="17"/>
  <c r="AF61" i="17"/>
  <c r="S61" i="17"/>
  <c r="BB60" i="17"/>
  <c r="AK60" i="17"/>
  <c r="AI60" i="17"/>
  <c r="AF60" i="17"/>
  <c r="S60" i="17"/>
  <c r="BB59" i="17"/>
  <c r="AK59" i="17"/>
  <c r="AI59" i="17"/>
  <c r="AF59" i="17"/>
  <c r="S59" i="17"/>
  <c r="DZ58" i="17"/>
  <c r="DJ58" i="17"/>
  <c r="CR58" i="17"/>
  <c r="CC58" i="17"/>
  <c r="BQ58" i="17"/>
  <c r="BK58" i="17"/>
  <c r="BB58" i="17"/>
  <c r="AK58" i="17"/>
  <c r="AI58" i="17"/>
  <c r="AF58" i="17"/>
  <c r="AB58" i="17"/>
  <c r="S58" i="17"/>
  <c r="BB57" i="17"/>
  <c r="AK57" i="17"/>
  <c r="AI57" i="17"/>
  <c r="AF57" i="17"/>
  <c r="S57" i="17"/>
  <c r="M57" i="17"/>
  <c r="H57" i="17"/>
  <c r="G57" i="17"/>
  <c r="AV56" i="17"/>
  <c r="C7" i="53" s="1"/>
  <c r="AU56" i="17"/>
  <c r="AT56" i="17"/>
  <c r="AS56" i="17"/>
  <c r="AK56" i="17"/>
  <c r="AI56" i="17"/>
  <c r="AF56" i="17"/>
  <c r="S56" i="17"/>
  <c r="BB55" i="17"/>
  <c r="AK55" i="17"/>
  <c r="AI55" i="17"/>
  <c r="AF55" i="17"/>
  <c r="S55" i="17"/>
  <c r="DZ54" i="17"/>
  <c r="DJ54" i="17"/>
  <c r="CR54" i="17"/>
  <c r="CC54" i="17"/>
  <c r="BQ54" i="17"/>
  <c r="BK54" i="17"/>
  <c r="BB54" i="17"/>
  <c r="AK54" i="17"/>
  <c r="AI54" i="17"/>
  <c r="AF54" i="17"/>
  <c r="AB54" i="17"/>
  <c r="S54" i="17"/>
  <c r="DZ53" i="17"/>
  <c r="DJ53" i="17"/>
  <c r="CR53" i="17"/>
  <c r="CC53" i="17"/>
  <c r="BQ53" i="17"/>
  <c r="BK53" i="17"/>
  <c r="BB53" i="17"/>
  <c r="AK53" i="17"/>
  <c r="AI53" i="17"/>
  <c r="AF53" i="17"/>
  <c r="AB53" i="17"/>
  <c r="S53" i="17"/>
  <c r="DZ52" i="17"/>
  <c r="DJ52" i="17"/>
  <c r="CR52" i="17"/>
  <c r="CC52" i="17"/>
  <c r="BQ52" i="17"/>
  <c r="BK52" i="17"/>
  <c r="BB52" i="17"/>
  <c r="AK52" i="17"/>
  <c r="AI52" i="17"/>
  <c r="AF52" i="17"/>
  <c r="AB52" i="17"/>
  <c r="M52" i="17"/>
  <c r="S52" i="17" s="1"/>
  <c r="H52" i="17"/>
  <c r="G52" i="17"/>
  <c r="DZ51" i="17"/>
  <c r="DJ51" i="17"/>
  <c r="CR51" i="17"/>
  <c r="CC51" i="17"/>
  <c r="BQ51" i="17"/>
  <c r="BK51" i="17"/>
  <c r="BB51" i="17"/>
  <c r="AK51" i="17"/>
  <c r="AI51" i="17"/>
  <c r="AF51" i="17"/>
  <c r="AB51" i="17"/>
  <c r="S51" i="17"/>
  <c r="L51" i="17"/>
  <c r="J51" i="17"/>
  <c r="DZ50" i="17"/>
  <c r="DJ50" i="17"/>
  <c r="CR50" i="17"/>
  <c r="CC50" i="17"/>
  <c r="BQ50" i="17"/>
  <c r="BK50" i="17"/>
  <c r="BB50" i="17"/>
  <c r="AK50" i="17"/>
  <c r="AI50" i="17"/>
  <c r="AF50" i="17"/>
  <c r="AB50" i="17"/>
  <c r="S50" i="17"/>
  <c r="L50" i="17"/>
  <c r="J50" i="17"/>
  <c r="DZ49" i="17"/>
  <c r="DJ49" i="17"/>
  <c r="CR49" i="17"/>
  <c r="CC49" i="17"/>
  <c r="BQ49" i="17"/>
  <c r="BK49" i="17"/>
  <c r="BB49" i="17"/>
  <c r="AK49" i="17"/>
  <c r="AI49" i="17"/>
  <c r="AF49" i="17"/>
  <c r="AB49" i="17"/>
  <c r="S49" i="17"/>
  <c r="L49" i="17"/>
  <c r="J49" i="17"/>
  <c r="DZ48" i="17"/>
  <c r="DJ48" i="17"/>
  <c r="CR48" i="17"/>
  <c r="CC48" i="17"/>
  <c r="BQ48" i="17"/>
  <c r="BK48" i="17"/>
  <c r="BB48" i="17"/>
  <c r="AK48" i="17"/>
  <c r="AI48" i="17"/>
  <c r="AF48" i="17"/>
  <c r="AB48" i="17"/>
  <c r="S48" i="17"/>
  <c r="L48" i="17"/>
  <c r="J48" i="17"/>
  <c r="DZ47" i="17"/>
  <c r="DJ47" i="17"/>
  <c r="CR47" i="17"/>
  <c r="CC47" i="17"/>
  <c r="BQ47" i="17"/>
  <c r="BK47" i="17"/>
  <c r="BB47" i="17"/>
  <c r="AK47" i="17"/>
  <c r="AI47" i="17"/>
  <c r="AF47" i="17"/>
  <c r="AB47" i="17"/>
  <c r="S47" i="17"/>
  <c r="L47" i="17"/>
  <c r="J47" i="17"/>
  <c r="DZ46" i="17"/>
  <c r="DJ46" i="17"/>
  <c r="CR46" i="17"/>
  <c r="CC46" i="17"/>
  <c r="BQ46" i="17"/>
  <c r="BK46" i="17"/>
  <c r="BB46" i="17"/>
  <c r="AK46" i="17"/>
  <c r="AI46" i="17"/>
  <c r="AF46" i="17"/>
  <c r="AB46" i="17"/>
  <c r="S46" i="17"/>
  <c r="L46" i="17"/>
  <c r="J46" i="17"/>
  <c r="DZ45" i="17"/>
  <c r="DJ45" i="17"/>
  <c r="CR45" i="17"/>
  <c r="CC45" i="17"/>
  <c r="BQ45" i="17"/>
  <c r="BK45" i="17"/>
  <c r="BB45" i="17"/>
  <c r="AV45" i="17"/>
  <c r="AU45" i="17"/>
  <c r="AT45" i="17"/>
  <c r="AS45" i="17"/>
  <c r="AK45" i="17"/>
  <c r="AI45" i="17"/>
  <c r="AF45" i="17"/>
  <c r="AB45" i="17"/>
  <c r="S45" i="17"/>
  <c r="L45" i="17"/>
  <c r="J45" i="17"/>
  <c r="DZ44" i="17"/>
  <c r="DJ44" i="17"/>
  <c r="CR44" i="17"/>
  <c r="CC44" i="17"/>
  <c r="BB44" i="17"/>
  <c r="AK44" i="17"/>
  <c r="AI44" i="17"/>
  <c r="AF44" i="17"/>
  <c r="AB44" i="17"/>
  <c r="S44" i="17"/>
  <c r="L44" i="17"/>
  <c r="J44" i="17"/>
  <c r="DZ43" i="17"/>
  <c r="DJ43" i="17"/>
  <c r="CR43" i="17"/>
  <c r="CC43" i="17"/>
  <c r="BB43" i="17"/>
  <c r="AK43" i="17"/>
  <c r="AI43" i="17"/>
  <c r="AF43" i="17"/>
  <c r="AB43" i="17"/>
  <c r="S43" i="17"/>
  <c r="O43" i="17"/>
  <c r="L43" i="17"/>
  <c r="J43" i="17"/>
  <c r="DZ42" i="17"/>
  <c r="DJ42" i="17"/>
  <c r="CR42" i="17"/>
  <c r="CC42" i="17"/>
  <c r="BB42" i="17"/>
  <c r="AK42" i="17"/>
  <c r="AI42" i="17"/>
  <c r="AF42" i="17"/>
  <c r="AB42" i="17"/>
  <c r="S42" i="17"/>
  <c r="O42" i="17"/>
  <c r="L42" i="17"/>
  <c r="J42" i="17"/>
  <c r="DZ41" i="17"/>
  <c r="DJ41" i="17"/>
  <c r="CR41" i="17"/>
  <c r="CC41" i="17"/>
  <c r="BB41" i="17"/>
  <c r="AK41" i="17"/>
  <c r="AI41" i="17"/>
  <c r="AF41" i="17"/>
  <c r="AB41" i="17"/>
  <c r="S41" i="17"/>
  <c r="O41" i="17"/>
  <c r="L41" i="17"/>
  <c r="J41" i="17"/>
  <c r="DZ40" i="17"/>
  <c r="DJ40" i="17"/>
  <c r="CR40" i="17"/>
  <c r="CC40" i="17"/>
  <c r="BB40" i="17"/>
  <c r="AV40" i="17"/>
  <c r="AU40" i="17"/>
  <c r="AT40" i="17"/>
  <c r="AS40" i="17"/>
  <c r="AK40" i="17"/>
  <c r="AI40" i="17"/>
  <c r="AF40" i="17"/>
  <c r="AB40" i="17"/>
  <c r="S40" i="17"/>
  <c r="O40" i="17"/>
  <c r="L40" i="17"/>
  <c r="J40" i="17"/>
  <c r="DZ39" i="17"/>
  <c r="DJ39" i="17"/>
  <c r="CR39" i="17"/>
  <c r="CC39" i="17"/>
  <c r="BB39" i="17"/>
  <c r="AK39" i="17"/>
  <c r="AI39" i="17"/>
  <c r="AF39" i="17"/>
  <c r="AB39" i="17"/>
  <c r="S39" i="17"/>
  <c r="DZ38" i="17"/>
  <c r="DJ38" i="17"/>
  <c r="CR38" i="17"/>
  <c r="CC38" i="17"/>
  <c r="BB38" i="17"/>
  <c r="AK38" i="17"/>
  <c r="AI38" i="17"/>
  <c r="AF38" i="17"/>
  <c r="AB38" i="17"/>
  <c r="S38" i="17"/>
  <c r="DZ37" i="17"/>
  <c r="DJ37" i="17"/>
  <c r="CR37" i="17"/>
  <c r="CC37" i="17"/>
  <c r="BB37" i="17"/>
  <c r="AK37" i="17"/>
  <c r="AI37" i="17"/>
  <c r="AF37" i="17"/>
  <c r="AB37" i="17"/>
  <c r="S37" i="17"/>
  <c r="DZ36" i="17"/>
  <c r="DJ36" i="17"/>
  <c r="CR36" i="17"/>
  <c r="CC36" i="17"/>
  <c r="BB36" i="17"/>
  <c r="AK36" i="17"/>
  <c r="AI36" i="17"/>
  <c r="AF36" i="17"/>
  <c r="AB36" i="17"/>
  <c r="S36" i="17"/>
  <c r="DZ35" i="17"/>
  <c r="DJ35" i="17"/>
  <c r="CR35" i="17"/>
  <c r="CC35" i="17"/>
  <c r="BB35" i="17"/>
  <c r="AK35" i="17"/>
  <c r="AI35" i="17"/>
  <c r="AF35" i="17"/>
  <c r="AB35" i="17"/>
  <c r="S35" i="17"/>
  <c r="DZ34" i="17"/>
  <c r="DJ34" i="17"/>
  <c r="CR34" i="17"/>
  <c r="CC34" i="17"/>
  <c r="BQ34" i="17"/>
  <c r="BB34" i="17"/>
  <c r="AK34" i="17"/>
  <c r="AI34" i="17"/>
  <c r="AF34" i="17"/>
  <c r="AB34" i="17"/>
  <c r="S34" i="17"/>
  <c r="DZ33" i="17"/>
  <c r="DJ33" i="17"/>
  <c r="CR33" i="17"/>
  <c r="CC33" i="17"/>
  <c r="BQ33" i="17"/>
  <c r="BB33" i="17"/>
  <c r="AK33" i="17"/>
  <c r="AI33" i="17"/>
  <c r="AF33" i="17"/>
  <c r="AB33" i="17"/>
  <c r="O33" i="17"/>
  <c r="S33" i="17" s="1"/>
  <c r="DZ32" i="17"/>
  <c r="DJ32" i="17"/>
  <c r="CR32" i="17"/>
  <c r="CC32" i="17"/>
  <c r="BQ32" i="17"/>
  <c r="BK32" i="17"/>
  <c r="BB32" i="17"/>
  <c r="AK32" i="17"/>
  <c r="AI32" i="17"/>
  <c r="AF32" i="17"/>
  <c r="AB32" i="17"/>
  <c r="O32" i="17"/>
  <c r="M32" i="17"/>
  <c r="S32" i="17" s="1"/>
  <c r="H32" i="17"/>
  <c r="G32" i="17"/>
  <c r="DZ31" i="17"/>
  <c r="DJ31" i="17"/>
  <c r="CR31" i="17"/>
  <c r="CC31" i="17"/>
  <c r="BQ31" i="17"/>
  <c r="BK31" i="17"/>
  <c r="BB31" i="17"/>
  <c r="AK31" i="17"/>
  <c r="AI31" i="17"/>
  <c r="AF31" i="17"/>
  <c r="AB31" i="17"/>
  <c r="S31" i="17"/>
  <c r="O31" i="17"/>
  <c r="L31" i="17"/>
  <c r="J31" i="17"/>
  <c r="BB30" i="17"/>
  <c r="AX30" i="17"/>
  <c r="AK30" i="17"/>
  <c r="AI30" i="17"/>
  <c r="AB30" i="17"/>
  <c r="L30" i="17"/>
  <c r="J30" i="17"/>
  <c r="AV29" i="17"/>
  <c r="AU29" i="17"/>
  <c r="AT29" i="17"/>
  <c r="AS29" i="17"/>
  <c r="AK29" i="17"/>
  <c r="AI29" i="17"/>
  <c r="AF29" i="17"/>
  <c r="AB29" i="17"/>
  <c r="O29" i="17"/>
  <c r="L29" i="17"/>
  <c r="J29" i="17"/>
  <c r="AK28" i="17"/>
  <c r="AI28" i="17"/>
  <c r="AF28" i="17"/>
  <c r="AB28" i="17"/>
  <c r="O28" i="17"/>
  <c r="L28" i="17"/>
  <c r="J28" i="17"/>
  <c r="AK27" i="17"/>
  <c r="AI27" i="17"/>
  <c r="AF27" i="17"/>
  <c r="AB27" i="17"/>
  <c r="O27" i="17"/>
  <c r="L27" i="17"/>
  <c r="J27" i="17"/>
  <c r="AK26" i="17"/>
  <c r="AI26" i="17"/>
  <c r="AF26" i="17"/>
  <c r="AB26" i="17"/>
  <c r="O26" i="17"/>
  <c r="L26" i="17"/>
  <c r="J26" i="17"/>
  <c r="AI25" i="17"/>
  <c r="AF25" i="17"/>
  <c r="AK25" i="17" s="1"/>
  <c r="AB25" i="17"/>
  <c r="S25" i="17"/>
  <c r="O25" i="17"/>
  <c r="AI24" i="17"/>
  <c r="AF24" i="17"/>
  <c r="AK24" i="17" s="1"/>
  <c r="AB24" i="17"/>
  <c r="S24" i="17"/>
  <c r="O24" i="17"/>
  <c r="AF23" i="17"/>
  <c r="AI23" i="17" s="1"/>
  <c r="AK23" i="17" s="1"/>
  <c r="AB23" i="17"/>
  <c r="S23" i="17"/>
  <c r="O23" i="17"/>
  <c r="AF22" i="17"/>
  <c r="AB22" i="17"/>
  <c r="S22" i="17"/>
  <c r="AF21" i="17"/>
  <c r="AB21" i="17"/>
  <c r="O21" i="17"/>
  <c r="S21" i="17" s="1"/>
  <c r="AF20" i="17"/>
  <c r="AI20" i="17" s="1"/>
  <c r="AK20" i="17" s="1"/>
  <c r="AB20" i="17"/>
  <c r="O20" i="17"/>
  <c r="S20" i="17" s="1"/>
  <c r="AI19" i="17"/>
  <c r="AK19" i="17" s="1"/>
  <c r="AF19" i="17"/>
  <c r="AB19" i="17"/>
  <c r="O19" i="17"/>
  <c r="AV18" i="17"/>
  <c r="AU18" i="17"/>
  <c r="AT18" i="17"/>
  <c r="AS18" i="17"/>
  <c r="AF18" i="17"/>
  <c r="AB18" i="17"/>
  <c r="M18" i="17"/>
  <c r="H18" i="17"/>
  <c r="G18" i="17"/>
  <c r="BB17" i="17"/>
  <c r="AF17" i="17"/>
  <c r="AB17" i="17"/>
  <c r="S17" i="17"/>
  <c r="O17" i="17"/>
  <c r="BB16" i="17"/>
  <c r="AI16" i="17"/>
  <c r="AF16" i="17"/>
  <c r="AK16" i="17" s="1"/>
  <c r="AB16" i="17"/>
  <c r="S16" i="17"/>
  <c r="O16" i="17"/>
  <c r="BB15" i="17"/>
  <c r="AF15" i="17"/>
  <c r="AI15" i="17" s="1"/>
  <c r="AB15" i="17"/>
  <c r="S15" i="17"/>
  <c r="O15" i="17"/>
  <c r="BB14" i="17"/>
  <c r="AI14" i="17"/>
  <c r="AK14" i="17" s="1"/>
  <c r="AF14" i="17"/>
  <c r="AB14" i="17"/>
  <c r="S14" i="17"/>
  <c r="BB13" i="17"/>
  <c r="AI13" i="17"/>
  <c r="AF13" i="17"/>
  <c r="AK13" i="17" s="1"/>
  <c r="AB13" i="17"/>
  <c r="S13" i="17"/>
  <c r="CC12" i="17"/>
  <c r="BB12" i="17"/>
  <c r="AF12" i="17"/>
  <c r="AI12" i="17" s="1"/>
  <c r="AK12" i="17" s="1"/>
  <c r="AB12" i="17"/>
  <c r="M12" i="17"/>
  <c r="H12" i="17"/>
  <c r="G12" i="17"/>
  <c r="CC11" i="17"/>
  <c r="BB11" i="17"/>
  <c r="AF11" i="17"/>
  <c r="AI11" i="17" s="1"/>
  <c r="AK11" i="17" s="1"/>
  <c r="AB11" i="17"/>
  <c r="S11" i="17"/>
  <c r="O11" i="17"/>
  <c r="CR10" i="17"/>
  <c r="CC10" i="17"/>
  <c r="BB10" i="17"/>
  <c r="AX10" i="17"/>
  <c r="AF10" i="17"/>
  <c r="AI10" i="17" s="1"/>
  <c r="AB10" i="17"/>
  <c r="S10" i="17"/>
  <c r="CR9" i="17"/>
  <c r="CC9" i="17"/>
  <c r="BB9" i="17"/>
  <c r="AX9" i="17"/>
  <c r="AF9" i="17"/>
  <c r="AI9" i="17" s="1"/>
  <c r="AK9" i="17" s="1"/>
  <c r="AB9" i="17"/>
  <c r="S9" i="17"/>
  <c r="DZ8" i="17"/>
  <c r="DJ8" i="17"/>
  <c r="CR8" i="17"/>
  <c r="BQ8" i="17"/>
  <c r="BB8" i="17"/>
  <c r="AF8" i="17"/>
  <c r="AI8" i="17" s="1"/>
  <c r="AB8" i="17"/>
  <c r="S8" i="17"/>
  <c r="DZ7" i="17"/>
  <c r="DJ7" i="17"/>
  <c r="CR7" i="17"/>
  <c r="CC7" i="17"/>
  <c r="BQ7" i="17"/>
  <c r="BQ94" i="17" s="1"/>
  <c r="BB7" i="17"/>
  <c r="BA7" i="17"/>
  <c r="AX7" i="17"/>
  <c r="AF7" i="17"/>
  <c r="AI7" i="17" s="1"/>
  <c r="AB7" i="17"/>
  <c r="S7" i="17"/>
  <c r="CR3" i="17"/>
  <c r="L42" i="15"/>
  <c r="K40" i="15"/>
  <c r="G40" i="15"/>
  <c r="H42" i="15" s="1"/>
  <c r="F40" i="15"/>
  <c r="N39" i="15"/>
  <c r="L39" i="15"/>
  <c r="N38" i="15"/>
  <c r="L38" i="15"/>
  <c r="N37" i="15"/>
  <c r="L37" i="15"/>
  <c r="N36" i="15"/>
  <c r="L36" i="15"/>
  <c r="N35" i="15"/>
  <c r="L35" i="15"/>
  <c r="N34" i="15"/>
  <c r="L34" i="15"/>
  <c r="N33" i="15"/>
  <c r="L33" i="15"/>
  <c r="N32" i="15"/>
  <c r="L32" i="15"/>
  <c r="N31" i="15"/>
  <c r="L31" i="15"/>
  <c r="N30" i="15"/>
  <c r="L30" i="15"/>
  <c r="N29" i="15"/>
  <c r="L29" i="15"/>
  <c r="N28" i="15"/>
  <c r="L28" i="15"/>
  <c r="N27" i="15"/>
  <c r="L27" i="15"/>
  <c r="N26" i="15"/>
  <c r="L26" i="15"/>
  <c r="N25" i="15"/>
  <c r="L25" i="15"/>
  <c r="N24" i="15"/>
  <c r="M24" i="15"/>
  <c r="L22" i="26" s="1"/>
  <c r="L24" i="15"/>
  <c r="N23" i="15"/>
  <c r="L23" i="15"/>
  <c r="N22" i="15"/>
  <c r="L22" i="15"/>
  <c r="N21" i="15"/>
  <c r="L21" i="15"/>
  <c r="N20" i="15"/>
  <c r="L20" i="15"/>
  <c r="N19" i="15"/>
  <c r="L19" i="15"/>
  <c r="N18" i="15"/>
  <c r="L18" i="15"/>
  <c r="N17" i="15"/>
  <c r="L17" i="15"/>
  <c r="N16" i="15"/>
  <c r="L16" i="15"/>
  <c r="I16" i="15"/>
  <c r="O16" i="15" s="1"/>
  <c r="D17" i="15" s="1"/>
  <c r="I17" i="15" s="1"/>
  <c r="O17" i="15" s="1"/>
  <c r="D18" i="15" s="1"/>
  <c r="I18" i="15" s="1"/>
  <c r="O18" i="15" s="1"/>
  <c r="D19" i="15" s="1"/>
  <c r="I19" i="15" s="1"/>
  <c r="O19" i="15" s="1"/>
  <c r="D20" i="15" s="1"/>
  <c r="I20" i="15" s="1"/>
  <c r="O20" i="15" s="1"/>
  <c r="D21" i="15" s="1"/>
  <c r="I21" i="15" s="1"/>
  <c r="O21" i="15" s="1"/>
  <c r="D22" i="15" s="1"/>
  <c r="I22" i="15" s="1"/>
  <c r="O22" i="15" s="1"/>
  <c r="D23" i="15" s="1"/>
  <c r="I23" i="15" s="1"/>
  <c r="O23" i="15" s="1"/>
  <c r="D24" i="15" s="1"/>
  <c r="I24" i="15" s="1"/>
  <c r="O24" i="15" s="1"/>
  <c r="D25" i="15" s="1"/>
  <c r="I25" i="15" s="1"/>
  <c r="O25" i="15" s="1"/>
  <c r="D26" i="15" s="1"/>
  <c r="I26" i="15" s="1"/>
  <c r="O26" i="15" s="1"/>
  <c r="D27" i="15" s="1"/>
  <c r="I27" i="15" s="1"/>
  <c r="O27" i="15" s="1"/>
  <c r="D28" i="15" s="1"/>
  <c r="I28" i="15" s="1"/>
  <c r="O28" i="15" s="1"/>
  <c r="D29" i="15" s="1"/>
  <c r="I29" i="15" s="1"/>
  <c r="O29" i="15" s="1"/>
  <c r="D30" i="15" s="1"/>
  <c r="I30" i="15" s="1"/>
  <c r="O30" i="15" s="1"/>
  <c r="D31" i="15" s="1"/>
  <c r="I31" i="15" s="1"/>
  <c r="D16" i="15"/>
  <c r="O15" i="15"/>
  <c r="N15" i="15"/>
  <c r="L15" i="15"/>
  <c r="I15" i="15"/>
  <c r="D15" i="15"/>
  <c r="O14" i="15"/>
  <c r="N14" i="15"/>
  <c r="L14" i="15"/>
  <c r="I14" i="15"/>
  <c r="H14" i="15"/>
  <c r="D14" i="15"/>
  <c r="O13" i="15"/>
  <c r="N13" i="15"/>
  <c r="L13" i="15"/>
  <c r="I13" i="15"/>
  <c r="D13" i="15"/>
  <c r="O12" i="15"/>
  <c r="N12" i="15"/>
  <c r="L12" i="15"/>
  <c r="I12" i="15"/>
  <c r="D12" i="15"/>
  <c r="O11" i="15"/>
  <c r="N11" i="15"/>
  <c r="L11" i="15"/>
  <c r="J11" i="15"/>
  <c r="I11" i="15"/>
  <c r="D11" i="15"/>
  <c r="O10" i="15"/>
  <c r="N10" i="15"/>
  <c r="L10" i="15"/>
  <c r="I10" i="15"/>
  <c r="D10" i="15"/>
  <c r="O9" i="15"/>
  <c r="N9" i="15"/>
  <c r="L9" i="15"/>
  <c r="I9" i="15"/>
  <c r="H34" i="15"/>
  <c r="H32" i="26" s="1"/>
  <c r="K40" i="14"/>
  <c r="L42" i="14" s="1"/>
  <c r="G40" i="14"/>
  <c r="F41" i="59" s="1"/>
  <c r="F40" i="14"/>
  <c r="N39" i="14"/>
  <c r="M39" i="14"/>
  <c r="L39" i="14"/>
  <c r="I39" i="14"/>
  <c r="O39" i="14" s="1"/>
  <c r="P39" i="14" s="1"/>
  <c r="H39" i="14"/>
  <c r="E39" i="14"/>
  <c r="U38" i="14"/>
  <c r="N38" i="14"/>
  <c r="M38" i="14"/>
  <c r="L38" i="14"/>
  <c r="H38" i="14"/>
  <c r="U37" i="14"/>
  <c r="N37" i="14"/>
  <c r="M37" i="14"/>
  <c r="L37" i="14"/>
  <c r="H37" i="14"/>
  <c r="U36" i="14"/>
  <c r="N36" i="14"/>
  <c r="M36" i="14"/>
  <c r="L36" i="14"/>
  <c r="H36" i="14"/>
  <c r="N35" i="14"/>
  <c r="M35" i="14"/>
  <c r="L35" i="14"/>
  <c r="H35" i="14"/>
  <c r="N34" i="14"/>
  <c r="M34" i="14"/>
  <c r="L34" i="14"/>
  <c r="H34" i="14"/>
  <c r="N33" i="14"/>
  <c r="M33" i="14"/>
  <c r="L33" i="14"/>
  <c r="H33" i="14"/>
  <c r="N32" i="14"/>
  <c r="M32" i="14"/>
  <c r="L32" i="14"/>
  <c r="H32" i="14"/>
  <c r="N31" i="14"/>
  <c r="M31" i="14"/>
  <c r="L31" i="14"/>
  <c r="H31" i="14"/>
  <c r="N30" i="14"/>
  <c r="M30" i="14"/>
  <c r="L30" i="14"/>
  <c r="H30" i="14"/>
  <c r="N29" i="14"/>
  <c r="M29" i="14"/>
  <c r="L29" i="14"/>
  <c r="H29" i="14"/>
  <c r="N28" i="14"/>
  <c r="M28" i="14"/>
  <c r="L28" i="14"/>
  <c r="H28" i="14"/>
  <c r="N27" i="14"/>
  <c r="M27" i="14"/>
  <c r="L27" i="14"/>
  <c r="H27" i="14"/>
  <c r="N26" i="14"/>
  <c r="M26" i="14"/>
  <c r="L26" i="14"/>
  <c r="H26" i="14"/>
  <c r="N25" i="14"/>
  <c r="M25" i="14"/>
  <c r="L25" i="14"/>
  <c r="H25" i="14"/>
  <c r="N24" i="14"/>
  <c r="M24" i="14"/>
  <c r="L24" i="14"/>
  <c r="H24" i="14"/>
  <c r="N23" i="14"/>
  <c r="M23" i="14"/>
  <c r="L23" i="14"/>
  <c r="H23" i="14"/>
  <c r="N22" i="14"/>
  <c r="M22" i="14"/>
  <c r="L22" i="14"/>
  <c r="H22" i="14"/>
  <c r="N21" i="14"/>
  <c r="M21" i="14"/>
  <c r="L21" i="14"/>
  <c r="H21" i="14"/>
  <c r="N20" i="14"/>
  <c r="M20" i="14"/>
  <c r="L20" i="14"/>
  <c r="H20" i="14"/>
  <c r="N19" i="14"/>
  <c r="M19" i="14"/>
  <c r="L19" i="14"/>
  <c r="H19" i="14"/>
  <c r="N18" i="14"/>
  <c r="M18" i="14"/>
  <c r="L18" i="14"/>
  <c r="H18" i="14"/>
  <c r="N17" i="14"/>
  <c r="M17" i="14"/>
  <c r="L17" i="14"/>
  <c r="H17" i="14"/>
  <c r="N16" i="14"/>
  <c r="M16" i="14"/>
  <c r="L16" i="14"/>
  <c r="H16" i="14"/>
  <c r="N15" i="14"/>
  <c r="M15" i="14"/>
  <c r="L15" i="14"/>
  <c r="H15" i="14"/>
  <c r="N14" i="14"/>
  <c r="M14" i="14"/>
  <c r="L14" i="14"/>
  <c r="H14" i="14"/>
  <c r="N13" i="14"/>
  <c r="M13" i="14"/>
  <c r="L13" i="14"/>
  <c r="H13" i="14"/>
  <c r="N12" i="14"/>
  <c r="M12" i="14"/>
  <c r="L12" i="14"/>
  <c r="H12" i="14"/>
  <c r="N11" i="14"/>
  <c r="M11" i="14"/>
  <c r="L11" i="14"/>
  <c r="H11" i="14"/>
  <c r="N10" i="14"/>
  <c r="M10" i="14"/>
  <c r="L10" i="14"/>
  <c r="H10" i="14"/>
  <c r="N9" i="14"/>
  <c r="M9" i="14"/>
  <c r="L9" i="14"/>
  <c r="I9" i="14"/>
  <c r="O9" i="14" s="1"/>
  <c r="D10" i="14" s="1"/>
  <c r="H9" i="14"/>
  <c r="E9" i="14"/>
  <c r="S8" i="14"/>
  <c r="N43" i="13"/>
  <c r="L42" i="13"/>
  <c r="G42" i="13"/>
  <c r="N40" i="13"/>
  <c r="L40" i="13"/>
  <c r="K40" i="13"/>
  <c r="H40" i="13"/>
  <c r="G40" i="13"/>
  <c r="F40" i="13"/>
  <c r="P39" i="13"/>
  <c r="O39" i="13"/>
  <c r="N39" i="13"/>
  <c r="M39" i="13"/>
  <c r="L39" i="13"/>
  <c r="J39" i="13"/>
  <c r="I39" i="13"/>
  <c r="H39" i="13"/>
  <c r="E39" i="13"/>
  <c r="P38" i="13"/>
  <c r="O38" i="13"/>
  <c r="N38" i="13"/>
  <c r="M38" i="13"/>
  <c r="L38" i="13"/>
  <c r="J38" i="13"/>
  <c r="I38" i="13"/>
  <c r="H38" i="13"/>
  <c r="E38" i="13"/>
  <c r="P37" i="13"/>
  <c r="O37" i="13"/>
  <c r="N37" i="13"/>
  <c r="M37" i="13"/>
  <c r="L37" i="13"/>
  <c r="J37" i="13"/>
  <c r="I37" i="13"/>
  <c r="H37" i="13"/>
  <c r="E37" i="13"/>
  <c r="P36" i="13"/>
  <c r="O36" i="13"/>
  <c r="N36" i="13"/>
  <c r="M36" i="13"/>
  <c r="L36" i="13"/>
  <c r="J36" i="13"/>
  <c r="I36" i="13"/>
  <c r="H36" i="13"/>
  <c r="E36" i="13"/>
  <c r="P35" i="13"/>
  <c r="O35" i="13"/>
  <c r="N35" i="13"/>
  <c r="M35" i="13"/>
  <c r="L35" i="13"/>
  <c r="J35" i="13"/>
  <c r="I35" i="13"/>
  <c r="H35" i="13"/>
  <c r="E35" i="13"/>
  <c r="P34" i="13"/>
  <c r="O34" i="13"/>
  <c r="N34" i="13"/>
  <c r="M34" i="13"/>
  <c r="L34" i="13"/>
  <c r="J34" i="13"/>
  <c r="I34" i="13"/>
  <c r="H34" i="13"/>
  <c r="E34" i="13"/>
  <c r="P33" i="13"/>
  <c r="O33" i="13"/>
  <c r="N33" i="13"/>
  <c r="M33" i="13"/>
  <c r="L33" i="13"/>
  <c r="J33" i="13"/>
  <c r="I33" i="13"/>
  <c r="H33" i="13"/>
  <c r="E33" i="13"/>
  <c r="P32" i="13"/>
  <c r="O32" i="13"/>
  <c r="N32" i="13"/>
  <c r="M32" i="13"/>
  <c r="L32" i="13"/>
  <c r="J32" i="13"/>
  <c r="I32" i="13"/>
  <c r="H32" i="13"/>
  <c r="E32" i="13"/>
  <c r="P31" i="13"/>
  <c r="O31" i="13"/>
  <c r="N31" i="13"/>
  <c r="M31" i="13"/>
  <c r="L31" i="13"/>
  <c r="J31" i="13"/>
  <c r="I31" i="13"/>
  <c r="H31" i="13"/>
  <c r="E31" i="13"/>
  <c r="P30" i="13"/>
  <c r="O30" i="13"/>
  <c r="N30" i="13"/>
  <c r="M30" i="13"/>
  <c r="L30" i="13"/>
  <c r="J30" i="13"/>
  <c r="I30" i="13"/>
  <c r="H30" i="13"/>
  <c r="E30" i="13"/>
  <c r="P29" i="13"/>
  <c r="O29" i="13"/>
  <c r="N29" i="13"/>
  <c r="M29" i="13"/>
  <c r="L29" i="13"/>
  <c r="J29" i="13"/>
  <c r="I29" i="13"/>
  <c r="H29" i="13"/>
  <c r="E29" i="13"/>
  <c r="P28" i="13"/>
  <c r="O28" i="13"/>
  <c r="N28" i="13"/>
  <c r="M28" i="13"/>
  <c r="L28" i="13"/>
  <c r="J28" i="13"/>
  <c r="I28" i="13"/>
  <c r="H28" i="13"/>
  <c r="E28" i="13"/>
  <c r="P27" i="13"/>
  <c r="O27" i="13"/>
  <c r="N27" i="13"/>
  <c r="M27" i="13"/>
  <c r="L27" i="13"/>
  <c r="J27" i="13"/>
  <c r="I27" i="13"/>
  <c r="H27" i="13"/>
  <c r="E27" i="13"/>
  <c r="P26" i="13"/>
  <c r="O26" i="13"/>
  <c r="N26" i="13"/>
  <c r="M26" i="13"/>
  <c r="L26" i="13"/>
  <c r="J26" i="13"/>
  <c r="I26" i="13"/>
  <c r="H26" i="13"/>
  <c r="E26" i="13"/>
  <c r="P25" i="13"/>
  <c r="O25" i="13"/>
  <c r="N25" i="13"/>
  <c r="M25" i="13"/>
  <c r="L25" i="13"/>
  <c r="J25" i="13"/>
  <c r="I25" i="13"/>
  <c r="H25" i="13"/>
  <c r="E25" i="13"/>
  <c r="P24" i="13"/>
  <c r="O24" i="13"/>
  <c r="N24" i="13"/>
  <c r="M24" i="13"/>
  <c r="L24" i="13"/>
  <c r="J24" i="13"/>
  <c r="I24" i="13"/>
  <c r="H24" i="13"/>
  <c r="E24" i="13"/>
  <c r="P23" i="13"/>
  <c r="O23" i="13"/>
  <c r="N23" i="13"/>
  <c r="M23" i="13"/>
  <c r="L23" i="13"/>
  <c r="J23" i="13"/>
  <c r="I23" i="13"/>
  <c r="H23" i="13"/>
  <c r="E23" i="13"/>
  <c r="P22" i="13"/>
  <c r="O22" i="13"/>
  <c r="N22" i="13"/>
  <c r="M22" i="13"/>
  <c r="L22" i="13"/>
  <c r="J22" i="13"/>
  <c r="I22" i="13"/>
  <c r="H22" i="13"/>
  <c r="E22" i="13"/>
  <c r="P21" i="13"/>
  <c r="O21" i="13"/>
  <c r="N21" i="13"/>
  <c r="M21" i="13"/>
  <c r="L21" i="13"/>
  <c r="J21" i="13"/>
  <c r="I21" i="13"/>
  <c r="H21" i="13"/>
  <c r="E21" i="13"/>
  <c r="P20" i="13"/>
  <c r="O20" i="13"/>
  <c r="N20" i="13"/>
  <c r="M20" i="13"/>
  <c r="L20" i="13"/>
  <c r="J20" i="13"/>
  <c r="I20" i="13"/>
  <c r="H20" i="13"/>
  <c r="E20" i="13"/>
  <c r="P19" i="13"/>
  <c r="O19" i="13"/>
  <c r="N19" i="13"/>
  <c r="M19" i="13"/>
  <c r="L19" i="13"/>
  <c r="J19" i="13"/>
  <c r="I19" i="13"/>
  <c r="H19" i="13"/>
  <c r="E19" i="13"/>
  <c r="P18" i="13"/>
  <c r="O18" i="13"/>
  <c r="N18" i="13"/>
  <c r="M18" i="13"/>
  <c r="L18" i="13"/>
  <c r="J18" i="13"/>
  <c r="I18" i="13"/>
  <c r="H18" i="13"/>
  <c r="E18" i="13"/>
  <c r="P17" i="13"/>
  <c r="O17" i="13"/>
  <c r="I17" i="13"/>
  <c r="H17" i="13"/>
  <c r="O16" i="13"/>
  <c r="N16" i="13"/>
  <c r="M16" i="13"/>
  <c r="L16" i="13"/>
  <c r="I16" i="13"/>
  <c r="H16" i="13"/>
  <c r="O15" i="13"/>
  <c r="N15" i="13"/>
  <c r="M15" i="13"/>
  <c r="L15" i="13"/>
  <c r="I15" i="13"/>
  <c r="H15" i="13"/>
  <c r="O14" i="13"/>
  <c r="N14" i="13"/>
  <c r="M14" i="13"/>
  <c r="L14" i="13"/>
  <c r="I14" i="13"/>
  <c r="H14" i="13"/>
  <c r="O13" i="13"/>
  <c r="N13" i="13"/>
  <c r="M13" i="13"/>
  <c r="L13" i="13"/>
  <c r="I13" i="13"/>
  <c r="P12" i="13"/>
  <c r="O12" i="13"/>
  <c r="N12" i="13"/>
  <c r="M12" i="13"/>
  <c r="L12" i="13"/>
  <c r="J12" i="13"/>
  <c r="I12" i="13"/>
  <c r="H12" i="13"/>
  <c r="P11" i="13"/>
  <c r="O11" i="13"/>
  <c r="N11" i="13"/>
  <c r="M11" i="13"/>
  <c r="L11" i="13"/>
  <c r="J11" i="13"/>
  <c r="I11" i="13"/>
  <c r="H11" i="13"/>
  <c r="P10" i="13"/>
  <c r="O10" i="13"/>
  <c r="N10" i="13"/>
  <c r="M10" i="13"/>
  <c r="L10" i="13"/>
  <c r="J10" i="13"/>
  <c r="I10" i="13"/>
  <c r="H10" i="13"/>
  <c r="O9" i="13"/>
  <c r="N9" i="13"/>
  <c r="M9" i="13"/>
  <c r="L9" i="13"/>
  <c r="J9" i="13"/>
  <c r="I9" i="13"/>
  <c r="E9" i="13"/>
  <c r="S8" i="13"/>
  <c r="E42" i="12"/>
  <c r="M40" i="12"/>
  <c r="L40" i="12"/>
  <c r="K40" i="12"/>
  <c r="H40" i="12"/>
  <c r="G40" i="12"/>
  <c r="F40" i="12"/>
  <c r="O39" i="12"/>
  <c r="N39" i="12"/>
  <c r="M39" i="12"/>
  <c r="L39" i="12"/>
  <c r="J39" i="12"/>
  <c r="E39" i="12"/>
  <c r="O38" i="12"/>
  <c r="N38" i="12"/>
  <c r="M38" i="12"/>
  <c r="L38" i="12"/>
  <c r="J38" i="12"/>
  <c r="E38" i="12"/>
  <c r="O37" i="12"/>
  <c r="N37" i="12"/>
  <c r="M37" i="12"/>
  <c r="L37" i="12"/>
  <c r="J37" i="12"/>
  <c r="E37" i="12"/>
  <c r="O36" i="12"/>
  <c r="N36" i="12"/>
  <c r="M36" i="12"/>
  <c r="L36" i="12"/>
  <c r="J36" i="12"/>
  <c r="E36" i="12"/>
  <c r="O35" i="12"/>
  <c r="N35" i="12"/>
  <c r="M35" i="12"/>
  <c r="L35" i="12"/>
  <c r="J35" i="12"/>
  <c r="E35" i="12"/>
  <c r="O34" i="12"/>
  <c r="N34" i="12"/>
  <c r="M34" i="12"/>
  <c r="L34" i="12"/>
  <c r="J34" i="12"/>
  <c r="E34" i="12"/>
  <c r="O33" i="12"/>
  <c r="N33" i="12"/>
  <c r="M33" i="12"/>
  <c r="L33" i="12"/>
  <c r="J33" i="12"/>
  <c r="E33" i="12"/>
  <c r="O32" i="12"/>
  <c r="N32" i="12"/>
  <c r="M32" i="12"/>
  <c r="L32" i="12"/>
  <c r="O31" i="12"/>
  <c r="N31" i="12"/>
  <c r="M31" i="12"/>
  <c r="L31" i="12"/>
  <c r="J31" i="12"/>
  <c r="E31" i="12"/>
  <c r="O30" i="12"/>
  <c r="N30" i="12"/>
  <c r="M30" i="12"/>
  <c r="L30" i="12"/>
  <c r="J30" i="12"/>
  <c r="E30" i="12"/>
  <c r="O29" i="12"/>
  <c r="N29" i="12"/>
  <c r="M29" i="12"/>
  <c r="L29" i="12"/>
  <c r="J29" i="12"/>
  <c r="E29" i="12"/>
  <c r="O28" i="12"/>
  <c r="N28" i="12"/>
  <c r="M28" i="12"/>
  <c r="L28" i="12"/>
  <c r="J28" i="12"/>
  <c r="E28" i="12"/>
  <c r="O27" i="12"/>
  <c r="N27" i="12"/>
  <c r="M27" i="12"/>
  <c r="L27" i="12"/>
  <c r="O26" i="12"/>
  <c r="N26" i="12"/>
  <c r="M26" i="12"/>
  <c r="L26" i="12"/>
  <c r="J26" i="12"/>
  <c r="E26" i="12"/>
  <c r="O25" i="12"/>
  <c r="N25" i="12"/>
  <c r="M25" i="12"/>
  <c r="L25" i="12"/>
  <c r="J25" i="12"/>
  <c r="E25" i="12"/>
  <c r="O24" i="12"/>
  <c r="N24" i="12"/>
  <c r="M24" i="12"/>
  <c r="L24" i="12"/>
  <c r="J24" i="12"/>
  <c r="E24" i="12"/>
  <c r="O23" i="12"/>
  <c r="N23" i="12"/>
  <c r="M23" i="12"/>
  <c r="L23" i="12"/>
  <c r="J23" i="12"/>
  <c r="E23" i="12"/>
  <c r="O22" i="12"/>
  <c r="N22" i="12"/>
  <c r="M22" i="12"/>
  <c r="L22" i="12"/>
  <c r="O21" i="12"/>
  <c r="N21" i="12"/>
  <c r="M21" i="12"/>
  <c r="L21" i="12"/>
  <c r="E21" i="12"/>
  <c r="O20" i="12"/>
  <c r="N20" i="12"/>
  <c r="M20" i="12"/>
  <c r="L20" i="12"/>
  <c r="J20" i="12"/>
  <c r="E20" i="12"/>
  <c r="O19" i="12"/>
  <c r="N19" i="12"/>
  <c r="M19" i="12"/>
  <c r="L19" i="12"/>
  <c r="O18" i="12"/>
  <c r="N18" i="12"/>
  <c r="M18" i="12"/>
  <c r="L18" i="12"/>
  <c r="J18" i="12"/>
  <c r="E18" i="12"/>
  <c r="O17" i="12"/>
  <c r="N17" i="12"/>
  <c r="M17" i="12"/>
  <c r="L17" i="12"/>
  <c r="J17" i="12"/>
  <c r="E17" i="12"/>
  <c r="O16" i="12"/>
  <c r="N16" i="12"/>
  <c r="M16" i="12"/>
  <c r="L16" i="12"/>
  <c r="J16" i="12"/>
  <c r="E16" i="12"/>
  <c r="O15" i="12"/>
  <c r="N15" i="12"/>
  <c r="M15" i="12"/>
  <c r="L15" i="12"/>
  <c r="J15" i="12"/>
  <c r="E15" i="12"/>
  <c r="O14" i="12"/>
  <c r="N14" i="12"/>
  <c r="M14" i="12"/>
  <c r="L14" i="12"/>
  <c r="E14" i="12"/>
  <c r="O13" i="12"/>
  <c r="N13" i="12"/>
  <c r="M13" i="12"/>
  <c r="L13" i="12"/>
  <c r="J13" i="12"/>
  <c r="E13" i="12"/>
  <c r="O12" i="12"/>
  <c r="N12" i="12"/>
  <c r="M12" i="12"/>
  <c r="L12" i="12"/>
  <c r="J12" i="12"/>
  <c r="I12" i="12"/>
  <c r="E12" i="12"/>
  <c r="O11" i="12"/>
  <c r="M11" i="12"/>
  <c r="L11" i="12"/>
  <c r="I11" i="12"/>
  <c r="M10" i="12"/>
  <c r="L10" i="12"/>
  <c r="M9" i="12"/>
  <c r="L9" i="12"/>
  <c r="R8" i="12"/>
  <c r="L42" i="11"/>
  <c r="E42" i="11"/>
  <c r="N40" i="11"/>
  <c r="L40" i="11"/>
  <c r="K40" i="11"/>
  <c r="H40" i="11"/>
  <c r="G40" i="11"/>
  <c r="F40" i="11"/>
  <c r="P39" i="11"/>
  <c r="O39" i="11"/>
  <c r="N39" i="11"/>
  <c r="M39" i="11"/>
  <c r="L39" i="11"/>
  <c r="J39" i="11"/>
  <c r="I39" i="11"/>
  <c r="H39" i="11"/>
  <c r="E39" i="11"/>
  <c r="P38" i="11"/>
  <c r="O38" i="11"/>
  <c r="N38" i="11"/>
  <c r="M38" i="11"/>
  <c r="L38" i="11"/>
  <c r="J38" i="11"/>
  <c r="I38" i="11"/>
  <c r="H38" i="11"/>
  <c r="E38" i="11"/>
  <c r="P37" i="11"/>
  <c r="O37" i="11"/>
  <c r="N37" i="11"/>
  <c r="M37" i="11"/>
  <c r="L37" i="11"/>
  <c r="J37" i="11"/>
  <c r="I37" i="11"/>
  <c r="H37" i="11"/>
  <c r="E37" i="11"/>
  <c r="P36" i="11"/>
  <c r="O36" i="11"/>
  <c r="N36" i="11"/>
  <c r="M36" i="11"/>
  <c r="L36" i="11"/>
  <c r="J36" i="11"/>
  <c r="I36" i="11"/>
  <c r="H36" i="11"/>
  <c r="E36" i="11"/>
  <c r="P35" i="11"/>
  <c r="O35" i="11"/>
  <c r="N35" i="11"/>
  <c r="M35" i="11"/>
  <c r="L35" i="11"/>
  <c r="J35" i="11"/>
  <c r="I35" i="11"/>
  <c r="H35" i="11"/>
  <c r="E35" i="11"/>
  <c r="P34" i="11"/>
  <c r="O34" i="11"/>
  <c r="N34" i="11"/>
  <c r="M34" i="11"/>
  <c r="L34" i="11"/>
  <c r="J34" i="11"/>
  <c r="I34" i="11"/>
  <c r="H34" i="11"/>
  <c r="E34" i="11"/>
  <c r="P33" i="11"/>
  <c r="O33" i="11"/>
  <c r="N33" i="11"/>
  <c r="M33" i="11"/>
  <c r="L33" i="11"/>
  <c r="J33" i="11"/>
  <c r="I33" i="11"/>
  <c r="H33" i="11"/>
  <c r="E33" i="11"/>
  <c r="P32" i="11"/>
  <c r="O32" i="11"/>
  <c r="N32" i="11"/>
  <c r="M32" i="11"/>
  <c r="L32" i="11"/>
  <c r="J32" i="11"/>
  <c r="I32" i="11"/>
  <c r="H32" i="11"/>
  <c r="E32" i="11"/>
  <c r="P31" i="11"/>
  <c r="O31" i="11"/>
  <c r="N31" i="11"/>
  <c r="M31" i="11"/>
  <c r="L31" i="11"/>
  <c r="J31" i="11"/>
  <c r="I31" i="11"/>
  <c r="H31" i="11"/>
  <c r="E31" i="11"/>
  <c r="P30" i="11"/>
  <c r="O30" i="11"/>
  <c r="N30" i="11"/>
  <c r="M30" i="11"/>
  <c r="L30" i="11"/>
  <c r="J30" i="11"/>
  <c r="I30" i="11"/>
  <c r="H30" i="11"/>
  <c r="E30" i="11"/>
  <c r="P29" i="11"/>
  <c r="O29" i="11"/>
  <c r="N29" i="11"/>
  <c r="M29" i="11"/>
  <c r="L29" i="11"/>
  <c r="J29" i="11"/>
  <c r="I29" i="11"/>
  <c r="H29" i="11"/>
  <c r="E29" i="11"/>
  <c r="P28" i="11"/>
  <c r="O28" i="11"/>
  <c r="N28" i="11"/>
  <c r="M28" i="11"/>
  <c r="L28" i="11"/>
  <c r="J28" i="11"/>
  <c r="I28" i="11"/>
  <c r="H28" i="11"/>
  <c r="E28" i="11"/>
  <c r="P27" i="11"/>
  <c r="O27" i="11"/>
  <c r="N27" i="11"/>
  <c r="M27" i="11"/>
  <c r="L27" i="11"/>
  <c r="J27" i="11"/>
  <c r="I27" i="11"/>
  <c r="H27" i="11"/>
  <c r="E27" i="11"/>
  <c r="P26" i="11"/>
  <c r="O26" i="11"/>
  <c r="N26" i="11"/>
  <c r="M26" i="11"/>
  <c r="L26" i="11"/>
  <c r="J26" i="11"/>
  <c r="I26" i="11"/>
  <c r="H26" i="11"/>
  <c r="E26" i="11"/>
  <c r="P25" i="11"/>
  <c r="O25" i="11"/>
  <c r="N25" i="11"/>
  <c r="M25" i="11"/>
  <c r="L25" i="11"/>
  <c r="J25" i="11"/>
  <c r="I25" i="11"/>
  <c r="H25" i="11"/>
  <c r="E25" i="11"/>
  <c r="P24" i="11"/>
  <c r="O24" i="11"/>
  <c r="N24" i="11"/>
  <c r="M24" i="11"/>
  <c r="L24" i="11"/>
  <c r="J24" i="11"/>
  <c r="I24" i="11"/>
  <c r="H24" i="11"/>
  <c r="E24" i="11"/>
  <c r="P23" i="11"/>
  <c r="O23" i="11"/>
  <c r="N23" i="11"/>
  <c r="M23" i="11"/>
  <c r="L23" i="11"/>
  <c r="J23" i="11"/>
  <c r="I23" i="11"/>
  <c r="H23" i="11"/>
  <c r="E23" i="11"/>
  <c r="P22" i="11"/>
  <c r="O22" i="11"/>
  <c r="N22" i="11"/>
  <c r="M22" i="11"/>
  <c r="L22" i="11"/>
  <c r="J22" i="11"/>
  <c r="I22" i="11"/>
  <c r="H22" i="11"/>
  <c r="E22" i="11"/>
  <c r="P21" i="11"/>
  <c r="O21" i="11"/>
  <c r="N21" i="11"/>
  <c r="M21" i="11"/>
  <c r="L21" i="11"/>
  <c r="J21" i="11"/>
  <c r="I21" i="11"/>
  <c r="H21" i="11"/>
  <c r="E21" i="11"/>
  <c r="P20" i="11"/>
  <c r="O20" i="11"/>
  <c r="N20" i="11"/>
  <c r="M20" i="11"/>
  <c r="L20" i="11"/>
  <c r="J20" i="11"/>
  <c r="I20" i="11"/>
  <c r="H20" i="11"/>
  <c r="E20" i="11"/>
  <c r="P19" i="11"/>
  <c r="O19" i="11"/>
  <c r="N19" i="11"/>
  <c r="M19" i="11"/>
  <c r="L19" i="11"/>
  <c r="J19" i="11"/>
  <c r="I19" i="11"/>
  <c r="H19" i="11"/>
  <c r="E19" i="11"/>
  <c r="P18" i="11"/>
  <c r="O18" i="11"/>
  <c r="N18" i="11"/>
  <c r="M18" i="11"/>
  <c r="L18" i="11"/>
  <c r="J18" i="11"/>
  <c r="I18" i="11"/>
  <c r="H18" i="11"/>
  <c r="E18" i="11"/>
  <c r="P17" i="11"/>
  <c r="O17" i="11"/>
  <c r="N17" i="11"/>
  <c r="M17" i="11"/>
  <c r="L17" i="11"/>
  <c r="J17" i="11"/>
  <c r="I17" i="11"/>
  <c r="H17" i="11"/>
  <c r="E17" i="11"/>
  <c r="P16" i="11"/>
  <c r="O16" i="11"/>
  <c r="N16" i="11"/>
  <c r="M16" i="11"/>
  <c r="L16" i="11"/>
  <c r="J16" i="11"/>
  <c r="I16" i="11"/>
  <c r="H16" i="11"/>
  <c r="E16" i="11"/>
  <c r="P15" i="11"/>
  <c r="O15" i="11"/>
  <c r="N15" i="11"/>
  <c r="M15" i="11"/>
  <c r="L15" i="11"/>
  <c r="J15" i="11"/>
  <c r="I15" i="11"/>
  <c r="H15" i="11"/>
  <c r="E15" i="11"/>
  <c r="P14" i="11"/>
  <c r="O14" i="11"/>
  <c r="N14" i="11"/>
  <c r="M14" i="11"/>
  <c r="L14" i="11"/>
  <c r="J14" i="11"/>
  <c r="I14" i="11"/>
  <c r="H14" i="11"/>
  <c r="E14" i="11"/>
  <c r="P13" i="11"/>
  <c r="O13" i="11"/>
  <c r="N13" i="11"/>
  <c r="M13" i="11"/>
  <c r="L13" i="11"/>
  <c r="J13" i="11"/>
  <c r="I13" i="11"/>
  <c r="H13" i="11"/>
  <c r="E13" i="11"/>
  <c r="P12" i="11"/>
  <c r="O12" i="11"/>
  <c r="N12" i="11"/>
  <c r="M12" i="11"/>
  <c r="L12" i="11"/>
  <c r="J12" i="11"/>
  <c r="I12" i="11"/>
  <c r="H12" i="11"/>
  <c r="E12" i="11"/>
  <c r="P11" i="11"/>
  <c r="O11" i="11"/>
  <c r="N11" i="11"/>
  <c r="M11" i="11"/>
  <c r="L11" i="11"/>
  <c r="J11" i="11"/>
  <c r="I11" i="11"/>
  <c r="H11" i="11"/>
  <c r="E11" i="11"/>
  <c r="P10" i="11"/>
  <c r="O10" i="11"/>
  <c r="N10" i="11"/>
  <c r="M10" i="11"/>
  <c r="L10" i="11"/>
  <c r="J10" i="11"/>
  <c r="I10" i="11"/>
  <c r="H10" i="11"/>
  <c r="E10" i="11"/>
  <c r="P9" i="11"/>
  <c r="O9" i="11"/>
  <c r="N9" i="11"/>
  <c r="M9" i="11"/>
  <c r="L9" i="11"/>
  <c r="J9" i="11"/>
  <c r="I9" i="11"/>
  <c r="H9" i="11"/>
  <c r="E9" i="11"/>
  <c r="S8" i="11"/>
  <c r="L42" i="24"/>
  <c r="E42" i="24"/>
  <c r="N40" i="24"/>
  <c r="M40" i="24"/>
  <c r="L40" i="24"/>
  <c r="K40" i="24"/>
  <c r="H40" i="24"/>
  <c r="G40" i="24"/>
  <c r="F40" i="24"/>
  <c r="P39" i="24"/>
  <c r="O39" i="24"/>
  <c r="N39" i="24"/>
  <c r="M39" i="24"/>
  <c r="L39" i="24"/>
  <c r="J39" i="24"/>
  <c r="I39" i="24"/>
  <c r="H39" i="24"/>
  <c r="E39" i="24"/>
  <c r="P38" i="24"/>
  <c r="O38" i="24"/>
  <c r="N38" i="24"/>
  <c r="M38" i="24"/>
  <c r="L38" i="24"/>
  <c r="J38" i="24"/>
  <c r="I38" i="24"/>
  <c r="H38" i="24"/>
  <c r="E38" i="24"/>
  <c r="P37" i="24"/>
  <c r="O37" i="24"/>
  <c r="N37" i="24"/>
  <c r="M37" i="24"/>
  <c r="L37" i="24"/>
  <c r="J37" i="24"/>
  <c r="I37" i="24"/>
  <c r="H37" i="24"/>
  <c r="E37" i="24"/>
  <c r="P36" i="24"/>
  <c r="O36" i="24"/>
  <c r="N36" i="24"/>
  <c r="M36" i="24"/>
  <c r="L36" i="24"/>
  <c r="J36" i="24"/>
  <c r="I36" i="24"/>
  <c r="H36" i="24"/>
  <c r="E36" i="24"/>
  <c r="P35" i="24"/>
  <c r="O35" i="24"/>
  <c r="N35" i="24"/>
  <c r="M35" i="24"/>
  <c r="L35" i="24"/>
  <c r="J35" i="24"/>
  <c r="I35" i="24"/>
  <c r="H35" i="24"/>
  <c r="E35" i="24"/>
  <c r="P34" i="24"/>
  <c r="O34" i="24"/>
  <c r="N34" i="24"/>
  <c r="M34" i="24"/>
  <c r="L34" i="24"/>
  <c r="J34" i="24"/>
  <c r="I34" i="24"/>
  <c r="H34" i="24"/>
  <c r="E34" i="24"/>
  <c r="P33" i="24"/>
  <c r="O33" i="24"/>
  <c r="N33" i="24"/>
  <c r="M33" i="24"/>
  <c r="L33" i="24"/>
  <c r="J33" i="24"/>
  <c r="I33" i="24"/>
  <c r="H33" i="24"/>
  <c r="E33" i="24"/>
  <c r="P32" i="24"/>
  <c r="O32" i="24"/>
  <c r="N32" i="24"/>
  <c r="M32" i="24"/>
  <c r="L32" i="24"/>
  <c r="J32" i="24"/>
  <c r="I32" i="24"/>
  <c r="H32" i="24"/>
  <c r="E32" i="24"/>
  <c r="P31" i="24"/>
  <c r="O31" i="24"/>
  <c r="N31" i="24"/>
  <c r="M31" i="24"/>
  <c r="L31" i="24"/>
  <c r="J31" i="24"/>
  <c r="I31" i="24"/>
  <c r="H31" i="24"/>
  <c r="E31" i="24"/>
  <c r="P30" i="24"/>
  <c r="O30" i="24"/>
  <c r="N30" i="24"/>
  <c r="M30" i="24"/>
  <c r="L30" i="24"/>
  <c r="J30" i="24"/>
  <c r="I30" i="24"/>
  <c r="H30" i="24"/>
  <c r="E30" i="24"/>
  <c r="P29" i="24"/>
  <c r="O29" i="24"/>
  <c r="N29" i="24"/>
  <c r="M29" i="24"/>
  <c r="L29" i="24"/>
  <c r="J29" i="24"/>
  <c r="I29" i="24"/>
  <c r="H29" i="24"/>
  <c r="E29" i="24"/>
  <c r="P28" i="24"/>
  <c r="O28" i="24"/>
  <c r="N28" i="24"/>
  <c r="M28" i="24"/>
  <c r="L28" i="24"/>
  <c r="J28" i="24"/>
  <c r="I28" i="24"/>
  <c r="H28" i="24"/>
  <c r="E28" i="24"/>
  <c r="P27" i="24"/>
  <c r="O27" i="24"/>
  <c r="N27" i="24"/>
  <c r="M27" i="24"/>
  <c r="L27" i="24"/>
  <c r="J27" i="24"/>
  <c r="I27" i="24"/>
  <c r="H27" i="24"/>
  <c r="E27" i="24"/>
  <c r="P26" i="24"/>
  <c r="O26" i="24"/>
  <c r="N26" i="24"/>
  <c r="M26" i="24"/>
  <c r="L26" i="24"/>
  <c r="J26" i="24"/>
  <c r="I26" i="24"/>
  <c r="H26" i="24"/>
  <c r="E26" i="24"/>
  <c r="P25" i="24"/>
  <c r="O25" i="24"/>
  <c r="N25" i="24"/>
  <c r="M25" i="24"/>
  <c r="L25" i="24"/>
  <c r="J25" i="24"/>
  <c r="I25" i="24"/>
  <c r="H25" i="24"/>
  <c r="E25" i="24"/>
  <c r="P24" i="24"/>
  <c r="O24" i="24"/>
  <c r="N24" i="24"/>
  <c r="M24" i="24"/>
  <c r="L24" i="24"/>
  <c r="J24" i="24"/>
  <c r="I24" i="24"/>
  <c r="H24" i="24"/>
  <c r="E24" i="24"/>
  <c r="P23" i="24"/>
  <c r="O23" i="24"/>
  <c r="N23" i="24"/>
  <c r="M23" i="24"/>
  <c r="L23" i="24"/>
  <c r="J23" i="24"/>
  <c r="I23" i="24"/>
  <c r="H23" i="24"/>
  <c r="E23" i="24"/>
  <c r="P22" i="24"/>
  <c r="O22" i="24"/>
  <c r="N22" i="24"/>
  <c r="M22" i="24"/>
  <c r="L22" i="24"/>
  <c r="J22" i="24"/>
  <c r="I22" i="24"/>
  <c r="H22" i="24"/>
  <c r="E22" i="24"/>
  <c r="P21" i="24"/>
  <c r="O21" i="24"/>
  <c r="N21" i="24"/>
  <c r="M21" i="24"/>
  <c r="L21" i="24"/>
  <c r="J21" i="24"/>
  <c r="I21" i="24"/>
  <c r="H21" i="24"/>
  <c r="E21" i="24"/>
  <c r="P20" i="24"/>
  <c r="O20" i="24"/>
  <c r="N20" i="24"/>
  <c r="M20" i="24"/>
  <c r="L20" i="24"/>
  <c r="J20" i="24"/>
  <c r="I20" i="24"/>
  <c r="H20" i="24"/>
  <c r="E20" i="24"/>
  <c r="P19" i="24"/>
  <c r="O19" i="24"/>
  <c r="N19" i="24"/>
  <c r="M19" i="24"/>
  <c r="L19" i="24"/>
  <c r="J19" i="24"/>
  <c r="I19" i="24"/>
  <c r="H19" i="24"/>
  <c r="E19" i="24"/>
  <c r="P18" i="24"/>
  <c r="O18" i="24"/>
  <c r="N18" i="24"/>
  <c r="M18" i="24"/>
  <c r="L18" i="24"/>
  <c r="J18" i="24"/>
  <c r="I18" i="24"/>
  <c r="H18" i="24"/>
  <c r="E18" i="24"/>
  <c r="P17" i="24"/>
  <c r="O17" i="24"/>
  <c r="N17" i="24"/>
  <c r="M17" i="24"/>
  <c r="L17" i="24"/>
  <c r="J17" i="24"/>
  <c r="I17" i="24"/>
  <c r="H17" i="24"/>
  <c r="E17" i="24"/>
  <c r="P16" i="24"/>
  <c r="O16" i="24"/>
  <c r="N16" i="24"/>
  <c r="M16" i="24"/>
  <c r="L16" i="24"/>
  <c r="J16" i="24"/>
  <c r="I16" i="24"/>
  <c r="H16" i="24"/>
  <c r="E16" i="24"/>
  <c r="P15" i="24"/>
  <c r="O15" i="24"/>
  <c r="N15" i="24"/>
  <c r="M15" i="24"/>
  <c r="L15" i="24"/>
  <c r="J15" i="24"/>
  <c r="I15" i="24"/>
  <c r="H15" i="24"/>
  <c r="E15" i="24"/>
  <c r="P14" i="24"/>
  <c r="O14" i="24"/>
  <c r="N14" i="24"/>
  <c r="M14" i="24"/>
  <c r="L14" i="24"/>
  <c r="J14" i="24"/>
  <c r="I14" i="24"/>
  <c r="H14" i="24"/>
  <c r="E14" i="24"/>
  <c r="P13" i="24"/>
  <c r="O13" i="24"/>
  <c r="N13" i="24"/>
  <c r="M13" i="24"/>
  <c r="L13" i="24"/>
  <c r="J13" i="24"/>
  <c r="I13" i="24"/>
  <c r="H13" i="24"/>
  <c r="E13" i="24"/>
  <c r="P12" i="24"/>
  <c r="O12" i="24"/>
  <c r="N12" i="24"/>
  <c r="M12" i="24"/>
  <c r="L12" i="24"/>
  <c r="J12" i="24"/>
  <c r="I12" i="24"/>
  <c r="H12" i="24"/>
  <c r="E12" i="24"/>
  <c r="P11" i="24"/>
  <c r="O11" i="24"/>
  <c r="N11" i="24"/>
  <c r="M11" i="24"/>
  <c r="L11" i="24"/>
  <c r="J11" i="24"/>
  <c r="I11" i="24"/>
  <c r="H11" i="24"/>
  <c r="E11" i="24"/>
  <c r="P10" i="24"/>
  <c r="O10" i="24"/>
  <c r="N10" i="24"/>
  <c r="M10" i="24"/>
  <c r="L10" i="24"/>
  <c r="J10" i="24"/>
  <c r="I10" i="24"/>
  <c r="H10" i="24"/>
  <c r="E10" i="24"/>
  <c r="P9" i="24"/>
  <c r="O9" i="24"/>
  <c r="N9" i="24"/>
  <c r="M9" i="24"/>
  <c r="L9" i="24"/>
  <c r="J9" i="24"/>
  <c r="I9" i="24"/>
  <c r="H9" i="24"/>
  <c r="E9" i="24"/>
  <c r="S8" i="24"/>
  <c r="L42" i="10"/>
  <c r="H42" i="10"/>
  <c r="G42" i="10"/>
  <c r="N40" i="10"/>
  <c r="L40" i="10"/>
  <c r="K40" i="10"/>
  <c r="H40" i="10"/>
  <c r="G40" i="10"/>
  <c r="F40" i="10"/>
  <c r="P39" i="10"/>
  <c r="O39" i="10"/>
  <c r="N39" i="10"/>
  <c r="M39" i="10"/>
  <c r="L39" i="10"/>
  <c r="J39" i="10"/>
  <c r="H39" i="10"/>
  <c r="E39" i="10"/>
  <c r="D39" i="10"/>
  <c r="P38" i="10"/>
  <c r="O38" i="10"/>
  <c r="N38" i="10"/>
  <c r="M38" i="10"/>
  <c r="L38" i="10"/>
  <c r="J38" i="10"/>
  <c r="H38" i="10"/>
  <c r="E38" i="10"/>
  <c r="D38" i="10"/>
  <c r="P37" i="10"/>
  <c r="O37" i="10"/>
  <c r="N37" i="10"/>
  <c r="M37" i="10"/>
  <c r="L37" i="10"/>
  <c r="J37" i="10"/>
  <c r="H37" i="10"/>
  <c r="E37" i="10"/>
  <c r="D37" i="10"/>
  <c r="P36" i="10"/>
  <c r="O36" i="10"/>
  <c r="N36" i="10"/>
  <c r="M36" i="10"/>
  <c r="L36" i="10"/>
  <c r="J36" i="10"/>
  <c r="H36" i="10"/>
  <c r="E36" i="10"/>
  <c r="D36" i="10"/>
  <c r="P35" i="10"/>
  <c r="O35" i="10"/>
  <c r="N35" i="10"/>
  <c r="M35" i="10"/>
  <c r="L35" i="10"/>
  <c r="J35" i="10"/>
  <c r="H35" i="10"/>
  <c r="E35" i="10"/>
  <c r="D35" i="10"/>
  <c r="P34" i="10"/>
  <c r="O34" i="10"/>
  <c r="N34" i="10"/>
  <c r="M34" i="10"/>
  <c r="L34" i="10"/>
  <c r="J34" i="10"/>
  <c r="H34" i="10"/>
  <c r="E34" i="10"/>
  <c r="D34" i="10"/>
  <c r="P33" i="10"/>
  <c r="O33" i="10"/>
  <c r="N33" i="10"/>
  <c r="M33" i="10"/>
  <c r="L33" i="10"/>
  <c r="J33" i="10"/>
  <c r="H33" i="10"/>
  <c r="E33" i="10"/>
  <c r="D33" i="10"/>
  <c r="P32" i="10"/>
  <c r="O32" i="10"/>
  <c r="N32" i="10"/>
  <c r="M32" i="10"/>
  <c r="L32" i="10"/>
  <c r="J32" i="10"/>
  <c r="H32" i="10"/>
  <c r="E32" i="10"/>
  <c r="D32" i="10"/>
  <c r="P31" i="10"/>
  <c r="O31" i="10"/>
  <c r="N31" i="10"/>
  <c r="M31" i="10"/>
  <c r="L31" i="10"/>
  <c r="J31" i="10"/>
  <c r="H31" i="10"/>
  <c r="E31" i="10"/>
  <c r="D31" i="10"/>
  <c r="P30" i="10"/>
  <c r="O30" i="10"/>
  <c r="N30" i="10"/>
  <c r="M30" i="10"/>
  <c r="L30" i="10"/>
  <c r="J30" i="10"/>
  <c r="H30" i="10"/>
  <c r="E30" i="10"/>
  <c r="D30" i="10"/>
  <c r="P29" i="10"/>
  <c r="O29" i="10"/>
  <c r="N29" i="10"/>
  <c r="M29" i="10"/>
  <c r="L29" i="10"/>
  <c r="J29" i="10"/>
  <c r="H29" i="10"/>
  <c r="E29" i="10"/>
  <c r="D29" i="10"/>
  <c r="P28" i="10"/>
  <c r="O28" i="10"/>
  <c r="N28" i="10"/>
  <c r="M28" i="10"/>
  <c r="L28" i="10"/>
  <c r="J28" i="10"/>
  <c r="H28" i="10"/>
  <c r="E28" i="10"/>
  <c r="D28" i="10"/>
  <c r="P27" i="10"/>
  <c r="O27" i="10"/>
  <c r="N27" i="10"/>
  <c r="M27" i="10"/>
  <c r="L27" i="10"/>
  <c r="J27" i="10"/>
  <c r="H27" i="10"/>
  <c r="E27" i="10"/>
  <c r="D27" i="10"/>
  <c r="P26" i="10"/>
  <c r="O26" i="10"/>
  <c r="N26" i="10"/>
  <c r="M26" i="10"/>
  <c r="L26" i="10"/>
  <c r="J26" i="10"/>
  <c r="H26" i="10"/>
  <c r="E26" i="10"/>
  <c r="D26" i="10"/>
  <c r="P25" i="10"/>
  <c r="O25" i="10"/>
  <c r="N25" i="10"/>
  <c r="M25" i="10"/>
  <c r="L25" i="10"/>
  <c r="J25" i="10"/>
  <c r="H25" i="10"/>
  <c r="E25" i="10"/>
  <c r="D25" i="10"/>
  <c r="P24" i="10"/>
  <c r="O24" i="10"/>
  <c r="N24" i="10"/>
  <c r="M24" i="10"/>
  <c r="L24" i="10"/>
  <c r="J24" i="10"/>
  <c r="H24" i="10"/>
  <c r="E24" i="10"/>
  <c r="D24" i="10"/>
  <c r="P23" i="10"/>
  <c r="O23" i="10"/>
  <c r="N23" i="10"/>
  <c r="M23" i="10"/>
  <c r="L23" i="10"/>
  <c r="J23" i="10"/>
  <c r="H23" i="10"/>
  <c r="E23" i="10"/>
  <c r="D23" i="10"/>
  <c r="P22" i="10"/>
  <c r="O22" i="10"/>
  <c r="N22" i="10"/>
  <c r="M22" i="10"/>
  <c r="L22" i="10"/>
  <c r="J22" i="10"/>
  <c r="H22" i="10"/>
  <c r="E22" i="10"/>
  <c r="D22" i="10"/>
  <c r="P21" i="10"/>
  <c r="O21" i="10"/>
  <c r="N21" i="10"/>
  <c r="M21" i="10"/>
  <c r="L21" i="10"/>
  <c r="J21" i="10"/>
  <c r="H21" i="10"/>
  <c r="E21" i="10"/>
  <c r="D21" i="10"/>
  <c r="P20" i="10"/>
  <c r="O20" i="10"/>
  <c r="N20" i="10"/>
  <c r="M20" i="10"/>
  <c r="L20" i="10"/>
  <c r="J20" i="10"/>
  <c r="H20" i="10"/>
  <c r="E20" i="10"/>
  <c r="D20" i="10"/>
  <c r="P19" i="10"/>
  <c r="O19" i="10"/>
  <c r="N19" i="10"/>
  <c r="M19" i="10"/>
  <c r="L19" i="10"/>
  <c r="J19" i="10"/>
  <c r="H19" i="10"/>
  <c r="E19" i="10"/>
  <c r="D19" i="10"/>
  <c r="P18" i="10"/>
  <c r="O18" i="10"/>
  <c r="N18" i="10"/>
  <c r="M18" i="10"/>
  <c r="L18" i="10"/>
  <c r="J18" i="10"/>
  <c r="H18" i="10"/>
  <c r="E18" i="10"/>
  <c r="D18" i="10"/>
  <c r="P17" i="10"/>
  <c r="O17" i="10"/>
  <c r="N17" i="10"/>
  <c r="M17" i="10"/>
  <c r="L17" i="10"/>
  <c r="J17" i="10"/>
  <c r="H17" i="10"/>
  <c r="E17" i="10"/>
  <c r="D17" i="10"/>
  <c r="P16" i="10"/>
  <c r="O16" i="10"/>
  <c r="N16" i="10"/>
  <c r="M16" i="10"/>
  <c r="L16" i="10"/>
  <c r="J16" i="10"/>
  <c r="H16" i="10"/>
  <c r="E16" i="10"/>
  <c r="D16" i="10"/>
  <c r="P15" i="10"/>
  <c r="O15" i="10"/>
  <c r="N15" i="10"/>
  <c r="M15" i="10"/>
  <c r="L15" i="10"/>
  <c r="J15" i="10"/>
  <c r="H15" i="10"/>
  <c r="E15" i="10"/>
  <c r="D15" i="10"/>
  <c r="P14" i="10"/>
  <c r="O14" i="10"/>
  <c r="N14" i="10"/>
  <c r="M14" i="10"/>
  <c r="L14" i="10"/>
  <c r="J14" i="10"/>
  <c r="H14" i="10"/>
  <c r="E14" i="10"/>
  <c r="D14" i="10"/>
  <c r="P13" i="10"/>
  <c r="O13" i="10"/>
  <c r="N13" i="10"/>
  <c r="M13" i="10"/>
  <c r="L13" i="10"/>
  <c r="J13" i="10"/>
  <c r="H13" i="10"/>
  <c r="E13" i="10"/>
  <c r="D13" i="10"/>
  <c r="P12" i="10"/>
  <c r="O12" i="10"/>
  <c r="N12" i="10"/>
  <c r="M12" i="10"/>
  <c r="L12" i="10"/>
  <c r="J12" i="10"/>
  <c r="H12" i="10"/>
  <c r="E12" i="10"/>
  <c r="D12" i="10"/>
  <c r="P11" i="10"/>
  <c r="O11" i="10"/>
  <c r="N11" i="10"/>
  <c r="M11" i="10"/>
  <c r="L11" i="10"/>
  <c r="J11" i="10"/>
  <c r="H11" i="10"/>
  <c r="E11" i="10"/>
  <c r="D11" i="10"/>
  <c r="P10" i="10"/>
  <c r="O10" i="10"/>
  <c r="N10" i="10"/>
  <c r="M10" i="10"/>
  <c r="L10" i="10"/>
  <c r="J10" i="10"/>
  <c r="H10" i="10"/>
  <c r="E10" i="10"/>
  <c r="D10" i="10"/>
  <c r="P9" i="10"/>
  <c r="O9" i="10"/>
  <c r="N9" i="10"/>
  <c r="M9" i="10"/>
  <c r="L9" i="10"/>
  <c r="J9" i="10"/>
  <c r="H9" i="10"/>
  <c r="E9" i="10"/>
  <c r="S8" i="10"/>
  <c r="L42" i="9"/>
  <c r="K40" i="9"/>
  <c r="H8" i="59" s="1"/>
  <c r="G40" i="9"/>
  <c r="F8" i="59" s="1"/>
  <c r="R8" i="59" s="1"/>
  <c r="F40" i="9"/>
  <c r="N39" i="9"/>
  <c r="M39" i="9"/>
  <c r="L39" i="9"/>
  <c r="H39" i="9"/>
  <c r="N38" i="9"/>
  <c r="M38" i="9"/>
  <c r="L38" i="9"/>
  <c r="H38" i="9"/>
  <c r="N37" i="9"/>
  <c r="M37" i="9"/>
  <c r="L37" i="9"/>
  <c r="H37" i="9"/>
  <c r="N36" i="9"/>
  <c r="M36" i="9"/>
  <c r="L36" i="9"/>
  <c r="H36" i="9"/>
  <c r="N35" i="9"/>
  <c r="M35" i="9"/>
  <c r="L33" i="25" s="1"/>
  <c r="L35" i="9"/>
  <c r="L40" i="9" s="1"/>
  <c r="H35" i="9"/>
  <c r="N34" i="9"/>
  <c r="M34" i="9"/>
  <c r="L34" i="9"/>
  <c r="H34" i="9"/>
  <c r="N33" i="9"/>
  <c r="M33" i="9"/>
  <c r="L33" i="9"/>
  <c r="H33" i="9"/>
  <c r="N32" i="9"/>
  <c r="M32" i="9"/>
  <c r="L32" i="9"/>
  <c r="H32" i="9"/>
  <c r="N31" i="9"/>
  <c r="M31" i="9"/>
  <c r="L31" i="9"/>
  <c r="H31" i="9"/>
  <c r="N30" i="9"/>
  <c r="M30" i="9"/>
  <c r="L30" i="9"/>
  <c r="H30" i="9"/>
  <c r="N29" i="9"/>
  <c r="M29" i="9"/>
  <c r="L29" i="9"/>
  <c r="H29" i="9"/>
  <c r="N28" i="9"/>
  <c r="M28" i="9"/>
  <c r="L28" i="9"/>
  <c r="H28" i="9"/>
  <c r="N27" i="9"/>
  <c r="M27" i="9"/>
  <c r="L27" i="9"/>
  <c r="H27" i="9"/>
  <c r="N26" i="9"/>
  <c r="M26" i="9"/>
  <c r="L26" i="9"/>
  <c r="H26" i="9"/>
  <c r="N25" i="9"/>
  <c r="M25" i="9"/>
  <c r="L25" i="9"/>
  <c r="H25" i="9"/>
  <c r="N24" i="9"/>
  <c r="M24" i="9"/>
  <c r="L24" i="9"/>
  <c r="H24" i="9"/>
  <c r="N23" i="9"/>
  <c r="M23" i="9"/>
  <c r="L23" i="9"/>
  <c r="H23" i="9"/>
  <c r="N22" i="9"/>
  <c r="M22" i="9"/>
  <c r="L22" i="9"/>
  <c r="H22" i="9"/>
  <c r="N21" i="9"/>
  <c r="M21" i="9"/>
  <c r="L21" i="9"/>
  <c r="H21" i="9"/>
  <c r="N20" i="9"/>
  <c r="M20" i="9"/>
  <c r="L20" i="9"/>
  <c r="H20" i="9"/>
  <c r="N19" i="9"/>
  <c r="M19" i="9"/>
  <c r="L19" i="9"/>
  <c r="H19" i="9"/>
  <c r="N18" i="9"/>
  <c r="M18" i="9"/>
  <c r="L18" i="9"/>
  <c r="H18" i="9"/>
  <c r="N17" i="9"/>
  <c r="M17" i="9"/>
  <c r="L17" i="9"/>
  <c r="H17" i="9"/>
  <c r="N16" i="9"/>
  <c r="M16" i="9"/>
  <c r="L16" i="9"/>
  <c r="H16" i="9"/>
  <c r="N15" i="9"/>
  <c r="M15" i="9"/>
  <c r="L15" i="9"/>
  <c r="H15" i="9"/>
  <c r="N14" i="9"/>
  <c r="M14" i="9"/>
  <c r="L14" i="9"/>
  <c r="H14" i="9"/>
  <c r="N13" i="9"/>
  <c r="N40" i="9" s="1"/>
  <c r="M13" i="9"/>
  <c r="L13" i="9"/>
  <c r="H13" i="9"/>
  <c r="N12" i="9"/>
  <c r="M12" i="9"/>
  <c r="L12" i="9"/>
  <c r="H12" i="9"/>
  <c r="N11" i="9"/>
  <c r="M11" i="9"/>
  <c r="L11" i="9"/>
  <c r="H11" i="9"/>
  <c r="N10" i="9"/>
  <c r="M10" i="9"/>
  <c r="L10" i="9"/>
  <c r="H10" i="9"/>
  <c r="O9" i="9"/>
  <c r="D10" i="9" s="1"/>
  <c r="N9" i="9"/>
  <c r="M9" i="9"/>
  <c r="L9" i="9"/>
  <c r="I9" i="9"/>
  <c r="J9" i="9" s="1"/>
  <c r="H9" i="9"/>
  <c r="E9" i="9"/>
  <c r="S8" i="9"/>
  <c r="S7" i="9"/>
  <c r="K42" i="8"/>
  <c r="G42" i="8"/>
  <c r="N40" i="8"/>
  <c r="L40" i="8"/>
  <c r="K40" i="8"/>
  <c r="H40" i="8"/>
  <c r="G40" i="8"/>
  <c r="F40" i="8"/>
  <c r="P39" i="8"/>
  <c r="O39" i="8"/>
  <c r="N39" i="8"/>
  <c r="M39" i="8"/>
  <c r="L39" i="8"/>
  <c r="J39" i="8"/>
  <c r="H39" i="8"/>
  <c r="E39" i="8"/>
  <c r="P38" i="8"/>
  <c r="O38" i="8"/>
  <c r="N38" i="8"/>
  <c r="M38" i="8"/>
  <c r="L38" i="8"/>
  <c r="J38" i="8"/>
  <c r="H38" i="8"/>
  <c r="E38" i="8"/>
  <c r="D38" i="8"/>
  <c r="P37" i="8"/>
  <c r="O37" i="8"/>
  <c r="N37" i="8"/>
  <c r="M37" i="8"/>
  <c r="L37" i="8"/>
  <c r="J37" i="8"/>
  <c r="H37" i="8"/>
  <c r="E37" i="8"/>
  <c r="D37" i="8"/>
  <c r="P36" i="8"/>
  <c r="O36" i="8"/>
  <c r="N36" i="8"/>
  <c r="M36" i="8"/>
  <c r="L36" i="8"/>
  <c r="J36" i="8"/>
  <c r="H36" i="8"/>
  <c r="E36" i="8"/>
  <c r="D36" i="8"/>
  <c r="P35" i="8"/>
  <c r="O35" i="8"/>
  <c r="N35" i="8"/>
  <c r="M35" i="8"/>
  <c r="L35" i="8"/>
  <c r="J35" i="8"/>
  <c r="H35" i="8"/>
  <c r="E35" i="8"/>
  <c r="D35" i="8"/>
  <c r="P34" i="8"/>
  <c r="O34" i="8"/>
  <c r="N34" i="8"/>
  <c r="M34" i="8"/>
  <c r="L34" i="8"/>
  <c r="J34" i="8"/>
  <c r="H34" i="8"/>
  <c r="E34" i="8"/>
  <c r="D34" i="8"/>
  <c r="P33" i="8"/>
  <c r="O33" i="8"/>
  <c r="N33" i="8"/>
  <c r="M33" i="8"/>
  <c r="L33" i="8"/>
  <c r="J33" i="8"/>
  <c r="H33" i="8"/>
  <c r="E33" i="8"/>
  <c r="D33" i="8"/>
  <c r="P32" i="8"/>
  <c r="O32" i="8"/>
  <c r="N32" i="8"/>
  <c r="M32" i="8"/>
  <c r="L32" i="8"/>
  <c r="J32" i="8"/>
  <c r="H32" i="8"/>
  <c r="E32" i="8"/>
  <c r="D32" i="8"/>
  <c r="P31" i="8"/>
  <c r="O31" i="8"/>
  <c r="N31" i="8"/>
  <c r="M31" i="8"/>
  <c r="L31" i="8"/>
  <c r="J31" i="8"/>
  <c r="H31" i="8"/>
  <c r="E31" i="8"/>
  <c r="D31" i="8"/>
  <c r="P30" i="8"/>
  <c r="O30" i="8"/>
  <c r="N30" i="8"/>
  <c r="M30" i="8"/>
  <c r="L30" i="8"/>
  <c r="J30" i="8"/>
  <c r="H30" i="8"/>
  <c r="E30" i="8"/>
  <c r="D30" i="8"/>
  <c r="P29" i="8"/>
  <c r="O29" i="8"/>
  <c r="N29" i="8"/>
  <c r="M29" i="8"/>
  <c r="L29" i="8"/>
  <c r="J29" i="8"/>
  <c r="H29" i="8"/>
  <c r="E29" i="8"/>
  <c r="D29" i="8"/>
  <c r="P28" i="8"/>
  <c r="O28" i="8"/>
  <c r="N28" i="8"/>
  <c r="M28" i="8"/>
  <c r="L28" i="8"/>
  <c r="J28" i="8"/>
  <c r="H28" i="8"/>
  <c r="E28" i="8"/>
  <c r="D28" i="8"/>
  <c r="P27" i="8"/>
  <c r="O27" i="8"/>
  <c r="N27" i="8"/>
  <c r="M27" i="8"/>
  <c r="L27" i="8"/>
  <c r="J27" i="8"/>
  <c r="H27" i="8"/>
  <c r="E27" i="8"/>
  <c r="D27" i="8"/>
  <c r="P26" i="8"/>
  <c r="O26" i="8"/>
  <c r="N26" i="8"/>
  <c r="M26" i="8"/>
  <c r="L26" i="8"/>
  <c r="J26" i="8"/>
  <c r="H26" i="8"/>
  <c r="E26" i="8"/>
  <c r="D26" i="8"/>
  <c r="P25" i="8"/>
  <c r="O25" i="8"/>
  <c r="N25" i="8"/>
  <c r="M25" i="8"/>
  <c r="L25" i="8"/>
  <c r="J25" i="8"/>
  <c r="H25" i="8"/>
  <c r="E25" i="8"/>
  <c r="D25" i="8"/>
  <c r="P24" i="8"/>
  <c r="O24" i="8"/>
  <c r="N24" i="8"/>
  <c r="M24" i="8"/>
  <c r="L24" i="8"/>
  <c r="J24" i="8"/>
  <c r="H24" i="8"/>
  <c r="E24" i="8"/>
  <c r="D24" i="8"/>
  <c r="P23" i="8"/>
  <c r="O23" i="8"/>
  <c r="N23" i="8"/>
  <c r="M23" i="8"/>
  <c r="L23" i="8"/>
  <c r="J23" i="8"/>
  <c r="H23" i="8"/>
  <c r="E23" i="8"/>
  <c r="D23" i="8"/>
  <c r="P22" i="8"/>
  <c r="O22" i="8"/>
  <c r="N22" i="8"/>
  <c r="M22" i="8"/>
  <c r="L22" i="8"/>
  <c r="J22" i="8"/>
  <c r="H22" i="8"/>
  <c r="E22" i="8"/>
  <c r="D22" i="8"/>
  <c r="P21" i="8"/>
  <c r="O21" i="8"/>
  <c r="N21" i="8"/>
  <c r="M21" i="8"/>
  <c r="L21" i="8"/>
  <c r="J21" i="8"/>
  <c r="H21" i="8"/>
  <c r="E21" i="8"/>
  <c r="P20" i="8"/>
  <c r="O20" i="8"/>
  <c r="N20" i="8"/>
  <c r="M20" i="8"/>
  <c r="L20" i="8"/>
  <c r="J20" i="8"/>
  <c r="H20" i="8"/>
  <c r="E20" i="8"/>
  <c r="P19" i="8"/>
  <c r="O19" i="8"/>
  <c r="N19" i="8"/>
  <c r="M19" i="8"/>
  <c r="L19" i="8"/>
  <c r="J19" i="8"/>
  <c r="H19" i="8"/>
  <c r="E19" i="8"/>
  <c r="P18" i="8"/>
  <c r="O18" i="8"/>
  <c r="N18" i="8"/>
  <c r="M18" i="8"/>
  <c r="L18" i="8"/>
  <c r="J18" i="8"/>
  <c r="H18" i="8"/>
  <c r="E18" i="8"/>
  <c r="P17" i="8"/>
  <c r="O17" i="8"/>
  <c r="N17" i="8"/>
  <c r="M17" i="8"/>
  <c r="L17" i="8"/>
  <c r="J17" i="8"/>
  <c r="H17" i="8"/>
  <c r="E17" i="8"/>
  <c r="P16" i="8"/>
  <c r="O16" i="8"/>
  <c r="N16" i="8"/>
  <c r="M16" i="8"/>
  <c r="L16" i="8"/>
  <c r="J16" i="8"/>
  <c r="H16" i="8"/>
  <c r="E16" i="8"/>
  <c r="P15" i="8"/>
  <c r="O15" i="8"/>
  <c r="N15" i="8"/>
  <c r="M15" i="8"/>
  <c r="L15" i="8"/>
  <c r="J15" i="8"/>
  <c r="H15" i="8"/>
  <c r="E15" i="8"/>
  <c r="P14" i="8"/>
  <c r="O14" i="8"/>
  <c r="N14" i="8"/>
  <c r="M14" i="8"/>
  <c r="L14" i="8"/>
  <c r="J14" i="8"/>
  <c r="H14" i="8"/>
  <c r="E14" i="8"/>
  <c r="P13" i="8"/>
  <c r="O13" i="8"/>
  <c r="N13" i="8"/>
  <c r="M13" i="8"/>
  <c r="L13" i="8"/>
  <c r="J13" i="8"/>
  <c r="H13" i="8"/>
  <c r="E13" i="8"/>
  <c r="P12" i="8"/>
  <c r="O12" i="8"/>
  <c r="N12" i="8"/>
  <c r="M12" i="8"/>
  <c r="L12" i="8"/>
  <c r="J12" i="8"/>
  <c r="H12" i="8"/>
  <c r="E12" i="8"/>
  <c r="P11" i="8"/>
  <c r="O11" i="8"/>
  <c r="N11" i="8"/>
  <c r="M11" i="8"/>
  <c r="L11" i="8"/>
  <c r="J11" i="8"/>
  <c r="H11" i="8"/>
  <c r="E11" i="8"/>
  <c r="P10" i="8"/>
  <c r="O10" i="8"/>
  <c r="N10" i="8"/>
  <c r="M10" i="8"/>
  <c r="L10" i="8"/>
  <c r="J10" i="8"/>
  <c r="H10" i="8"/>
  <c r="E10" i="8"/>
  <c r="Q9" i="8"/>
  <c r="P9" i="8"/>
  <c r="O9" i="8"/>
  <c r="N9" i="8"/>
  <c r="M9" i="8"/>
  <c r="L9" i="8"/>
  <c r="J9" i="8"/>
  <c r="H9" i="8"/>
  <c r="E9" i="8"/>
  <c r="S8" i="8"/>
  <c r="U43" i="7"/>
  <c r="U42" i="7"/>
  <c r="L42" i="7"/>
  <c r="H42" i="7"/>
  <c r="G42" i="7"/>
  <c r="U41" i="7"/>
  <c r="N40" i="7"/>
  <c r="L40" i="7"/>
  <c r="K40" i="7"/>
  <c r="H40" i="7"/>
  <c r="G40" i="7"/>
  <c r="F40" i="7"/>
  <c r="N39" i="7"/>
  <c r="M39" i="7"/>
  <c r="L39" i="7"/>
  <c r="H39" i="7"/>
  <c r="N38" i="7"/>
  <c r="M38" i="7"/>
  <c r="L38" i="7"/>
  <c r="H38" i="7"/>
  <c r="N37" i="7"/>
  <c r="M37" i="7"/>
  <c r="L37" i="7"/>
  <c r="H37" i="7"/>
  <c r="N36" i="7"/>
  <c r="M36" i="7"/>
  <c r="L36" i="7"/>
  <c r="H36" i="7"/>
  <c r="N35" i="7"/>
  <c r="M35" i="7"/>
  <c r="L35" i="7"/>
  <c r="H35" i="7"/>
  <c r="N34" i="7"/>
  <c r="M34" i="7"/>
  <c r="L34" i="7"/>
  <c r="H34" i="7"/>
  <c r="N33" i="7"/>
  <c r="M33" i="7"/>
  <c r="L33" i="7"/>
  <c r="H33" i="7"/>
  <c r="N32" i="7"/>
  <c r="M32" i="7"/>
  <c r="L32" i="7"/>
  <c r="H32" i="7"/>
  <c r="N31" i="7"/>
  <c r="M31" i="7"/>
  <c r="L31" i="7"/>
  <c r="H31" i="7"/>
  <c r="N30" i="7"/>
  <c r="M30" i="7"/>
  <c r="L30" i="7"/>
  <c r="H30" i="7"/>
  <c r="N29" i="7"/>
  <c r="M29" i="7"/>
  <c r="L29" i="7"/>
  <c r="H29" i="7"/>
  <c r="N28" i="7"/>
  <c r="M28" i="7"/>
  <c r="L28" i="7"/>
  <c r="H28" i="7"/>
  <c r="N27" i="7"/>
  <c r="M27" i="7"/>
  <c r="L27" i="7"/>
  <c r="H27" i="7"/>
  <c r="N26" i="7"/>
  <c r="M26" i="7"/>
  <c r="L26" i="7"/>
  <c r="H26" i="7"/>
  <c r="N25" i="7"/>
  <c r="M25" i="7"/>
  <c r="L25" i="7"/>
  <c r="H25" i="7"/>
  <c r="N24" i="7"/>
  <c r="M24" i="7"/>
  <c r="L24" i="7"/>
  <c r="H24" i="7"/>
  <c r="N23" i="7"/>
  <c r="M23" i="7"/>
  <c r="L23" i="7"/>
  <c r="H23" i="7"/>
  <c r="N22" i="7"/>
  <c r="M22" i="7"/>
  <c r="L22" i="7"/>
  <c r="H22" i="7"/>
  <c r="N21" i="7"/>
  <c r="M21" i="7"/>
  <c r="L21" i="7"/>
  <c r="H21" i="7"/>
  <c r="N20" i="7"/>
  <c r="M20" i="7"/>
  <c r="L20" i="7"/>
  <c r="H20" i="7"/>
  <c r="N19" i="7"/>
  <c r="M19" i="7"/>
  <c r="L19" i="7"/>
  <c r="H19" i="7"/>
  <c r="N18" i="7"/>
  <c r="M18" i="7"/>
  <c r="L18" i="7"/>
  <c r="H18" i="7"/>
  <c r="N17" i="7"/>
  <c r="M17" i="7"/>
  <c r="L17" i="7"/>
  <c r="H17" i="7"/>
  <c r="N16" i="7"/>
  <c r="M16" i="7"/>
  <c r="L16" i="7"/>
  <c r="H16" i="7"/>
  <c r="N15" i="7"/>
  <c r="M15" i="7"/>
  <c r="L15" i="7"/>
  <c r="H15" i="7"/>
  <c r="N14" i="7"/>
  <c r="M14" i="7"/>
  <c r="L14" i="7"/>
  <c r="H14" i="7"/>
  <c r="N13" i="7"/>
  <c r="M13" i="7"/>
  <c r="L13" i="7"/>
  <c r="H13" i="7"/>
  <c r="N12" i="7"/>
  <c r="M12" i="7"/>
  <c r="L12" i="7"/>
  <c r="H12" i="7"/>
  <c r="N11" i="7"/>
  <c r="M11" i="7"/>
  <c r="L11" i="7"/>
  <c r="H11" i="7"/>
  <c r="N10" i="7"/>
  <c r="M10" i="7"/>
  <c r="L10" i="7"/>
  <c r="H10" i="7"/>
  <c r="O9" i="7"/>
  <c r="D10" i="7" s="1"/>
  <c r="N9" i="7"/>
  <c r="M9" i="7"/>
  <c r="L9" i="7"/>
  <c r="I9" i="7"/>
  <c r="J9" i="7" s="1"/>
  <c r="H9" i="7"/>
  <c r="E9" i="7"/>
  <c r="S8" i="7"/>
  <c r="S7" i="7"/>
  <c r="U43" i="6"/>
  <c r="U42" i="6"/>
  <c r="L42" i="6"/>
  <c r="H42" i="6"/>
  <c r="G42" i="6"/>
  <c r="U41" i="6"/>
  <c r="N40" i="6"/>
  <c r="M40" i="6"/>
  <c r="L40" i="6"/>
  <c r="K40" i="6"/>
  <c r="H40" i="6"/>
  <c r="G40" i="6"/>
  <c r="F40" i="6"/>
  <c r="P39" i="6"/>
  <c r="O39" i="6"/>
  <c r="N39" i="6"/>
  <c r="M39" i="6"/>
  <c r="L39" i="6"/>
  <c r="J39" i="6"/>
  <c r="I39" i="6"/>
  <c r="H39" i="6"/>
  <c r="E39" i="6"/>
  <c r="D39" i="6"/>
  <c r="P38" i="6"/>
  <c r="O38" i="6"/>
  <c r="N38" i="6"/>
  <c r="M38" i="6"/>
  <c r="L38" i="6"/>
  <c r="J38" i="6"/>
  <c r="I38" i="6"/>
  <c r="H38" i="6"/>
  <c r="E38" i="6"/>
  <c r="D38" i="6"/>
  <c r="P37" i="6"/>
  <c r="O37" i="6"/>
  <c r="N37" i="6"/>
  <c r="M37" i="6"/>
  <c r="L37" i="6"/>
  <c r="J37" i="6"/>
  <c r="I37" i="6"/>
  <c r="H37" i="6"/>
  <c r="E37" i="6"/>
  <c r="D37" i="6"/>
  <c r="P36" i="6"/>
  <c r="O36" i="6"/>
  <c r="N36" i="6"/>
  <c r="M36" i="6"/>
  <c r="L36" i="6"/>
  <c r="J36" i="6"/>
  <c r="I36" i="6"/>
  <c r="H36" i="6"/>
  <c r="E36" i="6"/>
  <c r="D36" i="6"/>
  <c r="P35" i="6"/>
  <c r="O35" i="6"/>
  <c r="N35" i="6"/>
  <c r="M35" i="6"/>
  <c r="L35" i="6"/>
  <c r="J35" i="6"/>
  <c r="I35" i="6"/>
  <c r="H35" i="6"/>
  <c r="E35" i="6"/>
  <c r="D35" i="6"/>
  <c r="P34" i="6"/>
  <c r="O34" i="6"/>
  <c r="N34" i="6"/>
  <c r="M34" i="6"/>
  <c r="L34" i="6"/>
  <c r="J34" i="6"/>
  <c r="I34" i="6"/>
  <c r="H34" i="6"/>
  <c r="E34" i="6"/>
  <c r="D34" i="6"/>
  <c r="P33" i="6"/>
  <c r="O33" i="6"/>
  <c r="N33" i="6"/>
  <c r="M33" i="6"/>
  <c r="L33" i="6"/>
  <c r="J33" i="6"/>
  <c r="I33" i="6"/>
  <c r="H33" i="6"/>
  <c r="E33" i="6"/>
  <c r="D33" i="6"/>
  <c r="P32" i="6"/>
  <c r="O32" i="6"/>
  <c r="N32" i="6"/>
  <c r="M32" i="6"/>
  <c r="L32" i="6"/>
  <c r="J32" i="6"/>
  <c r="I32" i="6"/>
  <c r="H32" i="6"/>
  <c r="E32" i="6"/>
  <c r="D32" i="6"/>
  <c r="P31" i="6"/>
  <c r="O31" i="6"/>
  <c r="N31" i="6"/>
  <c r="M31" i="6"/>
  <c r="L31" i="6"/>
  <c r="J31" i="6"/>
  <c r="I31" i="6"/>
  <c r="H31" i="6"/>
  <c r="E31" i="6"/>
  <c r="D31" i="6"/>
  <c r="P30" i="6"/>
  <c r="O30" i="6"/>
  <c r="N30" i="6"/>
  <c r="M30" i="6"/>
  <c r="L30" i="6"/>
  <c r="J30" i="6"/>
  <c r="I30" i="6"/>
  <c r="H30" i="6"/>
  <c r="E30" i="6"/>
  <c r="D30" i="6"/>
  <c r="P29" i="6"/>
  <c r="O29" i="6"/>
  <c r="N29" i="6"/>
  <c r="M29" i="6"/>
  <c r="L29" i="6"/>
  <c r="J29" i="6"/>
  <c r="I29" i="6"/>
  <c r="H29" i="6"/>
  <c r="E29" i="6"/>
  <c r="D29" i="6"/>
  <c r="P28" i="6"/>
  <c r="O28" i="6"/>
  <c r="N28" i="6"/>
  <c r="M28" i="6"/>
  <c r="L28" i="6"/>
  <c r="J28" i="6"/>
  <c r="I28" i="6"/>
  <c r="H28" i="6"/>
  <c r="E28" i="6"/>
  <c r="D28" i="6"/>
  <c r="P27" i="6"/>
  <c r="O27" i="6"/>
  <c r="N27" i="6"/>
  <c r="M27" i="6"/>
  <c r="L27" i="6"/>
  <c r="J27" i="6"/>
  <c r="I27" i="6"/>
  <c r="H27" i="6"/>
  <c r="E27" i="6"/>
  <c r="D27" i="6"/>
  <c r="P26" i="6"/>
  <c r="O26" i="6"/>
  <c r="N26" i="6"/>
  <c r="M26" i="6"/>
  <c r="L26" i="6"/>
  <c r="J26" i="6"/>
  <c r="I26" i="6"/>
  <c r="H26" i="6"/>
  <c r="E26" i="6"/>
  <c r="D26" i="6"/>
  <c r="P25" i="6"/>
  <c r="O25" i="6"/>
  <c r="N25" i="6"/>
  <c r="M25" i="6"/>
  <c r="L25" i="6"/>
  <c r="J25" i="6"/>
  <c r="I25" i="6"/>
  <c r="H25" i="6"/>
  <c r="E25" i="6"/>
  <c r="D25" i="6"/>
  <c r="P24" i="6"/>
  <c r="O24" i="6"/>
  <c r="N24" i="6"/>
  <c r="M24" i="6"/>
  <c r="L24" i="6"/>
  <c r="J24" i="6"/>
  <c r="I24" i="6"/>
  <c r="H24" i="6"/>
  <c r="E24" i="6"/>
  <c r="D24" i="6"/>
  <c r="P23" i="6"/>
  <c r="O23" i="6"/>
  <c r="N23" i="6"/>
  <c r="M23" i="6"/>
  <c r="L23" i="6"/>
  <c r="J23" i="6"/>
  <c r="I23" i="6"/>
  <c r="H23" i="6"/>
  <c r="E23" i="6"/>
  <c r="D23" i="6"/>
  <c r="P22" i="6"/>
  <c r="O22" i="6"/>
  <c r="N22" i="6"/>
  <c r="M22" i="6"/>
  <c r="L22" i="6"/>
  <c r="J22" i="6"/>
  <c r="I22" i="6"/>
  <c r="H22" i="6"/>
  <c r="E22" i="6"/>
  <c r="D22" i="6"/>
  <c r="P21" i="6"/>
  <c r="O21" i="6"/>
  <c r="N21" i="6"/>
  <c r="M21" i="6"/>
  <c r="L21" i="6"/>
  <c r="J21" i="6"/>
  <c r="I21" i="6"/>
  <c r="H21" i="6"/>
  <c r="E21" i="6"/>
  <c r="D21" i="6"/>
  <c r="P20" i="6"/>
  <c r="O20" i="6"/>
  <c r="N20" i="6"/>
  <c r="M20" i="6"/>
  <c r="L20" i="6"/>
  <c r="J20" i="6"/>
  <c r="I20" i="6"/>
  <c r="H20" i="6"/>
  <c r="E20" i="6"/>
  <c r="D20" i="6"/>
  <c r="P19" i="6"/>
  <c r="O19" i="6"/>
  <c r="N19" i="6"/>
  <c r="M19" i="6"/>
  <c r="L19" i="6"/>
  <c r="J19" i="6"/>
  <c r="I19" i="6"/>
  <c r="H19" i="6"/>
  <c r="E19" i="6"/>
  <c r="D19" i="6"/>
  <c r="P18" i="6"/>
  <c r="O18" i="6"/>
  <c r="N18" i="6"/>
  <c r="M18" i="6"/>
  <c r="L18" i="6"/>
  <c r="J18" i="6"/>
  <c r="I18" i="6"/>
  <c r="H18" i="6"/>
  <c r="E18" i="6"/>
  <c r="D18" i="6"/>
  <c r="P17" i="6"/>
  <c r="O17" i="6"/>
  <c r="N17" i="6"/>
  <c r="M17" i="6"/>
  <c r="L17" i="6"/>
  <c r="J17" i="6"/>
  <c r="I17" i="6"/>
  <c r="H17" i="6"/>
  <c r="E17" i="6"/>
  <c r="D17" i="6"/>
  <c r="P16" i="6"/>
  <c r="O16" i="6"/>
  <c r="N16" i="6"/>
  <c r="M16" i="6"/>
  <c r="L16" i="6"/>
  <c r="J16" i="6"/>
  <c r="I16" i="6"/>
  <c r="H16" i="6"/>
  <c r="E16" i="6"/>
  <c r="D16" i="6"/>
  <c r="P15" i="6"/>
  <c r="O15" i="6"/>
  <c r="N15" i="6"/>
  <c r="M15" i="6"/>
  <c r="L15" i="6"/>
  <c r="J15" i="6"/>
  <c r="I15" i="6"/>
  <c r="H15" i="6"/>
  <c r="E15" i="6"/>
  <c r="D15" i="6"/>
  <c r="P14" i="6"/>
  <c r="O14" i="6"/>
  <c r="N14" i="6"/>
  <c r="M14" i="6"/>
  <c r="L14" i="6"/>
  <c r="J14" i="6"/>
  <c r="I14" i="6"/>
  <c r="H14" i="6"/>
  <c r="E14" i="6"/>
  <c r="D14" i="6"/>
  <c r="P13" i="6"/>
  <c r="O13" i="6"/>
  <c r="N13" i="6"/>
  <c r="M13" i="6"/>
  <c r="L13" i="6"/>
  <c r="J13" i="6"/>
  <c r="I13" i="6"/>
  <c r="H13" i="6"/>
  <c r="E13" i="6"/>
  <c r="D13" i="6"/>
  <c r="P12" i="6"/>
  <c r="O12" i="6"/>
  <c r="N12" i="6"/>
  <c r="M12" i="6"/>
  <c r="L12" i="6"/>
  <c r="J12" i="6"/>
  <c r="I12" i="6"/>
  <c r="H12" i="6"/>
  <c r="E12" i="6"/>
  <c r="P11" i="6"/>
  <c r="O11" i="6"/>
  <c r="N11" i="6"/>
  <c r="M11" i="6"/>
  <c r="L11" i="6"/>
  <c r="J11" i="6"/>
  <c r="I11" i="6"/>
  <c r="H11" i="6"/>
  <c r="E11" i="6"/>
  <c r="P10" i="6"/>
  <c r="O10" i="6"/>
  <c r="N10" i="6"/>
  <c r="M10" i="6"/>
  <c r="L10" i="6"/>
  <c r="J10" i="6"/>
  <c r="I10" i="6"/>
  <c r="H10" i="6"/>
  <c r="E10" i="6"/>
  <c r="Q9" i="6"/>
  <c r="P9" i="6"/>
  <c r="O9" i="6"/>
  <c r="N9" i="6"/>
  <c r="M9" i="6"/>
  <c r="L9" i="6"/>
  <c r="J9" i="6"/>
  <c r="I9" i="6"/>
  <c r="H9" i="6"/>
  <c r="E9" i="6"/>
  <c r="S8" i="6"/>
  <c r="S7" i="6"/>
  <c r="K47" i="61"/>
  <c r="L42" i="61"/>
  <c r="H42" i="61"/>
  <c r="G42" i="61"/>
  <c r="N40" i="61"/>
  <c r="M40" i="61"/>
  <c r="L40" i="61"/>
  <c r="K40" i="61"/>
  <c r="H40" i="61"/>
  <c r="G40" i="61"/>
  <c r="P39" i="61"/>
  <c r="O39" i="61"/>
  <c r="N39" i="61"/>
  <c r="M39" i="61"/>
  <c r="L39" i="61"/>
  <c r="J39" i="61"/>
  <c r="I39" i="61"/>
  <c r="H39" i="61"/>
  <c r="E39" i="61"/>
  <c r="D39" i="61"/>
  <c r="P38" i="61"/>
  <c r="O38" i="61"/>
  <c r="N38" i="61"/>
  <c r="M38" i="61"/>
  <c r="L38" i="61"/>
  <c r="J38" i="61"/>
  <c r="I38" i="61"/>
  <c r="H38" i="61"/>
  <c r="E38" i="61"/>
  <c r="D38" i="61"/>
  <c r="P37" i="61"/>
  <c r="O37" i="61"/>
  <c r="N37" i="61"/>
  <c r="M37" i="61"/>
  <c r="L37" i="61"/>
  <c r="J37" i="61"/>
  <c r="I37" i="61"/>
  <c r="H37" i="61"/>
  <c r="E37" i="61"/>
  <c r="D37" i="61"/>
  <c r="P36" i="61"/>
  <c r="O36" i="61"/>
  <c r="N36" i="61"/>
  <c r="M36" i="61"/>
  <c r="L36" i="61"/>
  <c r="J36" i="61"/>
  <c r="I36" i="61"/>
  <c r="H36" i="61"/>
  <c r="E36" i="61"/>
  <c r="D36" i="61"/>
  <c r="P35" i="61"/>
  <c r="O35" i="61"/>
  <c r="N35" i="61"/>
  <c r="M35" i="61"/>
  <c r="L35" i="61"/>
  <c r="J35" i="61"/>
  <c r="I35" i="61"/>
  <c r="H35" i="61"/>
  <c r="E35" i="61"/>
  <c r="D35" i="61"/>
  <c r="P34" i="61"/>
  <c r="O34" i="61"/>
  <c r="N34" i="61"/>
  <c r="M34" i="61"/>
  <c r="L34" i="61"/>
  <c r="J34" i="61"/>
  <c r="I34" i="61"/>
  <c r="H34" i="61"/>
  <c r="E34" i="61"/>
  <c r="D34" i="61"/>
  <c r="P33" i="61"/>
  <c r="O33" i="61"/>
  <c r="N33" i="61"/>
  <c r="M33" i="61"/>
  <c r="L33" i="61"/>
  <c r="J33" i="61"/>
  <c r="I33" i="61"/>
  <c r="H33" i="61"/>
  <c r="E33" i="61"/>
  <c r="D33" i="61"/>
  <c r="P32" i="61"/>
  <c r="O32" i="61"/>
  <c r="N32" i="61"/>
  <c r="M32" i="61"/>
  <c r="L32" i="61"/>
  <c r="J32" i="61"/>
  <c r="I32" i="61"/>
  <c r="H32" i="61"/>
  <c r="E32" i="61"/>
  <c r="D32" i="61"/>
  <c r="P31" i="61"/>
  <c r="O31" i="61"/>
  <c r="N31" i="61"/>
  <c r="M31" i="61"/>
  <c r="L31" i="61"/>
  <c r="J31" i="61"/>
  <c r="I31" i="61"/>
  <c r="H31" i="61"/>
  <c r="E31" i="61"/>
  <c r="D31" i="61"/>
  <c r="P30" i="61"/>
  <c r="O30" i="61"/>
  <c r="N30" i="61"/>
  <c r="M30" i="61"/>
  <c r="L30" i="61"/>
  <c r="J30" i="61"/>
  <c r="I30" i="61"/>
  <c r="H30" i="61"/>
  <c r="E30" i="61"/>
  <c r="D30" i="61"/>
  <c r="P29" i="61"/>
  <c r="O29" i="61"/>
  <c r="N29" i="61"/>
  <c r="M29" i="61"/>
  <c r="L29" i="61"/>
  <c r="J29" i="61"/>
  <c r="I29" i="61"/>
  <c r="H29" i="61"/>
  <c r="E29" i="61"/>
  <c r="D29" i="61"/>
  <c r="P28" i="61"/>
  <c r="O28" i="61"/>
  <c r="N28" i="61"/>
  <c r="M28" i="61"/>
  <c r="L28" i="61"/>
  <c r="J28" i="61"/>
  <c r="I28" i="61"/>
  <c r="H28" i="61"/>
  <c r="E28" i="61"/>
  <c r="D28" i="61"/>
  <c r="P27" i="61"/>
  <c r="O27" i="61"/>
  <c r="N27" i="61"/>
  <c r="M27" i="61"/>
  <c r="L27" i="61"/>
  <c r="J27" i="61"/>
  <c r="I27" i="61"/>
  <c r="H27" i="61"/>
  <c r="E27" i="61"/>
  <c r="D27" i="61"/>
  <c r="P26" i="61"/>
  <c r="O26" i="61"/>
  <c r="N26" i="61"/>
  <c r="M26" i="61"/>
  <c r="L26" i="61"/>
  <c r="J26" i="61"/>
  <c r="I26" i="61"/>
  <c r="H26" i="61"/>
  <c r="E26" i="61"/>
  <c r="D26" i="61"/>
  <c r="P25" i="61"/>
  <c r="O25" i="61"/>
  <c r="N25" i="61"/>
  <c r="M25" i="61"/>
  <c r="L25" i="61"/>
  <c r="J25" i="61"/>
  <c r="I25" i="61"/>
  <c r="H25" i="61"/>
  <c r="E25" i="61"/>
  <c r="D25" i="61"/>
  <c r="P24" i="61"/>
  <c r="O24" i="61"/>
  <c r="N24" i="61"/>
  <c r="M24" i="61"/>
  <c r="L24" i="61"/>
  <c r="J24" i="61"/>
  <c r="I24" i="61"/>
  <c r="H24" i="61"/>
  <c r="E24" i="61"/>
  <c r="D24" i="61"/>
  <c r="P23" i="61"/>
  <c r="O23" i="61"/>
  <c r="N23" i="61"/>
  <c r="M23" i="61"/>
  <c r="L23" i="61"/>
  <c r="J23" i="61"/>
  <c r="I23" i="61"/>
  <c r="H23" i="61"/>
  <c r="E23" i="61"/>
  <c r="P22" i="61"/>
  <c r="O22" i="61"/>
  <c r="N22" i="61"/>
  <c r="M22" i="61"/>
  <c r="L22" i="61"/>
  <c r="J22" i="61"/>
  <c r="I22" i="61"/>
  <c r="H22" i="61"/>
  <c r="E22" i="61"/>
  <c r="P21" i="61"/>
  <c r="O21" i="61"/>
  <c r="N21" i="61"/>
  <c r="M21" i="61"/>
  <c r="L21" i="61"/>
  <c r="J21" i="61"/>
  <c r="I21" i="61"/>
  <c r="H21" i="61"/>
  <c r="E21" i="61"/>
  <c r="P20" i="61"/>
  <c r="O20" i="61"/>
  <c r="N20" i="61"/>
  <c r="M20" i="61"/>
  <c r="L20" i="61"/>
  <c r="J20" i="61"/>
  <c r="I20" i="61"/>
  <c r="H20" i="61"/>
  <c r="E20" i="61"/>
  <c r="P19" i="61"/>
  <c r="O19" i="61"/>
  <c r="N19" i="61"/>
  <c r="M19" i="61"/>
  <c r="L19" i="61"/>
  <c r="J19" i="61"/>
  <c r="I19" i="61"/>
  <c r="H19" i="61"/>
  <c r="E19" i="61"/>
  <c r="P18" i="61"/>
  <c r="O18" i="61"/>
  <c r="N18" i="61"/>
  <c r="M18" i="61"/>
  <c r="L18" i="61"/>
  <c r="J18" i="61"/>
  <c r="I18" i="61"/>
  <c r="H18" i="61"/>
  <c r="E18" i="61"/>
  <c r="S17" i="61"/>
  <c r="P17" i="61"/>
  <c r="O17" i="61"/>
  <c r="N17" i="61"/>
  <c r="M17" i="61"/>
  <c r="L17" i="61"/>
  <c r="J17" i="61"/>
  <c r="I17" i="61"/>
  <c r="H17" i="61"/>
  <c r="E17" i="61"/>
  <c r="S16" i="61"/>
  <c r="P16" i="61"/>
  <c r="O16" i="61"/>
  <c r="N16" i="61"/>
  <c r="M16" i="61"/>
  <c r="L16" i="61"/>
  <c r="J16" i="61"/>
  <c r="I16" i="61"/>
  <c r="H16" i="61"/>
  <c r="E16" i="61"/>
  <c r="S15" i="61"/>
  <c r="P15" i="61"/>
  <c r="O15" i="61"/>
  <c r="N15" i="61"/>
  <c r="M15" i="61"/>
  <c r="L15" i="61"/>
  <c r="J15" i="61"/>
  <c r="I15" i="61"/>
  <c r="H15" i="61"/>
  <c r="E15" i="61"/>
  <c r="P14" i="61"/>
  <c r="O14" i="61"/>
  <c r="N14" i="61"/>
  <c r="M14" i="61"/>
  <c r="L14" i="61"/>
  <c r="J14" i="61"/>
  <c r="I14" i="61"/>
  <c r="H14" i="61"/>
  <c r="E14" i="61"/>
  <c r="P13" i="61"/>
  <c r="O13" i="61"/>
  <c r="N13" i="61"/>
  <c r="M13" i="61"/>
  <c r="L13" i="61"/>
  <c r="J13" i="61"/>
  <c r="I13" i="61"/>
  <c r="H13" i="61"/>
  <c r="E13" i="61"/>
  <c r="P12" i="61"/>
  <c r="O12" i="61"/>
  <c r="N12" i="61"/>
  <c r="M12" i="61"/>
  <c r="L12" i="61"/>
  <c r="J12" i="61"/>
  <c r="I12" i="61"/>
  <c r="H12" i="61"/>
  <c r="E12" i="61"/>
  <c r="P11" i="61"/>
  <c r="O11" i="61"/>
  <c r="N11" i="61"/>
  <c r="M11" i="61"/>
  <c r="L11" i="61"/>
  <c r="J11" i="61"/>
  <c r="I11" i="61"/>
  <c r="H11" i="61"/>
  <c r="E11" i="61"/>
  <c r="P10" i="61"/>
  <c r="O10" i="61"/>
  <c r="N10" i="61"/>
  <c r="M10" i="61"/>
  <c r="L10" i="61"/>
  <c r="J10" i="61"/>
  <c r="I10" i="61"/>
  <c r="H10" i="61"/>
  <c r="E10" i="61"/>
  <c r="P9" i="61"/>
  <c r="O9" i="61"/>
  <c r="N9" i="61"/>
  <c r="M9" i="61"/>
  <c r="L9" i="61"/>
  <c r="J9" i="61"/>
  <c r="I9" i="61"/>
  <c r="H9" i="61"/>
  <c r="E9" i="61"/>
  <c r="S8" i="61"/>
  <c r="S7" i="61"/>
  <c r="K47" i="62"/>
  <c r="L42" i="62"/>
  <c r="H42" i="62"/>
  <c r="G42" i="62"/>
  <c r="N40" i="62"/>
  <c r="M40" i="62"/>
  <c r="L40" i="62"/>
  <c r="K40" i="62"/>
  <c r="H40" i="62"/>
  <c r="G40" i="62"/>
  <c r="P39" i="62"/>
  <c r="O39" i="62"/>
  <c r="N39" i="62"/>
  <c r="M39" i="62"/>
  <c r="L39" i="62"/>
  <c r="J39" i="62"/>
  <c r="I39" i="62"/>
  <c r="H39" i="62"/>
  <c r="E39" i="62"/>
  <c r="D39" i="62"/>
  <c r="P38" i="62"/>
  <c r="O38" i="62"/>
  <c r="N38" i="62"/>
  <c r="M38" i="62"/>
  <c r="L38" i="62"/>
  <c r="J38" i="62"/>
  <c r="I38" i="62"/>
  <c r="H38" i="62"/>
  <c r="E38" i="62"/>
  <c r="D38" i="62"/>
  <c r="P37" i="62"/>
  <c r="O37" i="62"/>
  <c r="N37" i="62"/>
  <c r="M37" i="62"/>
  <c r="L37" i="62"/>
  <c r="J37" i="62"/>
  <c r="I37" i="62"/>
  <c r="H37" i="62"/>
  <c r="E37" i="62"/>
  <c r="D37" i="62"/>
  <c r="P36" i="62"/>
  <c r="O36" i="62"/>
  <c r="N36" i="62"/>
  <c r="M36" i="62"/>
  <c r="L36" i="62"/>
  <c r="J36" i="62"/>
  <c r="I36" i="62"/>
  <c r="H36" i="62"/>
  <c r="E36" i="62"/>
  <c r="D36" i="62"/>
  <c r="P35" i="62"/>
  <c r="O35" i="62"/>
  <c r="N35" i="62"/>
  <c r="M35" i="62"/>
  <c r="L35" i="62"/>
  <c r="J35" i="62"/>
  <c r="I35" i="62"/>
  <c r="H35" i="62"/>
  <c r="E35" i="62"/>
  <c r="D35" i="62"/>
  <c r="P34" i="62"/>
  <c r="O34" i="62"/>
  <c r="N34" i="62"/>
  <c r="M34" i="62"/>
  <c r="L34" i="62"/>
  <c r="J34" i="62"/>
  <c r="I34" i="62"/>
  <c r="H34" i="62"/>
  <c r="E34" i="62"/>
  <c r="D34" i="62"/>
  <c r="P33" i="62"/>
  <c r="O33" i="62"/>
  <c r="N33" i="62"/>
  <c r="M33" i="62"/>
  <c r="L33" i="62"/>
  <c r="J33" i="62"/>
  <c r="I33" i="62"/>
  <c r="H33" i="62"/>
  <c r="E33" i="62"/>
  <c r="D33" i="62"/>
  <c r="P32" i="62"/>
  <c r="O32" i="62"/>
  <c r="N32" i="62"/>
  <c r="M32" i="62"/>
  <c r="L32" i="62"/>
  <c r="J32" i="62"/>
  <c r="I32" i="62"/>
  <c r="H32" i="62"/>
  <c r="E32" i="62"/>
  <c r="D32" i="62"/>
  <c r="P31" i="62"/>
  <c r="O31" i="62"/>
  <c r="N31" i="62"/>
  <c r="M31" i="62"/>
  <c r="L31" i="62"/>
  <c r="J31" i="62"/>
  <c r="I31" i="62"/>
  <c r="H31" i="62"/>
  <c r="E31" i="62"/>
  <c r="D31" i="62"/>
  <c r="P30" i="62"/>
  <c r="O30" i="62"/>
  <c r="N30" i="62"/>
  <c r="M30" i="62"/>
  <c r="L30" i="62"/>
  <c r="J30" i="62"/>
  <c r="I30" i="62"/>
  <c r="H30" i="62"/>
  <c r="E30" i="62"/>
  <c r="D30" i="62"/>
  <c r="P29" i="62"/>
  <c r="O29" i="62"/>
  <c r="N29" i="62"/>
  <c r="M29" i="62"/>
  <c r="L29" i="62"/>
  <c r="J29" i="62"/>
  <c r="I29" i="62"/>
  <c r="H29" i="62"/>
  <c r="E29" i="62"/>
  <c r="D29" i="62"/>
  <c r="P28" i="62"/>
  <c r="O28" i="62"/>
  <c r="N28" i="62"/>
  <c r="M28" i="62"/>
  <c r="L28" i="62"/>
  <c r="J28" i="62"/>
  <c r="I28" i="62"/>
  <c r="H28" i="62"/>
  <c r="E28" i="62"/>
  <c r="D28" i="62"/>
  <c r="P27" i="62"/>
  <c r="O27" i="62"/>
  <c r="N27" i="62"/>
  <c r="M27" i="62"/>
  <c r="L27" i="62"/>
  <c r="J27" i="62"/>
  <c r="I27" i="62"/>
  <c r="H27" i="62"/>
  <c r="E27" i="62"/>
  <c r="D27" i="62"/>
  <c r="P26" i="62"/>
  <c r="O26" i="62"/>
  <c r="N26" i="62"/>
  <c r="M26" i="62"/>
  <c r="L26" i="62"/>
  <c r="J26" i="62"/>
  <c r="I26" i="62"/>
  <c r="H26" i="62"/>
  <c r="E26" i="62"/>
  <c r="D26" i="62"/>
  <c r="P25" i="62"/>
  <c r="O25" i="62"/>
  <c r="N25" i="62"/>
  <c r="M25" i="62"/>
  <c r="L25" i="62"/>
  <c r="J25" i="62"/>
  <c r="I25" i="62"/>
  <c r="H25" i="62"/>
  <c r="E25" i="62"/>
  <c r="D25" i="62"/>
  <c r="P24" i="62"/>
  <c r="O24" i="62"/>
  <c r="N24" i="62"/>
  <c r="M24" i="62"/>
  <c r="L24" i="62"/>
  <c r="J24" i="62"/>
  <c r="I24" i="62"/>
  <c r="H24" i="62"/>
  <c r="E24" i="62"/>
  <c r="P23" i="62"/>
  <c r="O23" i="62"/>
  <c r="N23" i="62"/>
  <c r="M23" i="62"/>
  <c r="L23" i="62"/>
  <c r="J23" i="62"/>
  <c r="I23" i="62"/>
  <c r="H23" i="62"/>
  <c r="E23" i="62"/>
  <c r="P22" i="62"/>
  <c r="O22" i="62"/>
  <c r="N22" i="62"/>
  <c r="M22" i="62"/>
  <c r="L22" i="62"/>
  <c r="J22" i="62"/>
  <c r="I22" i="62"/>
  <c r="H22" i="62"/>
  <c r="E22" i="62"/>
  <c r="P21" i="62"/>
  <c r="O21" i="62"/>
  <c r="N21" i="62"/>
  <c r="M21" i="62"/>
  <c r="L21" i="62"/>
  <c r="J21" i="62"/>
  <c r="I21" i="62"/>
  <c r="H21" i="62"/>
  <c r="E21" i="62"/>
  <c r="P20" i="62"/>
  <c r="O20" i="62"/>
  <c r="N20" i="62"/>
  <c r="M20" i="62"/>
  <c r="L20" i="62"/>
  <c r="J20" i="62"/>
  <c r="I20" i="62"/>
  <c r="H20" i="62"/>
  <c r="E20" i="62"/>
  <c r="P19" i="62"/>
  <c r="O19" i="62"/>
  <c r="N19" i="62"/>
  <c r="M19" i="62"/>
  <c r="L19" i="62"/>
  <c r="J19" i="62"/>
  <c r="I19" i="62"/>
  <c r="H19" i="62"/>
  <c r="E19" i="62"/>
  <c r="P18" i="62"/>
  <c r="O18" i="62"/>
  <c r="N18" i="62"/>
  <c r="M18" i="62"/>
  <c r="L18" i="62"/>
  <c r="J18" i="62"/>
  <c r="I18" i="62"/>
  <c r="H18" i="62"/>
  <c r="E18" i="62"/>
  <c r="S17" i="62"/>
  <c r="P17" i="62"/>
  <c r="O17" i="62"/>
  <c r="N17" i="62"/>
  <c r="M17" i="62"/>
  <c r="L17" i="62"/>
  <c r="J17" i="62"/>
  <c r="I17" i="62"/>
  <c r="H17" i="62"/>
  <c r="E17" i="62"/>
  <c r="S16" i="62"/>
  <c r="P16" i="62"/>
  <c r="O16" i="62"/>
  <c r="N16" i="62"/>
  <c r="M16" i="62"/>
  <c r="L16" i="62"/>
  <c r="J16" i="62"/>
  <c r="I16" i="62"/>
  <c r="H16" i="62"/>
  <c r="E16" i="62"/>
  <c r="S15" i="62"/>
  <c r="P15" i="62"/>
  <c r="O15" i="62"/>
  <c r="N15" i="62"/>
  <c r="M15" i="62"/>
  <c r="L15" i="62"/>
  <c r="J15" i="62"/>
  <c r="I15" i="62"/>
  <c r="H15" i="62"/>
  <c r="E15" i="62"/>
  <c r="P14" i="62"/>
  <c r="O14" i="62"/>
  <c r="N14" i="62"/>
  <c r="M14" i="62"/>
  <c r="L14" i="62"/>
  <c r="J14" i="62"/>
  <c r="I14" i="62"/>
  <c r="H14" i="62"/>
  <c r="E14" i="62"/>
  <c r="P13" i="62"/>
  <c r="O13" i="62"/>
  <c r="N13" i="62"/>
  <c r="M13" i="62"/>
  <c r="L13" i="62"/>
  <c r="J13" i="62"/>
  <c r="I13" i="62"/>
  <c r="H13" i="62"/>
  <c r="E13" i="62"/>
  <c r="P12" i="62"/>
  <c r="O12" i="62"/>
  <c r="N12" i="62"/>
  <c r="M12" i="62"/>
  <c r="L12" i="62"/>
  <c r="J12" i="62"/>
  <c r="I12" i="62"/>
  <c r="H12" i="62"/>
  <c r="E12" i="62"/>
  <c r="P11" i="62"/>
  <c r="O11" i="62"/>
  <c r="N11" i="62"/>
  <c r="M11" i="62"/>
  <c r="L11" i="62"/>
  <c r="J11" i="62"/>
  <c r="I11" i="62"/>
  <c r="H11" i="62"/>
  <c r="E11" i="62"/>
  <c r="P10" i="62"/>
  <c r="O10" i="62"/>
  <c r="N10" i="62"/>
  <c r="M10" i="62"/>
  <c r="L10" i="62"/>
  <c r="J10" i="62"/>
  <c r="I10" i="62"/>
  <c r="H10" i="62"/>
  <c r="E10" i="62"/>
  <c r="P9" i="62"/>
  <c r="O9" i="62"/>
  <c r="N9" i="62"/>
  <c r="M9" i="62"/>
  <c r="L9" i="62"/>
  <c r="J9" i="62"/>
  <c r="I9" i="62"/>
  <c r="H9" i="62"/>
  <c r="E9" i="62"/>
  <c r="S8" i="62"/>
  <c r="Y7" i="62"/>
  <c r="S7" i="62"/>
  <c r="S6" i="62"/>
  <c r="U43" i="45"/>
  <c r="U42" i="45"/>
  <c r="L42" i="45"/>
  <c r="H42" i="45"/>
  <c r="G42" i="45"/>
  <c r="U41" i="45"/>
  <c r="N40" i="45"/>
  <c r="M40" i="45"/>
  <c r="L40" i="45"/>
  <c r="K40" i="45"/>
  <c r="H40" i="45"/>
  <c r="G40" i="45"/>
  <c r="F40" i="45"/>
  <c r="P39" i="45"/>
  <c r="O39" i="45"/>
  <c r="N39" i="45"/>
  <c r="M39" i="45"/>
  <c r="L39" i="45"/>
  <c r="J39" i="45"/>
  <c r="I39" i="45"/>
  <c r="H39" i="45"/>
  <c r="E39" i="45"/>
  <c r="D39" i="45"/>
  <c r="P38" i="45"/>
  <c r="O38" i="45"/>
  <c r="N38" i="45"/>
  <c r="M38" i="45"/>
  <c r="L38" i="45"/>
  <c r="J38" i="45"/>
  <c r="I38" i="45"/>
  <c r="H38" i="45"/>
  <c r="E38" i="45"/>
  <c r="D38" i="45"/>
  <c r="P37" i="45"/>
  <c r="O37" i="45"/>
  <c r="N37" i="45"/>
  <c r="M37" i="45"/>
  <c r="L37" i="45"/>
  <c r="J37" i="45"/>
  <c r="I37" i="45"/>
  <c r="H37" i="45"/>
  <c r="E37" i="45"/>
  <c r="D37" i="45"/>
  <c r="P36" i="45"/>
  <c r="O36" i="45"/>
  <c r="N36" i="45"/>
  <c r="M36" i="45"/>
  <c r="L36" i="45"/>
  <c r="J36" i="45"/>
  <c r="I36" i="45"/>
  <c r="H36" i="45"/>
  <c r="E36" i="45"/>
  <c r="D36" i="45"/>
  <c r="P35" i="45"/>
  <c r="O35" i="45"/>
  <c r="N35" i="45"/>
  <c r="M35" i="45"/>
  <c r="L35" i="45"/>
  <c r="J35" i="45"/>
  <c r="I35" i="45"/>
  <c r="H35" i="45"/>
  <c r="E35" i="45"/>
  <c r="D35" i="45"/>
  <c r="P34" i="45"/>
  <c r="O34" i="45"/>
  <c r="N34" i="45"/>
  <c r="M34" i="45"/>
  <c r="L34" i="45"/>
  <c r="J34" i="45"/>
  <c r="I34" i="45"/>
  <c r="H34" i="45"/>
  <c r="E34" i="45"/>
  <c r="D34" i="45"/>
  <c r="P33" i="45"/>
  <c r="O33" i="45"/>
  <c r="N33" i="45"/>
  <c r="M33" i="45"/>
  <c r="L33" i="45"/>
  <c r="J33" i="45"/>
  <c r="I33" i="45"/>
  <c r="H33" i="45"/>
  <c r="E33" i="45"/>
  <c r="D33" i="45"/>
  <c r="P32" i="45"/>
  <c r="O32" i="45"/>
  <c r="N32" i="45"/>
  <c r="M32" i="45"/>
  <c r="L32" i="45"/>
  <c r="J32" i="45"/>
  <c r="I32" i="45"/>
  <c r="H32" i="45"/>
  <c r="E32" i="45"/>
  <c r="D32" i="45"/>
  <c r="P31" i="45"/>
  <c r="O31" i="45"/>
  <c r="N31" i="45"/>
  <c r="M31" i="45"/>
  <c r="L31" i="45"/>
  <c r="J31" i="45"/>
  <c r="I31" i="45"/>
  <c r="H31" i="45"/>
  <c r="E31" i="45"/>
  <c r="D31" i="45"/>
  <c r="P30" i="45"/>
  <c r="O30" i="45"/>
  <c r="N30" i="45"/>
  <c r="M30" i="45"/>
  <c r="L30" i="45"/>
  <c r="J30" i="45"/>
  <c r="I30" i="45"/>
  <c r="H30" i="45"/>
  <c r="E30" i="45"/>
  <c r="D30" i="45"/>
  <c r="P29" i="45"/>
  <c r="O29" i="45"/>
  <c r="N29" i="45"/>
  <c r="M29" i="45"/>
  <c r="L29" i="45"/>
  <c r="J29" i="45"/>
  <c r="I29" i="45"/>
  <c r="H29" i="45"/>
  <c r="E29" i="45"/>
  <c r="D29" i="45"/>
  <c r="P28" i="45"/>
  <c r="O28" i="45"/>
  <c r="N28" i="45"/>
  <c r="M28" i="45"/>
  <c r="L28" i="45"/>
  <c r="J28" i="45"/>
  <c r="I28" i="45"/>
  <c r="H28" i="45"/>
  <c r="E28" i="45"/>
  <c r="D28" i="45"/>
  <c r="P27" i="45"/>
  <c r="O27" i="45"/>
  <c r="N27" i="45"/>
  <c r="M27" i="45"/>
  <c r="L27" i="45"/>
  <c r="J27" i="45"/>
  <c r="I27" i="45"/>
  <c r="H27" i="45"/>
  <c r="E27" i="45"/>
  <c r="D27" i="45"/>
  <c r="P26" i="45"/>
  <c r="O26" i="45"/>
  <c r="N26" i="45"/>
  <c r="M26" i="45"/>
  <c r="L26" i="45"/>
  <c r="J26" i="45"/>
  <c r="I26" i="45"/>
  <c r="H26" i="45"/>
  <c r="E26" i="45"/>
  <c r="D26" i="45"/>
  <c r="P25" i="45"/>
  <c r="O25" i="45"/>
  <c r="N25" i="45"/>
  <c r="M25" i="45"/>
  <c r="L25" i="45"/>
  <c r="J25" i="45"/>
  <c r="I25" i="45"/>
  <c r="H25" i="45"/>
  <c r="E25" i="45"/>
  <c r="D25" i="45"/>
  <c r="P24" i="45"/>
  <c r="O24" i="45"/>
  <c r="N24" i="45"/>
  <c r="M24" i="45"/>
  <c r="L24" i="45"/>
  <c r="J24" i="45"/>
  <c r="I24" i="45"/>
  <c r="H24" i="45"/>
  <c r="E24" i="45"/>
  <c r="D24" i="45"/>
  <c r="P23" i="45"/>
  <c r="O23" i="45"/>
  <c r="N23" i="45"/>
  <c r="M23" i="45"/>
  <c r="L23" i="45"/>
  <c r="J23" i="45"/>
  <c r="I23" i="45"/>
  <c r="H23" i="45"/>
  <c r="E23" i="45"/>
  <c r="D23" i="45"/>
  <c r="P22" i="45"/>
  <c r="O22" i="45"/>
  <c r="N22" i="45"/>
  <c r="M22" i="45"/>
  <c r="L22" i="45"/>
  <c r="J22" i="45"/>
  <c r="I22" i="45"/>
  <c r="H22" i="45"/>
  <c r="E22" i="45"/>
  <c r="D22" i="45"/>
  <c r="P21" i="45"/>
  <c r="O21" i="45"/>
  <c r="N21" i="45"/>
  <c r="M21" i="45"/>
  <c r="L21" i="45"/>
  <c r="J21" i="45"/>
  <c r="I21" i="45"/>
  <c r="H21" i="45"/>
  <c r="E21" i="45"/>
  <c r="D21" i="45"/>
  <c r="P20" i="45"/>
  <c r="O20" i="45"/>
  <c r="N20" i="45"/>
  <c r="M20" i="45"/>
  <c r="L20" i="45"/>
  <c r="J20" i="45"/>
  <c r="I20" i="45"/>
  <c r="H20" i="45"/>
  <c r="E20" i="45"/>
  <c r="D20" i="45"/>
  <c r="P19" i="45"/>
  <c r="O19" i="45"/>
  <c r="N19" i="45"/>
  <c r="M19" i="45"/>
  <c r="L19" i="45"/>
  <c r="J19" i="45"/>
  <c r="I19" i="45"/>
  <c r="H19" i="45"/>
  <c r="E19" i="45"/>
  <c r="D19" i="45"/>
  <c r="P18" i="45"/>
  <c r="O18" i="45"/>
  <c r="N18" i="45"/>
  <c r="M18" i="45"/>
  <c r="L18" i="45"/>
  <c r="J18" i="45"/>
  <c r="I18" i="45"/>
  <c r="H18" i="45"/>
  <c r="E18" i="45"/>
  <c r="D18" i="45"/>
  <c r="P17" i="45"/>
  <c r="O17" i="45"/>
  <c r="N17" i="45"/>
  <c r="M17" i="45"/>
  <c r="L17" i="45"/>
  <c r="J17" i="45"/>
  <c r="I17" i="45"/>
  <c r="H17" i="45"/>
  <c r="E17" i="45"/>
  <c r="D17" i="45"/>
  <c r="P16" i="45"/>
  <c r="O16" i="45"/>
  <c r="N16" i="45"/>
  <c r="M16" i="45"/>
  <c r="L16" i="45"/>
  <c r="J16" i="45"/>
  <c r="I16" i="45"/>
  <c r="H16" i="45"/>
  <c r="E16" i="45"/>
  <c r="D16" i="45"/>
  <c r="P15" i="45"/>
  <c r="O15" i="45"/>
  <c r="N15" i="45"/>
  <c r="M15" i="45"/>
  <c r="L15" i="45"/>
  <c r="J15" i="45"/>
  <c r="I15" i="45"/>
  <c r="H15" i="45"/>
  <c r="E15" i="45"/>
  <c r="D15" i="45"/>
  <c r="P14" i="45"/>
  <c r="O14" i="45"/>
  <c r="N14" i="45"/>
  <c r="M14" i="45"/>
  <c r="L14" i="45"/>
  <c r="J14" i="45"/>
  <c r="I14" i="45"/>
  <c r="H14" i="45"/>
  <c r="E14" i="45"/>
  <c r="D14" i="45"/>
  <c r="P13" i="45"/>
  <c r="O13" i="45"/>
  <c r="N13" i="45"/>
  <c r="M13" i="45"/>
  <c r="L13" i="45"/>
  <c r="J13" i="45"/>
  <c r="I13" i="45"/>
  <c r="H13" i="45"/>
  <c r="E13" i="45"/>
  <c r="D13" i="45"/>
  <c r="P12" i="45"/>
  <c r="O12" i="45"/>
  <c r="N12" i="45"/>
  <c r="M12" i="45"/>
  <c r="L12" i="45"/>
  <c r="J12" i="45"/>
  <c r="I12" i="45"/>
  <c r="H12" i="45"/>
  <c r="E12" i="45"/>
  <c r="D12" i="45"/>
  <c r="P11" i="45"/>
  <c r="O11" i="45"/>
  <c r="N11" i="45"/>
  <c r="M11" i="45"/>
  <c r="L11" i="45"/>
  <c r="J11" i="45"/>
  <c r="I11" i="45"/>
  <c r="H11" i="45"/>
  <c r="E11" i="45"/>
  <c r="D11" i="45"/>
  <c r="P10" i="45"/>
  <c r="O10" i="45"/>
  <c r="N10" i="45"/>
  <c r="M10" i="45"/>
  <c r="L10" i="45"/>
  <c r="J10" i="45"/>
  <c r="I10" i="45"/>
  <c r="H10" i="45"/>
  <c r="E10" i="45"/>
  <c r="D10" i="45"/>
  <c r="Q9" i="45"/>
  <c r="P9" i="45"/>
  <c r="O9" i="45"/>
  <c r="N9" i="45"/>
  <c r="M9" i="45"/>
  <c r="L9" i="45"/>
  <c r="J9" i="45"/>
  <c r="I9" i="45"/>
  <c r="H9" i="45"/>
  <c r="E9" i="45"/>
  <c r="S8" i="45"/>
  <c r="U43" i="44"/>
  <c r="U42" i="44"/>
  <c r="L42" i="44"/>
  <c r="H42" i="44"/>
  <c r="G42" i="44"/>
  <c r="U41" i="44"/>
  <c r="N40" i="44"/>
  <c r="M40" i="44"/>
  <c r="L40" i="44"/>
  <c r="K40" i="44"/>
  <c r="H40" i="44"/>
  <c r="G40" i="44"/>
  <c r="F40" i="44"/>
  <c r="P39" i="44"/>
  <c r="O39" i="44"/>
  <c r="N39" i="44"/>
  <c r="M39" i="44"/>
  <c r="L39" i="44"/>
  <c r="J39" i="44"/>
  <c r="I39" i="44"/>
  <c r="H39" i="44"/>
  <c r="E39" i="44"/>
  <c r="D39" i="44"/>
  <c r="P38" i="44"/>
  <c r="O38" i="44"/>
  <c r="N38" i="44"/>
  <c r="M38" i="44"/>
  <c r="L38" i="44"/>
  <c r="J38" i="44"/>
  <c r="I38" i="44"/>
  <c r="H38" i="44"/>
  <c r="E38" i="44"/>
  <c r="D38" i="44"/>
  <c r="P37" i="44"/>
  <c r="O37" i="44"/>
  <c r="N37" i="44"/>
  <c r="M37" i="44"/>
  <c r="L37" i="44"/>
  <c r="J37" i="44"/>
  <c r="I37" i="44"/>
  <c r="H37" i="44"/>
  <c r="E37" i="44"/>
  <c r="D37" i="44"/>
  <c r="P36" i="44"/>
  <c r="O36" i="44"/>
  <c r="N36" i="44"/>
  <c r="M36" i="44"/>
  <c r="L36" i="44"/>
  <c r="J36" i="44"/>
  <c r="I36" i="44"/>
  <c r="H36" i="44"/>
  <c r="E36" i="44"/>
  <c r="D36" i="44"/>
  <c r="P35" i="44"/>
  <c r="O35" i="44"/>
  <c r="N35" i="44"/>
  <c r="M35" i="44"/>
  <c r="L35" i="44"/>
  <c r="J35" i="44"/>
  <c r="I35" i="44"/>
  <c r="H35" i="44"/>
  <c r="E35" i="44"/>
  <c r="D35" i="44"/>
  <c r="P34" i="44"/>
  <c r="O34" i="44"/>
  <c r="N34" i="44"/>
  <c r="M34" i="44"/>
  <c r="L34" i="44"/>
  <c r="J34" i="44"/>
  <c r="I34" i="44"/>
  <c r="H34" i="44"/>
  <c r="E34" i="44"/>
  <c r="D34" i="44"/>
  <c r="P33" i="44"/>
  <c r="O33" i="44"/>
  <c r="N33" i="44"/>
  <c r="M33" i="44"/>
  <c r="L33" i="44"/>
  <c r="J33" i="44"/>
  <c r="I33" i="44"/>
  <c r="H33" i="44"/>
  <c r="E33" i="44"/>
  <c r="D33" i="44"/>
  <c r="P32" i="44"/>
  <c r="O32" i="44"/>
  <c r="N32" i="44"/>
  <c r="M32" i="44"/>
  <c r="L32" i="44"/>
  <c r="J32" i="44"/>
  <c r="I32" i="44"/>
  <c r="H32" i="44"/>
  <c r="E32" i="44"/>
  <c r="D32" i="44"/>
  <c r="P31" i="44"/>
  <c r="O31" i="44"/>
  <c r="N31" i="44"/>
  <c r="M31" i="44"/>
  <c r="L31" i="44"/>
  <c r="J31" i="44"/>
  <c r="I31" i="44"/>
  <c r="H31" i="44"/>
  <c r="E31" i="44"/>
  <c r="D31" i="44"/>
  <c r="P30" i="44"/>
  <c r="O30" i="44"/>
  <c r="N30" i="44"/>
  <c r="M30" i="44"/>
  <c r="L30" i="44"/>
  <c r="J30" i="44"/>
  <c r="I30" i="44"/>
  <c r="H30" i="44"/>
  <c r="E30" i="44"/>
  <c r="D30" i="44"/>
  <c r="P29" i="44"/>
  <c r="O29" i="44"/>
  <c r="N29" i="44"/>
  <c r="M29" i="44"/>
  <c r="L29" i="44"/>
  <c r="J29" i="44"/>
  <c r="I29" i="44"/>
  <c r="H29" i="44"/>
  <c r="E29" i="44"/>
  <c r="D29" i="44"/>
  <c r="P28" i="44"/>
  <c r="O28" i="44"/>
  <c r="N28" i="44"/>
  <c r="M28" i="44"/>
  <c r="L28" i="44"/>
  <c r="J28" i="44"/>
  <c r="I28" i="44"/>
  <c r="H28" i="44"/>
  <c r="E28" i="44"/>
  <c r="D28" i="44"/>
  <c r="P27" i="44"/>
  <c r="O27" i="44"/>
  <c r="N27" i="44"/>
  <c r="M27" i="44"/>
  <c r="L27" i="44"/>
  <c r="J27" i="44"/>
  <c r="I27" i="44"/>
  <c r="H27" i="44"/>
  <c r="E27" i="44"/>
  <c r="D27" i="44"/>
  <c r="P26" i="44"/>
  <c r="O26" i="44"/>
  <c r="N26" i="44"/>
  <c r="M26" i="44"/>
  <c r="L26" i="44"/>
  <c r="J26" i="44"/>
  <c r="I26" i="44"/>
  <c r="H26" i="44"/>
  <c r="E26" i="44"/>
  <c r="D26" i="44"/>
  <c r="P25" i="44"/>
  <c r="O25" i="44"/>
  <c r="N25" i="44"/>
  <c r="M25" i="44"/>
  <c r="L25" i="44"/>
  <c r="J25" i="44"/>
  <c r="I25" i="44"/>
  <c r="H25" i="44"/>
  <c r="E25" i="44"/>
  <c r="D25" i="44"/>
  <c r="P24" i="44"/>
  <c r="O24" i="44"/>
  <c r="N24" i="44"/>
  <c r="M24" i="44"/>
  <c r="L24" i="44"/>
  <c r="J24" i="44"/>
  <c r="I24" i="44"/>
  <c r="H24" i="44"/>
  <c r="E24" i="44"/>
  <c r="D24" i="44"/>
  <c r="P23" i="44"/>
  <c r="O23" i="44"/>
  <c r="N23" i="44"/>
  <c r="M23" i="44"/>
  <c r="L23" i="44"/>
  <c r="J23" i="44"/>
  <c r="I23" i="44"/>
  <c r="H23" i="44"/>
  <c r="E23" i="44"/>
  <c r="D23" i="44"/>
  <c r="P22" i="44"/>
  <c r="O22" i="44"/>
  <c r="N22" i="44"/>
  <c r="M22" i="44"/>
  <c r="L22" i="44"/>
  <c r="J22" i="44"/>
  <c r="I22" i="44"/>
  <c r="H22" i="44"/>
  <c r="E22" i="44"/>
  <c r="D22" i="44"/>
  <c r="P21" i="44"/>
  <c r="O21" i="44"/>
  <c r="N21" i="44"/>
  <c r="M21" i="44"/>
  <c r="L21" i="44"/>
  <c r="J21" i="44"/>
  <c r="I21" i="44"/>
  <c r="H21" i="44"/>
  <c r="E21" i="44"/>
  <c r="D21" i="44"/>
  <c r="P20" i="44"/>
  <c r="O20" i="44"/>
  <c r="N20" i="44"/>
  <c r="M20" i="44"/>
  <c r="L20" i="44"/>
  <c r="J20" i="44"/>
  <c r="I20" i="44"/>
  <c r="H20" i="44"/>
  <c r="E20" i="44"/>
  <c r="D20" i="44"/>
  <c r="P19" i="44"/>
  <c r="O19" i="44"/>
  <c r="N19" i="44"/>
  <c r="M19" i="44"/>
  <c r="L19" i="44"/>
  <c r="J19" i="44"/>
  <c r="I19" i="44"/>
  <c r="H19" i="44"/>
  <c r="E19" i="44"/>
  <c r="D19" i="44"/>
  <c r="P18" i="44"/>
  <c r="O18" i="44"/>
  <c r="N18" i="44"/>
  <c r="M18" i="44"/>
  <c r="L18" i="44"/>
  <c r="J18" i="44"/>
  <c r="I18" i="44"/>
  <c r="H18" i="44"/>
  <c r="E18" i="44"/>
  <c r="D18" i="44"/>
  <c r="P17" i="44"/>
  <c r="O17" i="44"/>
  <c r="N17" i="44"/>
  <c r="M17" i="44"/>
  <c r="L17" i="44"/>
  <c r="J17" i="44"/>
  <c r="I17" i="44"/>
  <c r="H17" i="44"/>
  <c r="E17" i="44"/>
  <c r="D17" i="44"/>
  <c r="P16" i="44"/>
  <c r="O16" i="44"/>
  <c r="N16" i="44"/>
  <c r="M16" i="44"/>
  <c r="L16" i="44"/>
  <c r="J16" i="44"/>
  <c r="I16" i="44"/>
  <c r="H16" i="44"/>
  <c r="E16" i="44"/>
  <c r="D16" i="44"/>
  <c r="P15" i="44"/>
  <c r="O15" i="44"/>
  <c r="N15" i="44"/>
  <c r="M15" i="44"/>
  <c r="L15" i="44"/>
  <c r="J15" i="44"/>
  <c r="I15" i="44"/>
  <c r="H15" i="44"/>
  <c r="E15" i="44"/>
  <c r="D15" i="44"/>
  <c r="P14" i="44"/>
  <c r="O14" i="44"/>
  <c r="N14" i="44"/>
  <c r="M14" i="44"/>
  <c r="L14" i="44"/>
  <c r="J14" i="44"/>
  <c r="I14" i="44"/>
  <c r="H14" i="44"/>
  <c r="E14" i="44"/>
  <c r="D14" i="44"/>
  <c r="P13" i="44"/>
  <c r="O13" i="44"/>
  <c r="N13" i="44"/>
  <c r="M13" i="44"/>
  <c r="L13" i="44"/>
  <c r="J13" i="44"/>
  <c r="I13" i="44"/>
  <c r="H13" i="44"/>
  <c r="E13" i="44"/>
  <c r="D13" i="44"/>
  <c r="P12" i="44"/>
  <c r="O12" i="44"/>
  <c r="N12" i="44"/>
  <c r="M12" i="44"/>
  <c r="L12" i="44"/>
  <c r="J12" i="44"/>
  <c r="I12" i="44"/>
  <c r="H12" i="44"/>
  <c r="E12" i="44"/>
  <c r="D12" i="44"/>
  <c r="P11" i="44"/>
  <c r="O11" i="44"/>
  <c r="N11" i="44"/>
  <c r="M11" i="44"/>
  <c r="L11" i="44"/>
  <c r="J11" i="44"/>
  <c r="I11" i="44"/>
  <c r="H11" i="44"/>
  <c r="E11" i="44"/>
  <c r="D11" i="44"/>
  <c r="P10" i="44"/>
  <c r="O10" i="44"/>
  <c r="N10" i="44"/>
  <c r="M10" i="44"/>
  <c r="L10" i="44"/>
  <c r="J10" i="44"/>
  <c r="I10" i="44"/>
  <c r="H10" i="44"/>
  <c r="E10" i="44"/>
  <c r="Q9" i="44"/>
  <c r="P9" i="44"/>
  <c r="O9" i="44"/>
  <c r="N9" i="44"/>
  <c r="M9" i="44"/>
  <c r="L9" i="44"/>
  <c r="J9" i="44"/>
  <c r="I9" i="44"/>
  <c r="H9" i="44"/>
  <c r="E9" i="44"/>
  <c r="S8" i="44"/>
  <c r="S7" i="44"/>
  <c r="L42" i="5"/>
  <c r="H42" i="5"/>
  <c r="G42" i="5"/>
  <c r="N40" i="5"/>
  <c r="L40" i="5"/>
  <c r="K40" i="5"/>
  <c r="H40" i="5"/>
  <c r="G40" i="5"/>
  <c r="F40" i="5"/>
  <c r="P39" i="5"/>
  <c r="O39" i="5"/>
  <c r="N39" i="5"/>
  <c r="M39" i="5"/>
  <c r="L39" i="5"/>
  <c r="J39" i="5"/>
  <c r="I39" i="5"/>
  <c r="H39" i="5"/>
  <c r="E39" i="5"/>
  <c r="D39" i="5"/>
  <c r="P38" i="5"/>
  <c r="O38" i="5"/>
  <c r="N38" i="5"/>
  <c r="M38" i="5"/>
  <c r="L38" i="5"/>
  <c r="J38" i="5"/>
  <c r="I38" i="5"/>
  <c r="H38" i="5"/>
  <c r="E38" i="5"/>
  <c r="D38" i="5"/>
  <c r="P37" i="5"/>
  <c r="O37" i="5"/>
  <c r="N37" i="5"/>
  <c r="M37" i="5"/>
  <c r="L37" i="5"/>
  <c r="J37" i="5"/>
  <c r="I37" i="5"/>
  <c r="H37" i="5"/>
  <c r="E37" i="5"/>
  <c r="D37" i="5"/>
  <c r="P36" i="5"/>
  <c r="O36" i="5"/>
  <c r="N36" i="5"/>
  <c r="M36" i="5"/>
  <c r="L36" i="5"/>
  <c r="J36" i="5"/>
  <c r="I36" i="5"/>
  <c r="H36" i="5"/>
  <c r="E36" i="5"/>
  <c r="D36" i="5"/>
  <c r="P35" i="5"/>
  <c r="O35" i="5"/>
  <c r="N35" i="5"/>
  <c r="M35" i="5"/>
  <c r="L35" i="5"/>
  <c r="J35" i="5"/>
  <c r="I35" i="5"/>
  <c r="H35" i="5"/>
  <c r="E35" i="5"/>
  <c r="D35" i="5"/>
  <c r="P34" i="5"/>
  <c r="O34" i="5"/>
  <c r="N34" i="5"/>
  <c r="M34" i="5"/>
  <c r="L34" i="5"/>
  <c r="J34" i="5"/>
  <c r="I34" i="5"/>
  <c r="H34" i="5"/>
  <c r="E34" i="5"/>
  <c r="D34" i="5"/>
  <c r="P33" i="5"/>
  <c r="O33" i="5"/>
  <c r="N33" i="5"/>
  <c r="M33" i="5"/>
  <c r="L33" i="5"/>
  <c r="J33" i="5"/>
  <c r="I33" i="5"/>
  <c r="H33" i="5"/>
  <c r="E33" i="5"/>
  <c r="D33" i="5"/>
  <c r="P32" i="5"/>
  <c r="O32" i="5"/>
  <c r="N32" i="5"/>
  <c r="M32" i="5"/>
  <c r="L32" i="5"/>
  <c r="J32" i="5"/>
  <c r="I32" i="5"/>
  <c r="H32" i="5"/>
  <c r="E32" i="5"/>
  <c r="D32" i="5"/>
  <c r="P31" i="5"/>
  <c r="O31" i="5"/>
  <c r="N31" i="5"/>
  <c r="M31" i="5"/>
  <c r="L31" i="5"/>
  <c r="J31" i="5"/>
  <c r="I31" i="5"/>
  <c r="H31" i="5"/>
  <c r="E31" i="5"/>
  <c r="D31" i="5"/>
  <c r="P30" i="5"/>
  <c r="O30" i="5"/>
  <c r="N30" i="5"/>
  <c r="M30" i="5"/>
  <c r="L30" i="5"/>
  <c r="J30" i="5"/>
  <c r="I30" i="5"/>
  <c r="H30" i="5"/>
  <c r="E30" i="5"/>
  <c r="D30" i="5"/>
  <c r="P29" i="5"/>
  <c r="O29" i="5"/>
  <c r="N29" i="5"/>
  <c r="M29" i="5"/>
  <c r="L29" i="5"/>
  <c r="J29" i="5"/>
  <c r="I29" i="5"/>
  <c r="H29" i="5"/>
  <c r="E29" i="5"/>
  <c r="D29" i="5"/>
  <c r="P28" i="5"/>
  <c r="O28" i="5"/>
  <c r="N28" i="5"/>
  <c r="M28" i="5"/>
  <c r="L28" i="5"/>
  <c r="J28" i="5"/>
  <c r="I28" i="5"/>
  <c r="H28" i="5"/>
  <c r="E28" i="5"/>
  <c r="D28" i="5"/>
  <c r="P27" i="5"/>
  <c r="O27" i="5"/>
  <c r="N27" i="5"/>
  <c r="M27" i="5"/>
  <c r="L27" i="5"/>
  <c r="J27" i="5"/>
  <c r="I27" i="5"/>
  <c r="H27" i="5"/>
  <c r="E27" i="5"/>
  <c r="D27" i="5"/>
  <c r="P26" i="5"/>
  <c r="O26" i="5"/>
  <c r="N26" i="5"/>
  <c r="M26" i="5"/>
  <c r="L26" i="5"/>
  <c r="J26" i="5"/>
  <c r="I26" i="5"/>
  <c r="H26" i="5"/>
  <c r="E26" i="5"/>
  <c r="D26" i="5"/>
  <c r="P25" i="5"/>
  <c r="O25" i="5"/>
  <c r="N25" i="5"/>
  <c r="M25" i="5"/>
  <c r="L25" i="5"/>
  <c r="J25" i="5"/>
  <c r="I25" i="5"/>
  <c r="H25" i="5"/>
  <c r="E25" i="5"/>
  <c r="D25" i="5"/>
  <c r="P24" i="5"/>
  <c r="O24" i="5"/>
  <c r="N24" i="5"/>
  <c r="M24" i="5"/>
  <c r="L24" i="5"/>
  <c r="J24" i="5"/>
  <c r="I24" i="5"/>
  <c r="H24" i="5"/>
  <c r="E24" i="5"/>
  <c r="D24" i="5"/>
  <c r="P23" i="5"/>
  <c r="O23" i="5"/>
  <c r="N23" i="5"/>
  <c r="M23" i="5"/>
  <c r="L23" i="5"/>
  <c r="J23" i="5"/>
  <c r="I23" i="5"/>
  <c r="H23" i="5"/>
  <c r="E23" i="5"/>
  <c r="D23" i="5"/>
  <c r="P22" i="5"/>
  <c r="O22" i="5"/>
  <c r="N22" i="5"/>
  <c r="M22" i="5"/>
  <c r="L22" i="5"/>
  <c r="J22" i="5"/>
  <c r="I22" i="5"/>
  <c r="H22" i="5"/>
  <c r="E22" i="5"/>
  <c r="D22" i="5"/>
  <c r="P21" i="5"/>
  <c r="O21" i="5"/>
  <c r="N21" i="5"/>
  <c r="M21" i="5"/>
  <c r="L21" i="5"/>
  <c r="J21" i="5"/>
  <c r="I21" i="5"/>
  <c r="H21" i="5"/>
  <c r="E21" i="5"/>
  <c r="D21" i="5"/>
  <c r="P20" i="5"/>
  <c r="O20" i="5"/>
  <c r="N20" i="5"/>
  <c r="M20" i="5"/>
  <c r="L20" i="5"/>
  <c r="J20" i="5"/>
  <c r="I20" i="5"/>
  <c r="H20" i="5"/>
  <c r="E20" i="5"/>
  <c r="D20" i="5"/>
  <c r="P19" i="5"/>
  <c r="O19" i="5"/>
  <c r="N19" i="5"/>
  <c r="M19" i="5"/>
  <c r="L19" i="5"/>
  <c r="J19" i="5"/>
  <c r="I19" i="5"/>
  <c r="H19" i="5"/>
  <c r="E19" i="5"/>
  <c r="D19" i="5"/>
  <c r="P18" i="5"/>
  <c r="O18" i="5"/>
  <c r="N18" i="5"/>
  <c r="M18" i="5"/>
  <c r="L18" i="5"/>
  <c r="J18" i="5"/>
  <c r="I18" i="5"/>
  <c r="H18" i="5"/>
  <c r="E18" i="5"/>
  <c r="D18" i="5"/>
  <c r="P17" i="5"/>
  <c r="O17" i="5"/>
  <c r="N17" i="5"/>
  <c r="M17" i="5"/>
  <c r="L17" i="5"/>
  <c r="J17" i="5"/>
  <c r="I17" i="5"/>
  <c r="H17" i="5"/>
  <c r="E17" i="5"/>
  <c r="D17" i="5"/>
  <c r="P16" i="5"/>
  <c r="O16" i="5"/>
  <c r="N16" i="5"/>
  <c r="M16" i="5"/>
  <c r="L16" i="5"/>
  <c r="J16" i="5"/>
  <c r="I16" i="5"/>
  <c r="H16" i="5"/>
  <c r="E16" i="5"/>
  <c r="D16" i="5"/>
  <c r="P15" i="5"/>
  <c r="O15" i="5"/>
  <c r="N15" i="5"/>
  <c r="M15" i="5"/>
  <c r="L15" i="5"/>
  <c r="J15" i="5"/>
  <c r="I15" i="5"/>
  <c r="H15" i="5"/>
  <c r="E15" i="5"/>
  <c r="D15" i="5"/>
  <c r="P14" i="5"/>
  <c r="O14" i="5"/>
  <c r="N14" i="5"/>
  <c r="M14" i="5"/>
  <c r="L14" i="5"/>
  <c r="J14" i="5"/>
  <c r="I14" i="5"/>
  <c r="H14" i="5"/>
  <c r="E14" i="5"/>
  <c r="D14" i="5"/>
  <c r="P13" i="5"/>
  <c r="O13" i="5"/>
  <c r="N13" i="5"/>
  <c r="M13" i="5"/>
  <c r="L13" i="5"/>
  <c r="J13" i="5"/>
  <c r="I13" i="5"/>
  <c r="H13" i="5"/>
  <c r="E13" i="5"/>
  <c r="D13" i="5"/>
  <c r="P12" i="5"/>
  <c r="O12" i="5"/>
  <c r="N12" i="5"/>
  <c r="M12" i="5"/>
  <c r="L12" i="5"/>
  <c r="J12" i="5"/>
  <c r="I12" i="5"/>
  <c r="H12" i="5"/>
  <c r="E12" i="5"/>
  <c r="D12" i="5"/>
  <c r="P11" i="5"/>
  <c r="O11" i="5"/>
  <c r="N11" i="5"/>
  <c r="M11" i="5"/>
  <c r="L11" i="5"/>
  <c r="J11" i="5"/>
  <c r="I11" i="5"/>
  <c r="H11" i="5"/>
  <c r="E11" i="5"/>
  <c r="D11" i="5"/>
  <c r="P10" i="5"/>
  <c r="O10" i="5"/>
  <c r="N10" i="5"/>
  <c r="M10" i="5"/>
  <c r="L10" i="5"/>
  <c r="J10" i="5"/>
  <c r="I10" i="5"/>
  <c r="H10" i="5"/>
  <c r="E10" i="5"/>
  <c r="D10" i="5"/>
  <c r="P9" i="5"/>
  <c r="O9" i="5"/>
  <c r="N9" i="5"/>
  <c r="M9" i="5"/>
  <c r="L9" i="5"/>
  <c r="J9" i="5"/>
  <c r="I9" i="5"/>
  <c r="H9" i="5"/>
  <c r="E9" i="5"/>
  <c r="S8" i="5"/>
  <c r="S7" i="5"/>
  <c r="L42" i="46"/>
  <c r="H42" i="46"/>
  <c r="G42" i="46"/>
  <c r="N40" i="46"/>
  <c r="L40" i="46"/>
  <c r="K40" i="46"/>
  <c r="H40" i="46"/>
  <c r="G40" i="46"/>
  <c r="F40" i="46"/>
  <c r="P39" i="46"/>
  <c r="O39" i="46"/>
  <c r="N39" i="46"/>
  <c r="M39" i="46"/>
  <c r="L39" i="46"/>
  <c r="J39" i="46"/>
  <c r="I39" i="46"/>
  <c r="H39" i="46"/>
  <c r="E39" i="46"/>
  <c r="D39" i="46"/>
  <c r="P38" i="46"/>
  <c r="O38" i="46"/>
  <c r="N38" i="46"/>
  <c r="M38" i="46"/>
  <c r="L38" i="46"/>
  <c r="J38" i="46"/>
  <c r="I38" i="46"/>
  <c r="H38" i="46"/>
  <c r="E38" i="46"/>
  <c r="D38" i="46"/>
  <c r="P37" i="46"/>
  <c r="O37" i="46"/>
  <c r="N37" i="46"/>
  <c r="M37" i="46"/>
  <c r="L37" i="46"/>
  <c r="J37" i="46"/>
  <c r="I37" i="46"/>
  <c r="H37" i="46"/>
  <c r="E37" i="46"/>
  <c r="D37" i="46"/>
  <c r="P36" i="46"/>
  <c r="O36" i="46"/>
  <c r="N36" i="46"/>
  <c r="M36" i="46"/>
  <c r="L36" i="46"/>
  <c r="J36" i="46"/>
  <c r="I36" i="46"/>
  <c r="H36" i="46"/>
  <c r="E36" i="46"/>
  <c r="D36" i="46"/>
  <c r="P35" i="46"/>
  <c r="O35" i="46"/>
  <c r="N35" i="46"/>
  <c r="M35" i="46"/>
  <c r="L35" i="46"/>
  <c r="J35" i="46"/>
  <c r="I35" i="46"/>
  <c r="H35" i="46"/>
  <c r="E35" i="46"/>
  <c r="D35" i="46"/>
  <c r="P34" i="46"/>
  <c r="O34" i="46"/>
  <c r="N34" i="46"/>
  <c r="M34" i="46"/>
  <c r="L34" i="46"/>
  <c r="J34" i="46"/>
  <c r="I34" i="46"/>
  <c r="H34" i="46"/>
  <c r="E34" i="46"/>
  <c r="D34" i="46"/>
  <c r="P33" i="46"/>
  <c r="O33" i="46"/>
  <c r="N33" i="46"/>
  <c r="M33" i="46"/>
  <c r="L33" i="46"/>
  <c r="J33" i="46"/>
  <c r="I33" i="46"/>
  <c r="H33" i="46"/>
  <c r="E33" i="46"/>
  <c r="D33" i="46"/>
  <c r="P32" i="46"/>
  <c r="O32" i="46"/>
  <c r="N32" i="46"/>
  <c r="M32" i="46"/>
  <c r="L32" i="46"/>
  <c r="J32" i="46"/>
  <c r="I32" i="46"/>
  <c r="H32" i="46"/>
  <c r="E32" i="46"/>
  <c r="D32" i="46"/>
  <c r="P31" i="46"/>
  <c r="O31" i="46"/>
  <c r="N31" i="46"/>
  <c r="M31" i="46"/>
  <c r="L31" i="46"/>
  <c r="J31" i="46"/>
  <c r="I31" i="46"/>
  <c r="H31" i="46"/>
  <c r="E31" i="46"/>
  <c r="D31" i="46"/>
  <c r="P30" i="46"/>
  <c r="O30" i="46"/>
  <c r="N30" i="46"/>
  <c r="M30" i="46"/>
  <c r="L30" i="46"/>
  <c r="J30" i="46"/>
  <c r="I30" i="46"/>
  <c r="H30" i="46"/>
  <c r="E30" i="46"/>
  <c r="D30" i="46"/>
  <c r="P29" i="46"/>
  <c r="O29" i="46"/>
  <c r="N29" i="46"/>
  <c r="M29" i="46"/>
  <c r="L29" i="46"/>
  <c r="I29" i="46"/>
  <c r="H29" i="46"/>
  <c r="E29" i="46"/>
  <c r="D29" i="46"/>
  <c r="P28" i="46"/>
  <c r="O28" i="46"/>
  <c r="N28" i="46"/>
  <c r="M28" i="46"/>
  <c r="L28" i="46"/>
  <c r="J28" i="46"/>
  <c r="I28" i="46"/>
  <c r="H28" i="46"/>
  <c r="E28" i="46"/>
  <c r="D28" i="46"/>
  <c r="P27" i="46"/>
  <c r="O27" i="46"/>
  <c r="N27" i="46"/>
  <c r="M27" i="46"/>
  <c r="L27" i="46"/>
  <c r="J27" i="46"/>
  <c r="I27" i="46"/>
  <c r="H27" i="46"/>
  <c r="E27" i="46"/>
  <c r="D27" i="46"/>
  <c r="P26" i="46"/>
  <c r="O26" i="46"/>
  <c r="N26" i="46"/>
  <c r="M26" i="46"/>
  <c r="L26" i="46"/>
  <c r="J26" i="46"/>
  <c r="I26" i="46"/>
  <c r="H26" i="46"/>
  <c r="E26" i="46"/>
  <c r="D26" i="46"/>
  <c r="P25" i="46"/>
  <c r="O25" i="46"/>
  <c r="N25" i="46"/>
  <c r="M25" i="46"/>
  <c r="L25" i="46"/>
  <c r="J25" i="46"/>
  <c r="I25" i="46"/>
  <c r="H25" i="46"/>
  <c r="E25" i="46"/>
  <c r="D25" i="46"/>
  <c r="P24" i="46"/>
  <c r="O24" i="46"/>
  <c r="N24" i="46"/>
  <c r="M24" i="46"/>
  <c r="L24" i="46"/>
  <c r="J24" i="46"/>
  <c r="I24" i="46"/>
  <c r="H24" i="46"/>
  <c r="E24" i="46"/>
  <c r="D24" i="46"/>
  <c r="P23" i="46"/>
  <c r="O23" i="46"/>
  <c r="N23" i="46"/>
  <c r="M23" i="46"/>
  <c r="L23" i="46"/>
  <c r="J23" i="46"/>
  <c r="I23" i="46"/>
  <c r="H23" i="46"/>
  <c r="E23" i="46"/>
  <c r="D23" i="46"/>
  <c r="P22" i="46"/>
  <c r="O22" i="46"/>
  <c r="N22" i="46"/>
  <c r="M22" i="46"/>
  <c r="L22" i="46"/>
  <c r="J22" i="46"/>
  <c r="I22" i="46"/>
  <c r="H22" i="46"/>
  <c r="E22" i="46"/>
  <c r="D22" i="46"/>
  <c r="P21" i="46"/>
  <c r="O21" i="46"/>
  <c r="N21" i="46"/>
  <c r="M21" i="46"/>
  <c r="L21" i="46"/>
  <c r="J21" i="46"/>
  <c r="I21" i="46"/>
  <c r="H21" i="46"/>
  <c r="E21" i="46"/>
  <c r="D21" i="46"/>
  <c r="P20" i="46"/>
  <c r="O20" i="46"/>
  <c r="N20" i="46"/>
  <c r="M20" i="46"/>
  <c r="L20" i="46"/>
  <c r="J20" i="46"/>
  <c r="I20" i="46"/>
  <c r="H20" i="46"/>
  <c r="E20" i="46"/>
  <c r="D20" i="46"/>
  <c r="P19" i="46"/>
  <c r="O19" i="46"/>
  <c r="N19" i="46"/>
  <c r="M19" i="46"/>
  <c r="L19" i="46"/>
  <c r="J19" i="46"/>
  <c r="I19" i="46"/>
  <c r="H19" i="46"/>
  <c r="E19" i="46"/>
  <c r="D19" i="46"/>
  <c r="P18" i="46"/>
  <c r="O18" i="46"/>
  <c r="N18" i="46"/>
  <c r="M18" i="46"/>
  <c r="L18" i="46"/>
  <c r="J18" i="46"/>
  <c r="I18" i="46"/>
  <c r="H18" i="46"/>
  <c r="E18" i="46"/>
  <c r="D18" i="46"/>
  <c r="P17" i="46"/>
  <c r="O17" i="46"/>
  <c r="N17" i="46"/>
  <c r="M17" i="46"/>
  <c r="L17" i="46"/>
  <c r="J17" i="46"/>
  <c r="I17" i="46"/>
  <c r="H17" i="46"/>
  <c r="E17" i="46"/>
  <c r="D17" i="46"/>
  <c r="P16" i="46"/>
  <c r="O16" i="46"/>
  <c r="N16" i="46"/>
  <c r="M16" i="46"/>
  <c r="L16" i="46"/>
  <c r="J16" i="46"/>
  <c r="I16" i="46"/>
  <c r="H16" i="46"/>
  <c r="E16" i="46"/>
  <c r="D16" i="46"/>
  <c r="P15" i="46"/>
  <c r="O15" i="46"/>
  <c r="N15" i="46"/>
  <c r="M15" i="46"/>
  <c r="L15" i="46"/>
  <c r="J15" i="46"/>
  <c r="I15" i="46"/>
  <c r="H15" i="46"/>
  <c r="E15" i="46"/>
  <c r="D15" i="46"/>
  <c r="P14" i="46"/>
  <c r="O14" i="46"/>
  <c r="N14" i="46"/>
  <c r="M14" i="46"/>
  <c r="L14" i="46"/>
  <c r="J14" i="46"/>
  <c r="I14" i="46"/>
  <c r="H14" i="46"/>
  <c r="E14" i="46"/>
  <c r="D14" i="46"/>
  <c r="P13" i="46"/>
  <c r="O13" i="46"/>
  <c r="N13" i="46"/>
  <c r="M13" i="46"/>
  <c r="L13" i="46"/>
  <c r="J13" i="46"/>
  <c r="I13" i="46"/>
  <c r="H13" i="46"/>
  <c r="E13" i="46"/>
  <c r="D13" i="46"/>
  <c r="P12" i="46"/>
  <c r="O12" i="46"/>
  <c r="N12" i="46"/>
  <c r="M12" i="46"/>
  <c r="L12" i="46"/>
  <c r="J12" i="46"/>
  <c r="I12" i="46"/>
  <c r="H12" i="46"/>
  <c r="E12" i="46"/>
  <c r="D12" i="46"/>
  <c r="P11" i="46"/>
  <c r="O11" i="46"/>
  <c r="N11" i="46"/>
  <c r="M11" i="46"/>
  <c r="L11" i="46"/>
  <c r="J11" i="46"/>
  <c r="I11" i="46"/>
  <c r="H11" i="46"/>
  <c r="E11" i="46"/>
  <c r="D11" i="46"/>
  <c r="P10" i="46"/>
  <c r="O10" i="46"/>
  <c r="N10" i="46"/>
  <c r="M10" i="46"/>
  <c r="L10" i="46"/>
  <c r="J10" i="46"/>
  <c r="I10" i="46"/>
  <c r="H10" i="46"/>
  <c r="E10" i="46"/>
  <c r="D10" i="46"/>
  <c r="P9" i="46"/>
  <c r="O9" i="46"/>
  <c r="N9" i="46"/>
  <c r="M9" i="46"/>
  <c r="L9" i="46"/>
  <c r="J9" i="46"/>
  <c r="I9" i="46"/>
  <c r="H9" i="46"/>
  <c r="E9" i="46"/>
  <c r="S8" i="46"/>
  <c r="S7" i="46"/>
  <c r="S6" i="46"/>
  <c r="L42" i="63"/>
  <c r="H42" i="63"/>
  <c r="G42" i="63"/>
  <c r="N40" i="63"/>
  <c r="L40" i="63"/>
  <c r="K40" i="63"/>
  <c r="H40" i="63"/>
  <c r="G40" i="63"/>
  <c r="F40" i="63"/>
  <c r="P39" i="63"/>
  <c r="O39" i="63"/>
  <c r="N39" i="63"/>
  <c r="M39" i="63"/>
  <c r="L39" i="63"/>
  <c r="J39" i="63"/>
  <c r="I39" i="63"/>
  <c r="H39" i="63"/>
  <c r="E39" i="63"/>
  <c r="D39" i="63"/>
  <c r="P38" i="63"/>
  <c r="O38" i="63"/>
  <c r="N38" i="63"/>
  <c r="M38" i="63"/>
  <c r="L38" i="63"/>
  <c r="J38" i="63"/>
  <c r="I38" i="63"/>
  <c r="H38" i="63"/>
  <c r="E38" i="63"/>
  <c r="D38" i="63"/>
  <c r="P37" i="63"/>
  <c r="O37" i="63"/>
  <c r="N37" i="63"/>
  <c r="M37" i="63"/>
  <c r="L37" i="63"/>
  <c r="J37" i="63"/>
  <c r="I37" i="63"/>
  <c r="H37" i="63"/>
  <c r="E37" i="63"/>
  <c r="D37" i="63"/>
  <c r="P36" i="63"/>
  <c r="O36" i="63"/>
  <c r="N36" i="63"/>
  <c r="M36" i="63"/>
  <c r="L36" i="63"/>
  <c r="J36" i="63"/>
  <c r="I36" i="63"/>
  <c r="H36" i="63"/>
  <c r="E36" i="63"/>
  <c r="D36" i="63"/>
  <c r="P35" i="63"/>
  <c r="O35" i="63"/>
  <c r="N35" i="63"/>
  <c r="M35" i="63"/>
  <c r="L35" i="63"/>
  <c r="J35" i="63"/>
  <c r="I35" i="63"/>
  <c r="H35" i="63"/>
  <c r="E35" i="63"/>
  <c r="D35" i="63"/>
  <c r="P34" i="63"/>
  <c r="O34" i="63"/>
  <c r="N34" i="63"/>
  <c r="M34" i="63"/>
  <c r="L34" i="63"/>
  <c r="J34" i="63"/>
  <c r="I34" i="63"/>
  <c r="H34" i="63"/>
  <c r="E34" i="63"/>
  <c r="D34" i="63"/>
  <c r="P33" i="63"/>
  <c r="O33" i="63"/>
  <c r="N33" i="63"/>
  <c r="M33" i="63"/>
  <c r="L33" i="63"/>
  <c r="J33" i="63"/>
  <c r="I33" i="63"/>
  <c r="H33" i="63"/>
  <c r="E33" i="63"/>
  <c r="D33" i="63"/>
  <c r="P32" i="63"/>
  <c r="O32" i="63"/>
  <c r="N32" i="63"/>
  <c r="M32" i="63"/>
  <c r="L32" i="63"/>
  <c r="J32" i="63"/>
  <c r="I32" i="63"/>
  <c r="H32" i="63"/>
  <c r="E32" i="63"/>
  <c r="D32" i="63"/>
  <c r="P31" i="63"/>
  <c r="O31" i="63"/>
  <c r="N31" i="63"/>
  <c r="M31" i="63"/>
  <c r="L31" i="63"/>
  <c r="J31" i="63"/>
  <c r="I31" i="63"/>
  <c r="H31" i="63"/>
  <c r="E31" i="63"/>
  <c r="D31" i="63"/>
  <c r="P30" i="63"/>
  <c r="O30" i="63"/>
  <c r="N30" i="63"/>
  <c r="M30" i="63"/>
  <c r="L30" i="63"/>
  <c r="J30" i="63"/>
  <c r="I30" i="63"/>
  <c r="H30" i="63"/>
  <c r="E30" i="63"/>
  <c r="D30" i="63"/>
  <c r="P29" i="63"/>
  <c r="O29" i="63"/>
  <c r="N29" i="63"/>
  <c r="M29" i="63"/>
  <c r="L29" i="63"/>
  <c r="I29" i="63"/>
  <c r="H29" i="63"/>
  <c r="E29" i="63"/>
  <c r="D29" i="63"/>
  <c r="P28" i="63"/>
  <c r="O28" i="63"/>
  <c r="N28" i="63"/>
  <c r="M28" i="63"/>
  <c r="L28" i="63"/>
  <c r="J28" i="63"/>
  <c r="I28" i="63"/>
  <c r="H28" i="63"/>
  <c r="E28" i="63"/>
  <c r="D28" i="63"/>
  <c r="P27" i="63"/>
  <c r="O27" i="63"/>
  <c r="N27" i="63"/>
  <c r="M27" i="63"/>
  <c r="L27" i="63"/>
  <c r="J27" i="63"/>
  <c r="I27" i="63"/>
  <c r="H27" i="63"/>
  <c r="E27" i="63"/>
  <c r="D27" i="63"/>
  <c r="P26" i="63"/>
  <c r="O26" i="63"/>
  <c r="N26" i="63"/>
  <c r="M26" i="63"/>
  <c r="L26" i="63"/>
  <c r="J26" i="63"/>
  <c r="I26" i="63"/>
  <c r="H26" i="63"/>
  <c r="E26" i="63"/>
  <c r="D26" i="63"/>
  <c r="P25" i="63"/>
  <c r="O25" i="63"/>
  <c r="N25" i="63"/>
  <c r="M25" i="63"/>
  <c r="L25" i="63"/>
  <c r="J25" i="63"/>
  <c r="I25" i="63"/>
  <c r="H25" i="63"/>
  <c r="E25" i="63"/>
  <c r="D25" i="63"/>
  <c r="P24" i="63"/>
  <c r="O24" i="63"/>
  <c r="N24" i="63"/>
  <c r="M24" i="63"/>
  <c r="L24" i="63"/>
  <c r="J24" i="63"/>
  <c r="I24" i="63"/>
  <c r="H24" i="63"/>
  <c r="E24" i="63"/>
  <c r="D24" i="63"/>
  <c r="P23" i="63"/>
  <c r="O23" i="63"/>
  <c r="N23" i="63"/>
  <c r="M23" i="63"/>
  <c r="L23" i="63"/>
  <c r="J23" i="63"/>
  <c r="I23" i="63"/>
  <c r="H23" i="63"/>
  <c r="E23" i="63"/>
  <c r="D23" i="63"/>
  <c r="P22" i="63"/>
  <c r="O22" i="63"/>
  <c r="N22" i="63"/>
  <c r="M22" i="63"/>
  <c r="L22" i="63"/>
  <c r="J22" i="63"/>
  <c r="I22" i="63"/>
  <c r="H22" i="63"/>
  <c r="E22" i="63"/>
  <c r="D22" i="63"/>
  <c r="P21" i="63"/>
  <c r="O21" i="63"/>
  <c r="N21" i="63"/>
  <c r="M21" i="63"/>
  <c r="L21" i="63"/>
  <c r="J21" i="63"/>
  <c r="I21" i="63"/>
  <c r="H21" i="63"/>
  <c r="E21" i="63"/>
  <c r="D21" i="63"/>
  <c r="P20" i="63"/>
  <c r="O20" i="63"/>
  <c r="N20" i="63"/>
  <c r="M20" i="63"/>
  <c r="L20" i="63"/>
  <c r="J20" i="63"/>
  <c r="I20" i="63"/>
  <c r="H20" i="63"/>
  <c r="E20" i="63"/>
  <c r="D20" i="63"/>
  <c r="P19" i="63"/>
  <c r="O19" i="63"/>
  <c r="N19" i="63"/>
  <c r="M19" i="63"/>
  <c r="L19" i="63"/>
  <c r="J19" i="63"/>
  <c r="I19" i="63"/>
  <c r="H19" i="63"/>
  <c r="E19" i="63"/>
  <c r="D19" i="63"/>
  <c r="P18" i="63"/>
  <c r="O18" i="63"/>
  <c r="N18" i="63"/>
  <c r="M18" i="63"/>
  <c r="L18" i="63"/>
  <c r="J18" i="63"/>
  <c r="I18" i="63"/>
  <c r="H18" i="63"/>
  <c r="E18" i="63"/>
  <c r="D18" i="63"/>
  <c r="P17" i="63"/>
  <c r="O17" i="63"/>
  <c r="N17" i="63"/>
  <c r="M17" i="63"/>
  <c r="L17" i="63"/>
  <c r="J17" i="63"/>
  <c r="I17" i="63"/>
  <c r="H17" i="63"/>
  <c r="E17" i="63"/>
  <c r="D17" i="63"/>
  <c r="P16" i="63"/>
  <c r="O16" i="63"/>
  <c r="N16" i="63"/>
  <c r="M16" i="63"/>
  <c r="L16" i="63"/>
  <c r="J16" i="63"/>
  <c r="I16" i="63"/>
  <c r="H16" i="63"/>
  <c r="E16" i="63"/>
  <c r="D16" i="63"/>
  <c r="P15" i="63"/>
  <c r="O15" i="63"/>
  <c r="N15" i="63"/>
  <c r="M15" i="63"/>
  <c r="L15" i="63"/>
  <c r="J15" i="63"/>
  <c r="I15" i="63"/>
  <c r="H15" i="63"/>
  <c r="E15" i="63"/>
  <c r="D15" i="63"/>
  <c r="P14" i="63"/>
  <c r="O14" i="63"/>
  <c r="N14" i="63"/>
  <c r="M14" i="63"/>
  <c r="L14" i="63"/>
  <c r="J14" i="63"/>
  <c r="I14" i="63"/>
  <c r="H14" i="63"/>
  <c r="E14" i="63"/>
  <c r="D14" i="63"/>
  <c r="P13" i="63"/>
  <c r="O13" i="63"/>
  <c r="N13" i="63"/>
  <c r="M13" i="63"/>
  <c r="L13" i="63"/>
  <c r="J13" i="63"/>
  <c r="I13" i="63"/>
  <c r="H13" i="63"/>
  <c r="E13" i="63"/>
  <c r="D13" i="63"/>
  <c r="P12" i="63"/>
  <c r="O12" i="63"/>
  <c r="N12" i="63"/>
  <c r="M12" i="63"/>
  <c r="L12" i="63"/>
  <c r="J12" i="63"/>
  <c r="I12" i="63"/>
  <c r="H12" i="63"/>
  <c r="E12" i="63"/>
  <c r="D12" i="63"/>
  <c r="P11" i="63"/>
  <c r="O11" i="63"/>
  <c r="N11" i="63"/>
  <c r="M11" i="63"/>
  <c r="L11" i="63"/>
  <c r="J11" i="63"/>
  <c r="I11" i="63"/>
  <c r="H11" i="63"/>
  <c r="E11" i="63"/>
  <c r="D11" i="63"/>
  <c r="P10" i="63"/>
  <c r="O10" i="63"/>
  <c r="N10" i="63"/>
  <c r="M10" i="63"/>
  <c r="L10" i="63"/>
  <c r="J10" i="63"/>
  <c r="I10" i="63"/>
  <c r="H10" i="63"/>
  <c r="E10" i="63"/>
  <c r="D10" i="63"/>
  <c r="P9" i="63"/>
  <c r="O9" i="63"/>
  <c r="N9" i="63"/>
  <c r="M9" i="63"/>
  <c r="L9" i="63"/>
  <c r="J9" i="63"/>
  <c r="I9" i="63"/>
  <c r="H9" i="63"/>
  <c r="E9" i="63"/>
  <c r="S8" i="63"/>
  <c r="S7" i="63"/>
  <c r="S6" i="63"/>
  <c r="U43" i="4"/>
  <c r="U42" i="4"/>
  <c r="U41" i="4"/>
  <c r="K40" i="4"/>
  <c r="L42" i="4" s="1"/>
  <c r="G40" i="4"/>
  <c r="H6" i="19" s="1"/>
  <c r="F40" i="4"/>
  <c r="O39" i="4"/>
  <c r="P39" i="4" s="1"/>
  <c r="N39" i="4"/>
  <c r="M39" i="4"/>
  <c r="L39" i="4"/>
  <c r="J39" i="4"/>
  <c r="I39" i="4"/>
  <c r="H39" i="4"/>
  <c r="E39" i="4"/>
  <c r="N38" i="4"/>
  <c r="M38" i="4"/>
  <c r="L38" i="4"/>
  <c r="H38" i="4"/>
  <c r="N37" i="4"/>
  <c r="M37" i="4"/>
  <c r="L37" i="4"/>
  <c r="H37" i="4"/>
  <c r="N36" i="4"/>
  <c r="M36" i="4"/>
  <c r="L36" i="4"/>
  <c r="H36" i="4"/>
  <c r="N35" i="4"/>
  <c r="M35" i="4"/>
  <c r="L35" i="4"/>
  <c r="H35" i="4"/>
  <c r="N34" i="4"/>
  <c r="M34" i="4"/>
  <c r="L34" i="4"/>
  <c r="H34" i="4"/>
  <c r="N33" i="4"/>
  <c r="M33" i="4"/>
  <c r="L33" i="4"/>
  <c r="H33" i="4"/>
  <c r="N32" i="4"/>
  <c r="M32" i="4"/>
  <c r="L32" i="4"/>
  <c r="H32" i="4"/>
  <c r="N31" i="4"/>
  <c r="M31" i="4"/>
  <c r="L31" i="4"/>
  <c r="H31" i="4"/>
  <c r="N30" i="4"/>
  <c r="M30" i="4"/>
  <c r="L30" i="4"/>
  <c r="H30" i="4"/>
  <c r="H28" i="25" s="1"/>
  <c r="N29" i="4"/>
  <c r="M29" i="4"/>
  <c r="L29" i="4"/>
  <c r="H29" i="4"/>
  <c r="N28" i="4"/>
  <c r="M28" i="4"/>
  <c r="L28" i="4"/>
  <c r="H28" i="4"/>
  <c r="N27" i="4"/>
  <c r="M27" i="4"/>
  <c r="L27" i="4"/>
  <c r="H27" i="4"/>
  <c r="N26" i="4"/>
  <c r="M26" i="4"/>
  <c r="L26" i="4"/>
  <c r="H26" i="4"/>
  <c r="N25" i="4"/>
  <c r="M25" i="4"/>
  <c r="L25" i="4"/>
  <c r="H25" i="4"/>
  <c r="N24" i="4"/>
  <c r="M24" i="4"/>
  <c r="L24" i="4"/>
  <c r="H24" i="4"/>
  <c r="N23" i="4"/>
  <c r="M23" i="4"/>
  <c r="L23" i="4"/>
  <c r="H23" i="4"/>
  <c r="N22" i="4"/>
  <c r="M22" i="4"/>
  <c r="L22" i="4"/>
  <c r="H22" i="4"/>
  <c r="N21" i="4"/>
  <c r="M21" i="4"/>
  <c r="L21" i="4"/>
  <c r="H21" i="4"/>
  <c r="N20" i="4"/>
  <c r="M20" i="4"/>
  <c r="L20" i="4"/>
  <c r="H20" i="4"/>
  <c r="N19" i="4"/>
  <c r="M19" i="4"/>
  <c r="L19" i="4"/>
  <c r="H19" i="4"/>
  <c r="N18" i="4"/>
  <c r="M18" i="4"/>
  <c r="L18" i="4"/>
  <c r="H18" i="4"/>
  <c r="N17" i="4"/>
  <c r="M17" i="4"/>
  <c r="L15" i="25" s="1"/>
  <c r="L17" i="4"/>
  <c r="H17" i="4"/>
  <c r="H15" i="25" s="1"/>
  <c r="N16" i="4"/>
  <c r="M16" i="4"/>
  <c r="L14" i="25" s="1"/>
  <c r="L16" i="4"/>
  <c r="H16" i="4"/>
  <c r="N15" i="4"/>
  <c r="M15" i="4"/>
  <c r="L15" i="4"/>
  <c r="H15" i="4"/>
  <c r="N14" i="4"/>
  <c r="M14" i="4"/>
  <c r="L14" i="4"/>
  <c r="H14" i="4"/>
  <c r="N13" i="4"/>
  <c r="M13" i="4"/>
  <c r="L13" i="4"/>
  <c r="H13" i="4"/>
  <c r="N12" i="4"/>
  <c r="M12" i="4"/>
  <c r="L12" i="4"/>
  <c r="H12" i="4"/>
  <c r="N11" i="4"/>
  <c r="M11" i="4"/>
  <c r="L11" i="4"/>
  <c r="H11" i="4"/>
  <c r="N10" i="4"/>
  <c r="M10" i="4"/>
  <c r="L10" i="4"/>
  <c r="H10" i="4"/>
  <c r="N9" i="4"/>
  <c r="M9" i="4"/>
  <c r="L7" i="25" s="1"/>
  <c r="L9" i="4"/>
  <c r="L40" i="4" s="1"/>
  <c r="I9" i="4"/>
  <c r="O9" i="4" s="1"/>
  <c r="H9" i="4"/>
  <c r="E9" i="4"/>
  <c r="S8" i="4"/>
  <c r="V42" i="20"/>
  <c r="L42" i="20"/>
  <c r="G42" i="20"/>
  <c r="U41" i="20"/>
  <c r="U40" i="20"/>
  <c r="N40" i="20"/>
  <c r="M40" i="20"/>
  <c r="L40" i="20"/>
  <c r="K40" i="20"/>
  <c r="H40" i="20"/>
  <c r="G40" i="20"/>
  <c r="F40" i="20"/>
  <c r="P39" i="20"/>
  <c r="O39" i="20"/>
  <c r="N39" i="20"/>
  <c r="M39" i="20"/>
  <c r="L39" i="20"/>
  <c r="J39" i="20"/>
  <c r="I39" i="20"/>
  <c r="H39" i="20"/>
  <c r="E39" i="20"/>
  <c r="P38" i="20"/>
  <c r="O38" i="20"/>
  <c r="N38" i="20"/>
  <c r="M38" i="20"/>
  <c r="L38" i="20"/>
  <c r="J38" i="20"/>
  <c r="I38" i="20"/>
  <c r="H38" i="20"/>
  <c r="E38" i="20"/>
  <c r="D38" i="20"/>
  <c r="P37" i="20"/>
  <c r="O37" i="20"/>
  <c r="N37" i="20"/>
  <c r="M37" i="20"/>
  <c r="L37" i="20"/>
  <c r="J37" i="20"/>
  <c r="I37" i="20"/>
  <c r="H37" i="20"/>
  <c r="E37" i="20"/>
  <c r="D37" i="20"/>
  <c r="P36" i="20"/>
  <c r="O36" i="20"/>
  <c r="N36" i="20"/>
  <c r="M36" i="20"/>
  <c r="L36" i="20"/>
  <c r="J36" i="20"/>
  <c r="I36" i="20"/>
  <c r="H36" i="20"/>
  <c r="E36" i="20"/>
  <c r="D36" i="20"/>
  <c r="P35" i="20"/>
  <c r="O35" i="20"/>
  <c r="N35" i="20"/>
  <c r="M35" i="20"/>
  <c r="L35" i="20"/>
  <c r="J35" i="20"/>
  <c r="I35" i="20"/>
  <c r="H35" i="20"/>
  <c r="E35" i="20"/>
  <c r="D35" i="20"/>
  <c r="P34" i="20"/>
  <c r="O34" i="20"/>
  <c r="N34" i="20"/>
  <c r="M34" i="20"/>
  <c r="L34" i="20"/>
  <c r="J34" i="20"/>
  <c r="I34" i="20"/>
  <c r="H34" i="20"/>
  <c r="E34" i="20"/>
  <c r="D34" i="20"/>
  <c r="P33" i="20"/>
  <c r="O33" i="20"/>
  <c r="N33" i="20"/>
  <c r="M33" i="20"/>
  <c r="L33" i="20"/>
  <c r="J33" i="20"/>
  <c r="I33" i="20"/>
  <c r="H33" i="20"/>
  <c r="E33" i="20"/>
  <c r="D33" i="20"/>
  <c r="P32" i="20"/>
  <c r="O32" i="20"/>
  <c r="N32" i="20"/>
  <c r="M32" i="20"/>
  <c r="L32" i="20"/>
  <c r="J32" i="20"/>
  <c r="I32" i="20"/>
  <c r="H32" i="20"/>
  <c r="E32" i="20"/>
  <c r="D32" i="20"/>
  <c r="P31" i="20"/>
  <c r="O31" i="20"/>
  <c r="N31" i="20"/>
  <c r="M31" i="20"/>
  <c r="L31" i="20"/>
  <c r="J31" i="20"/>
  <c r="I31" i="20"/>
  <c r="H31" i="20"/>
  <c r="E31" i="20"/>
  <c r="D31" i="20"/>
  <c r="P30" i="20"/>
  <c r="O30" i="20"/>
  <c r="N30" i="20"/>
  <c r="M30" i="20"/>
  <c r="L30" i="20"/>
  <c r="J30" i="20"/>
  <c r="I30" i="20"/>
  <c r="H30" i="20"/>
  <c r="E30" i="20"/>
  <c r="D30" i="20"/>
  <c r="P29" i="20"/>
  <c r="O29" i="20"/>
  <c r="N29" i="20"/>
  <c r="M29" i="20"/>
  <c r="L29" i="20"/>
  <c r="J29" i="20"/>
  <c r="I29" i="20"/>
  <c r="H29" i="20"/>
  <c r="E29" i="20"/>
  <c r="D29" i="20"/>
  <c r="P28" i="20"/>
  <c r="O28" i="20"/>
  <c r="N28" i="20"/>
  <c r="M28" i="20"/>
  <c r="L28" i="20"/>
  <c r="J28" i="20"/>
  <c r="I28" i="20"/>
  <c r="H28" i="20"/>
  <c r="E28" i="20"/>
  <c r="D28" i="20"/>
  <c r="P27" i="20"/>
  <c r="O27" i="20"/>
  <c r="N27" i="20"/>
  <c r="M27" i="20"/>
  <c r="L27" i="20"/>
  <c r="J27" i="20"/>
  <c r="I27" i="20"/>
  <c r="H27" i="20"/>
  <c r="E27" i="20"/>
  <c r="D27" i="20"/>
  <c r="P26" i="20"/>
  <c r="O26" i="20"/>
  <c r="N26" i="20"/>
  <c r="M26" i="20"/>
  <c r="L26" i="20"/>
  <c r="J26" i="20"/>
  <c r="I26" i="20"/>
  <c r="H26" i="20"/>
  <c r="E26" i="20"/>
  <c r="D26" i="20"/>
  <c r="P25" i="20"/>
  <c r="O25" i="20"/>
  <c r="N25" i="20"/>
  <c r="M25" i="20"/>
  <c r="L25" i="20"/>
  <c r="J25" i="20"/>
  <c r="I25" i="20"/>
  <c r="H25" i="20"/>
  <c r="E25" i="20"/>
  <c r="D25" i="20"/>
  <c r="P24" i="20"/>
  <c r="O24" i="20"/>
  <c r="N24" i="20"/>
  <c r="M24" i="20"/>
  <c r="L24" i="20"/>
  <c r="J24" i="20"/>
  <c r="I24" i="20"/>
  <c r="H24" i="20"/>
  <c r="E24" i="20"/>
  <c r="D24" i="20"/>
  <c r="P23" i="20"/>
  <c r="O23" i="20"/>
  <c r="N23" i="20"/>
  <c r="M23" i="20"/>
  <c r="L23" i="20"/>
  <c r="J23" i="20"/>
  <c r="I23" i="20"/>
  <c r="H23" i="20"/>
  <c r="E23" i="20"/>
  <c r="D23" i="20"/>
  <c r="P22" i="20"/>
  <c r="O22" i="20"/>
  <c r="N22" i="20"/>
  <c r="M22" i="20"/>
  <c r="L22" i="20"/>
  <c r="J22" i="20"/>
  <c r="I22" i="20"/>
  <c r="H22" i="20"/>
  <c r="E22" i="20"/>
  <c r="D22" i="20"/>
  <c r="P21" i="20"/>
  <c r="O21" i="20"/>
  <c r="N21" i="20"/>
  <c r="M21" i="20"/>
  <c r="L21" i="20"/>
  <c r="J21" i="20"/>
  <c r="I21" i="20"/>
  <c r="H21" i="20"/>
  <c r="E21" i="20"/>
  <c r="D21" i="20"/>
  <c r="P20" i="20"/>
  <c r="O20" i="20"/>
  <c r="N20" i="20"/>
  <c r="M20" i="20"/>
  <c r="L20" i="20"/>
  <c r="J20" i="20"/>
  <c r="I20" i="20"/>
  <c r="H20" i="20"/>
  <c r="E20" i="20"/>
  <c r="D20" i="20"/>
  <c r="P19" i="20"/>
  <c r="O19" i="20"/>
  <c r="N19" i="20"/>
  <c r="M19" i="20"/>
  <c r="L19" i="20"/>
  <c r="J19" i="20"/>
  <c r="I19" i="20"/>
  <c r="H19" i="20"/>
  <c r="E19" i="20"/>
  <c r="D19" i="20"/>
  <c r="P18" i="20"/>
  <c r="O18" i="20"/>
  <c r="N18" i="20"/>
  <c r="M18" i="20"/>
  <c r="L18" i="20"/>
  <c r="J18" i="20"/>
  <c r="I18" i="20"/>
  <c r="H18" i="20"/>
  <c r="E18" i="20"/>
  <c r="D18" i="20"/>
  <c r="P17" i="20"/>
  <c r="O17" i="20"/>
  <c r="N17" i="20"/>
  <c r="M17" i="20"/>
  <c r="L17" i="20"/>
  <c r="J17" i="20"/>
  <c r="I17" i="20"/>
  <c r="H17" i="20"/>
  <c r="E17" i="20"/>
  <c r="D17" i="20"/>
  <c r="P16" i="20"/>
  <c r="O16" i="20"/>
  <c r="N16" i="20"/>
  <c r="M16" i="20"/>
  <c r="L16" i="20"/>
  <c r="J16" i="20"/>
  <c r="I16" i="20"/>
  <c r="H16" i="20"/>
  <c r="E16" i="20"/>
  <c r="D16" i="20"/>
  <c r="P15" i="20"/>
  <c r="O15" i="20"/>
  <c r="N15" i="20"/>
  <c r="M15" i="20"/>
  <c r="L15" i="20"/>
  <c r="J15" i="20"/>
  <c r="I15" i="20"/>
  <c r="H15" i="20"/>
  <c r="E15" i="20"/>
  <c r="D15" i="20"/>
  <c r="P14" i="20"/>
  <c r="O14" i="20"/>
  <c r="N14" i="20"/>
  <c r="M14" i="20"/>
  <c r="L14" i="20"/>
  <c r="J14" i="20"/>
  <c r="I14" i="20"/>
  <c r="H14" i="20"/>
  <c r="E14" i="20"/>
  <c r="D14" i="20"/>
  <c r="P13" i="20"/>
  <c r="O13" i="20"/>
  <c r="N13" i="20"/>
  <c r="M13" i="20"/>
  <c r="L13" i="20"/>
  <c r="J13" i="20"/>
  <c r="I13" i="20"/>
  <c r="H13" i="20"/>
  <c r="E13" i="20"/>
  <c r="D13" i="20"/>
  <c r="P12" i="20"/>
  <c r="O12" i="20"/>
  <c r="N12" i="20"/>
  <c r="M12" i="20"/>
  <c r="L12" i="20"/>
  <c r="J12" i="20"/>
  <c r="I12" i="20"/>
  <c r="H12" i="20"/>
  <c r="E12" i="20"/>
  <c r="D12" i="20"/>
  <c r="P11" i="20"/>
  <c r="O11" i="20"/>
  <c r="N11" i="20"/>
  <c r="M11" i="20"/>
  <c r="L11" i="20"/>
  <c r="J11" i="20"/>
  <c r="I11" i="20"/>
  <c r="H11" i="20"/>
  <c r="E11" i="20"/>
  <c r="D11" i="20"/>
  <c r="P10" i="20"/>
  <c r="O10" i="20"/>
  <c r="N10" i="20"/>
  <c r="M10" i="20"/>
  <c r="L10" i="20"/>
  <c r="J10" i="20"/>
  <c r="I10" i="20"/>
  <c r="H10" i="20"/>
  <c r="E10" i="20"/>
  <c r="D10" i="20"/>
  <c r="Q9" i="20"/>
  <c r="P9" i="20"/>
  <c r="O9" i="20"/>
  <c r="N9" i="20"/>
  <c r="M9" i="20"/>
  <c r="L9" i="20"/>
  <c r="J9" i="20"/>
  <c r="I9" i="20"/>
  <c r="H9" i="20"/>
  <c r="E9" i="20"/>
  <c r="S8" i="20"/>
  <c r="S7" i="20"/>
  <c r="K47" i="1"/>
  <c r="K40" i="1"/>
  <c r="K5" i="19" s="1"/>
  <c r="H6" i="60" s="1"/>
  <c r="G40" i="1"/>
  <c r="H42" i="1" s="1"/>
  <c r="N39" i="1"/>
  <c r="M39" i="1"/>
  <c r="L39" i="1"/>
  <c r="H39" i="1"/>
  <c r="N38" i="1"/>
  <c r="M38" i="1"/>
  <c r="L38" i="1"/>
  <c r="H38" i="1"/>
  <c r="N37" i="1"/>
  <c r="M37" i="1"/>
  <c r="L37" i="1"/>
  <c r="H37" i="1"/>
  <c r="H35" i="25" s="1"/>
  <c r="N36" i="1"/>
  <c r="M36" i="1"/>
  <c r="L36" i="1"/>
  <c r="H36" i="1"/>
  <c r="N35" i="1"/>
  <c r="M35" i="1"/>
  <c r="L35" i="1"/>
  <c r="H35" i="1"/>
  <c r="N34" i="1"/>
  <c r="M34" i="1"/>
  <c r="L34" i="1"/>
  <c r="H34" i="1"/>
  <c r="N33" i="1"/>
  <c r="M33" i="1"/>
  <c r="L33" i="1"/>
  <c r="H33" i="1"/>
  <c r="N32" i="1"/>
  <c r="M32" i="1"/>
  <c r="L32" i="1"/>
  <c r="H32" i="1"/>
  <c r="N31" i="1"/>
  <c r="M31" i="1"/>
  <c r="L31" i="1"/>
  <c r="H31" i="1"/>
  <c r="N30" i="1"/>
  <c r="M30" i="1"/>
  <c r="L30" i="1"/>
  <c r="H30" i="1"/>
  <c r="N29" i="1"/>
  <c r="M29" i="1"/>
  <c r="L29" i="1"/>
  <c r="H29" i="1"/>
  <c r="N28" i="1"/>
  <c r="M28" i="1"/>
  <c r="L28" i="1"/>
  <c r="H28" i="1"/>
  <c r="S27" i="1"/>
  <c r="N27" i="1"/>
  <c r="M27" i="1"/>
  <c r="L27" i="1"/>
  <c r="H27" i="1"/>
  <c r="S26" i="1"/>
  <c r="N26" i="1"/>
  <c r="M26" i="1"/>
  <c r="L26" i="1"/>
  <c r="H26" i="1"/>
  <c r="S25" i="1"/>
  <c r="N25" i="1"/>
  <c r="M25" i="1"/>
  <c r="L25" i="1"/>
  <c r="H25" i="1"/>
  <c r="N24" i="1"/>
  <c r="M24" i="1"/>
  <c r="L22" i="25" s="1"/>
  <c r="L24" i="1"/>
  <c r="H24" i="1"/>
  <c r="H22" i="25" s="1"/>
  <c r="N23" i="1"/>
  <c r="M23" i="1"/>
  <c r="L23" i="1"/>
  <c r="H23" i="1"/>
  <c r="N22" i="1"/>
  <c r="M22" i="1"/>
  <c r="L22" i="1"/>
  <c r="H22" i="1"/>
  <c r="N21" i="1"/>
  <c r="M21" i="1"/>
  <c r="L21" i="1"/>
  <c r="H21" i="1"/>
  <c r="N20" i="1"/>
  <c r="M20" i="1"/>
  <c r="L20" i="1"/>
  <c r="H20" i="1"/>
  <c r="H18" i="25" s="1"/>
  <c r="N19" i="1"/>
  <c r="M19" i="1"/>
  <c r="L19" i="1"/>
  <c r="H19" i="1"/>
  <c r="N18" i="1"/>
  <c r="M18" i="1"/>
  <c r="L18" i="1"/>
  <c r="H18" i="1"/>
  <c r="H16" i="25" s="1"/>
  <c r="N17" i="1"/>
  <c r="M17" i="1"/>
  <c r="L17" i="1"/>
  <c r="H17" i="1"/>
  <c r="N16" i="1"/>
  <c r="M16" i="1"/>
  <c r="L16" i="1"/>
  <c r="H16" i="1"/>
  <c r="H14" i="25" s="1"/>
  <c r="N15" i="1"/>
  <c r="M15" i="1"/>
  <c r="L15" i="1"/>
  <c r="H15" i="1"/>
  <c r="H13" i="25" s="1"/>
  <c r="N14" i="1"/>
  <c r="M14" i="1"/>
  <c r="L14" i="1"/>
  <c r="H14" i="1"/>
  <c r="N13" i="1"/>
  <c r="M13" i="1"/>
  <c r="L11" i="25" s="1"/>
  <c r="L13" i="1"/>
  <c r="H13" i="1"/>
  <c r="N12" i="1"/>
  <c r="N40" i="1" s="1"/>
  <c r="M12" i="1"/>
  <c r="L10" i="25" s="1"/>
  <c r="L12" i="1"/>
  <c r="L40" i="1" s="1"/>
  <c r="H12" i="1"/>
  <c r="N11" i="1"/>
  <c r="M11" i="1"/>
  <c r="L11" i="1"/>
  <c r="H11" i="1"/>
  <c r="N10" i="1"/>
  <c r="M10" i="1"/>
  <c r="L10" i="1"/>
  <c r="H10" i="1"/>
  <c r="H8" i="25" s="1"/>
  <c r="N9" i="1"/>
  <c r="M9" i="1"/>
  <c r="L9" i="1"/>
  <c r="I9" i="1"/>
  <c r="O9" i="1" s="1"/>
  <c r="H9" i="1"/>
  <c r="H7" i="25" s="1"/>
  <c r="E9" i="1"/>
  <c r="S8" i="1"/>
  <c r="H37" i="25" l="1"/>
  <c r="CC94" i="17"/>
  <c r="J39" i="14"/>
  <c r="H36" i="25"/>
  <c r="F7" i="60"/>
  <c r="G7" i="60" s="1"/>
  <c r="I6" i="19"/>
  <c r="J6" i="19"/>
  <c r="H32" i="25"/>
  <c r="AX94" i="17"/>
  <c r="O104" i="17" s="1"/>
  <c r="K49" i="18" s="1"/>
  <c r="AS78" i="17"/>
  <c r="AS94" i="17" s="1"/>
  <c r="C18" i="53"/>
  <c r="H33" i="25"/>
  <c r="M40" i="9"/>
  <c r="AI22" i="17"/>
  <c r="AK22" i="17" s="1"/>
  <c r="AI21" i="17"/>
  <c r="AK21" i="17" s="1"/>
  <c r="H30" i="25"/>
  <c r="H29" i="25"/>
  <c r="K7" i="19"/>
  <c r="H13" i="60" s="1"/>
  <c r="I13" i="60" s="1"/>
  <c r="AK17" i="17"/>
  <c r="AI17" i="17"/>
  <c r="AI18" i="17"/>
  <c r="AK18" i="17" s="1"/>
  <c r="AK15" i="17"/>
  <c r="CR94" i="17"/>
  <c r="J18" i="48"/>
  <c r="F48" i="59"/>
  <c r="F50" i="59" s="1"/>
  <c r="H42" i="9"/>
  <c r="I8" i="59"/>
  <c r="O8" i="59" s="1"/>
  <c r="S8" i="59"/>
  <c r="H40" i="9"/>
  <c r="H11" i="25"/>
  <c r="S6" i="60"/>
  <c r="I6" i="60"/>
  <c r="G94" i="17"/>
  <c r="BB56" i="17"/>
  <c r="AV78" i="17"/>
  <c r="AV94" i="17" s="1"/>
  <c r="M104" i="17" s="1"/>
  <c r="I49" i="18" s="1"/>
  <c r="G42" i="9"/>
  <c r="H7" i="19"/>
  <c r="F13" i="60" s="1"/>
  <c r="R13" i="60" s="1"/>
  <c r="G8" i="59"/>
  <c r="M8" i="59" s="1"/>
  <c r="H9" i="25"/>
  <c r="P8" i="59"/>
  <c r="C9" i="53"/>
  <c r="AT78" i="17"/>
  <c r="I45" i="19" s="1"/>
  <c r="K45" i="19" s="1"/>
  <c r="I15" i="55" s="1"/>
  <c r="I19" i="55" s="1"/>
  <c r="C5" i="53"/>
  <c r="R7" i="60"/>
  <c r="J9" i="14"/>
  <c r="H7" i="59"/>
  <c r="S7" i="59" s="1"/>
  <c r="N40" i="4"/>
  <c r="O45" i="19"/>
  <c r="O46" i="19" s="1"/>
  <c r="CL96" i="17"/>
  <c r="N100" i="17"/>
  <c r="N108" i="17" s="1"/>
  <c r="G33" i="59"/>
  <c r="L40" i="14"/>
  <c r="M40" i="14"/>
  <c r="I7" i="26"/>
  <c r="M7" i="26" s="1"/>
  <c r="D8" i="26" s="1"/>
  <c r="I8" i="26" s="1"/>
  <c r="M8" i="26" s="1"/>
  <c r="D9" i="26" s="1"/>
  <c r="I9" i="26" s="1"/>
  <c r="M9" i="26" s="1"/>
  <c r="D10" i="26" s="1"/>
  <c r="I10" i="26" s="1"/>
  <c r="M10" i="26" s="1"/>
  <c r="D11" i="26" s="1"/>
  <c r="I11" i="26" s="1"/>
  <c r="M11" i="26" s="1"/>
  <c r="D12" i="26" s="1"/>
  <c r="I12" i="26" s="1"/>
  <c r="M12" i="26" s="1"/>
  <c r="D13" i="26" s="1"/>
  <c r="I13" i="26" s="1"/>
  <c r="M13" i="26" s="1"/>
  <c r="D14" i="26" s="1"/>
  <c r="I14" i="26" s="1"/>
  <c r="M14" i="26" s="1"/>
  <c r="D15" i="26" s="1"/>
  <c r="I15" i="26" s="1"/>
  <c r="M15" i="26" s="1"/>
  <c r="D16" i="26" s="1"/>
  <c r="I16" i="26" s="1"/>
  <c r="M16" i="26" s="1"/>
  <c r="D17" i="26" s="1"/>
  <c r="I17" i="26" s="1"/>
  <c r="M17" i="26" s="1"/>
  <c r="D18" i="26" s="1"/>
  <c r="I18" i="26" s="1"/>
  <c r="M18" i="26" s="1"/>
  <c r="D19" i="26" s="1"/>
  <c r="I19" i="26" s="1"/>
  <c r="M19" i="26" s="1"/>
  <c r="D20" i="26" s="1"/>
  <c r="I20" i="26" s="1"/>
  <c r="M20" i="26" s="1"/>
  <c r="D21" i="26" s="1"/>
  <c r="I21" i="26" s="1"/>
  <c r="M21" i="26" s="1"/>
  <c r="D22" i="26" s="1"/>
  <c r="I22" i="26" s="1"/>
  <c r="M22" i="26" s="1"/>
  <c r="D23" i="26" s="1"/>
  <c r="I23" i="26" s="1"/>
  <c r="M23" i="26" s="1"/>
  <c r="D24" i="26" s="1"/>
  <c r="I24" i="26" s="1"/>
  <c r="M24" i="26" s="1"/>
  <c r="D25" i="26" s="1"/>
  <c r="I25" i="26" s="1"/>
  <c r="M25" i="26" s="1"/>
  <c r="D26" i="26" s="1"/>
  <c r="I26" i="26" s="1"/>
  <c r="M26" i="26" s="1"/>
  <c r="D27" i="26" s="1"/>
  <c r="I27" i="26" s="1"/>
  <c r="M27" i="26" s="1"/>
  <c r="D28" i="26" s="1"/>
  <c r="I28" i="26" s="1"/>
  <c r="M28" i="26" s="1"/>
  <c r="D29" i="26" s="1"/>
  <c r="I29" i="26" s="1"/>
  <c r="M29" i="26" s="1"/>
  <c r="D30" i="26" s="1"/>
  <c r="I30" i="26" s="1"/>
  <c r="M30" i="26" s="1"/>
  <c r="D31" i="26" s="1"/>
  <c r="I31" i="26" s="1"/>
  <c r="M31" i="26" s="1"/>
  <c r="D32" i="26" s="1"/>
  <c r="I32" i="26" s="1"/>
  <c r="M32" i="26" s="1"/>
  <c r="D33" i="26" s="1"/>
  <c r="I33" i="26" s="1"/>
  <c r="M33" i="26" s="1"/>
  <c r="D34" i="26" s="1"/>
  <c r="I34" i="26" s="1"/>
  <c r="M34" i="26" s="1"/>
  <c r="D35" i="26" s="1"/>
  <c r="I35" i="26" s="1"/>
  <c r="M35" i="26" s="1"/>
  <c r="D36" i="26" s="1"/>
  <c r="I36" i="26" s="1"/>
  <c r="M36" i="26" s="1"/>
  <c r="D37" i="26" s="1"/>
  <c r="I37" i="26" s="1"/>
  <c r="M37" i="26" s="1"/>
  <c r="I15" i="48"/>
  <c r="N40" i="14"/>
  <c r="O94" i="17"/>
  <c r="O96" i="17" s="1"/>
  <c r="O100" i="17" s="1"/>
  <c r="G42" i="15"/>
  <c r="H35" i="19"/>
  <c r="K6" i="19"/>
  <c r="H7" i="60" s="1"/>
  <c r="H40" i="4"/>
  <c r="H12" i="25"/>
  <c r="O31" i="15"/>
  <c r="D32" i="15" s="1"/>
  <c r="I32" i="15" s="1"/>
  <c r="O32" i="15" s="1"/>
  <c r="D33" i="15" s="1"/>
  <c r="I33" i="15" s="1"/>
  <c r="O33" i="15" s="1"/>
  <c r="D34" i="15" s="1"/>
  <c r="I34" i="15" s="1"/>
  <c r="O34" i="15" s="1"/>
  <c r="D35" i="15" s="1"/>
  <c r="I35" i="15" s="1"/>
  <c r="O35" i="15" s="1"/>
  <c r="D36" i="15" s="1"/>
  <c r="I36" i="15" s="1"/>
  <c r="O36" i="15" s="1"/>
  <c r="D37" i="15" s="1"/>
  <c r="I37" i="15" s="1"/>
  <c r="O37" i="15" s="1"/>
  <c r="D38" i="15" s="1"/>
  <c r="I38" i="15" s="1"/>
  <c r="O38" i="15" s="1"/>
  <c r="D39" i="15" s="1"/>
  <c r="I39" i="15" s="1"/>
  <c r="O39" i="15" s="1"/>
  <c r="J31" i="15"/>
  <c r="E22" i="56"/>
  <c r="F22" i="56" s="1"/>
  <c r="I35" i="19"/>
  <c r="F22" i="18" s="1"/>
  <c r="N40" i="15"/>
  <c r="L40" i="15"/>
  <c r="H10" i="15"/>
  <c r="H8" i="26" s="1"/>
  <c r="M20" i="15"/>
  <c r="L18" i="26" s="1"/>
  <c r="J23" i="15"/>
  <c r="H30" i="15"/>
  <c r="H28" i="26" s="1"/>
  <c r="M16" i="15"/>
  <c r="L14" i="26" s="1"/>
  <c r="J19" i="15"/>
  <c r="H22" i="15"/>
  <c r="H20" i="26" s="1"/>
  <c r="M12" i="15"/>
  <c r="L10" i="26" s="1"/>
  <c r="J15" i="15"/>
  <c r="H18" i="15"/>
  <c r="H16" i="26" s="1"/>
  <c r="M32" i="15"/>
  <c r="L30" i="26" s="1"/>
  <c r="J9" i="15"/>
  <c r="J7" i="26" s="1"/>
  <c r="M10" i="15"/>
  <c r="L8" i="26" s="1"/>
  <c r="H16" i="15"/>
  <c r="H14" i="26" s="1"/>
  <c r="J17" i="15"/>
  <c r="M18" i="15"/>
  <c r="L16" i="26" s="1"/>
  <c r="H24" i="15"/>
  <c r="H22" i="26" s="1"/>
  <c r="J25" i="15"/>
  <c r="M26" i="15"/>
  <c r="L24" i="26" s="1"/>
  <c r="H32" i="15"/>
  <c r="H30" i="26" s="1"/>
  <c r="J33" i="15"/>
  <c r="H26" i="15"/>
  <c r="H24" i="26" s="1"/>
  <c r="J27" i="15"/>
  <c r="M28" i="15"/>
  <c r="L26" i="26" s="1"/>
  <c r="P38" i="15"/>
  <c r="E38" i="15"/>
  <c r="P36" i="15"/>
  <c r="E36" i="15"/>
  <c r="P34" i="15"/>
  <c r="E34" i="15"/>
  <c r="P32" i="15"/>
  <c r="E32" i="15"/>
  <c r="P30" i="15"/>
  <c r="E30" i="15"/>
  <c r="P28" i="15"/>
  <c r="E28" i="15"/>
  <c r="P26" i="15"/>
  <c r="E26" i="15"/>
  <c r="P24" i="15"/>
  <c r="E24" i="15"/>
  <c r="P22" i="15"/>
  <c r="E22" i="15"/>
  <c r="P20" i="15"/>
  <c r="E20" i="15"/>
  <c r="P18" i="15"/>
  <c r="E18" i="15"/>
  <c r="P16" i="15"/>
  <c r="E16" i="15"/>
  <c r="P14" i="15"/>
  <c r="E14" i="15"/>
  <c r="P12" i="15"/>
  <c r="E12" i="15"/>
  <c r="P10" i="15"/>
  <c r="E10" i="15"/>
  <c r="M39" i="15"/>
  <c r="L37" i="26" s="1"/>
  <c r="H39" i="15"/>
  <c r="H37" i="26" s="1"/>
  <c r="J38" i="15"/>
  <c r="M37" i="15"/>
  <c r="L35" i="26" s="1"/>
  <c r="H37" i="15"/>
  <c r="H35" i="26" s="1"/>
  <c r="J36" i="15"/>
  <c r="M35" i="15"/>
  <c r="L33" i="26" s="1"/>
  <c r="H35" i="15"/>
  <c r="H33" i="26" s="1"/>
  <c r="J34" i="15"/>
  <c r="M33" i="15"/>
  <c r="L31" i="26" s="1"/>
  <c r="H33" i="15"/>
  <c r="H31" i="26" s="1"/>
  <c r="J32" i="15"/>
  <c r="M31" i="15"/>
  <c r="L29" i="26" s="1"/>
  <c r="H31" i="15"/>
  <c r="H29" i="26" s="1"/>
  <c r="J30" i="15"/>
  <c r="M29" i="15"/>
  <c r="L27" i="26" s="1"/>
  <c r="H29" i="15"/>
  <c r="H27" i="26" s="1"/>
  <c r="J28" i="15"/>
  <c r="M27" i="15"/>
  <c r="L25" i="26" s="1"/>
  <c r="H27" i="15"/>
  <c r="H25" i="26" s="1"/>
  <c r="J26" i="15"/>
  <c r="M25" i="15"/>
  <c r="L23" i="26" s="1"/>
  <c r="H25" i="15"/>
  <c r="H23" i="26" s="1"/>
  <c r="J24" i="15"/>
  <c r="M23" i="15"/>
  <c r="L21" i="26" s="1"/>
  <c r="H23" i="15"/>
  <c r="H21" i="26" s="1"/>
  <c r="J22" i="15"/>
  <c r="M21" i="15"/>
  <c r="L19" i="26" s="1"/>
  <c r="H21" i="15"/>
  <c r="H19" i="26" s="1"/>
  <c r="J20" i="15"/>
  <c r="M19" i="15"/>
  <c r="L17" i="26" s="1"/>
  <c r="H19" i="15"/>
  <c r="H17" i="26" s="1"/>
  <c r="J18" i="15"/>
  <c r="M17" i="15"/>
  <c r="L15" i="26" s="1"/>
  <c r="H17" i="15"/>
  <c r="H15" i="26" s="1"/>
  <c r="J16" i="15"/>
  <c r="M15" i="15"/>
  <c r="L13" i="26" s="1"/>
  <c r="H15" i="15"/>
  <c r="H13" i="26" s="1"/>
  <c r="J14" i="15"/>
  <c r="M13" i="15"/>
  <c r="L11" i="26" s="1"/>
  <c r="H13" i="15"/>
  <c r="H11" i="26" s="1"/>
  <c r="J12" i="15"/>
  <c r="M11" i="15"/>
  <c r="L9" i="26" s="1"/>
  <c r="H11" i="15"/>
  <c r="H9" i="26" s="1"/>
  <c r="J10" i="15"/>
  <c r="M9" i="15"/>
  <c r="H9" i="15"/>
  <c r="J39" i="15"/>
  <c r="H38" i="15"/>
  <c r="H36" i="26" s="1"/>
  <c r="J37" i="15"/>
  <c r="H36" i="15"/>
  <c r="H34" i="26" s="1"/>
  <c r="J35" i="15"/>
  <c r="P39" i="15"/>
  <c r="E39" i="15"/>
  <c r="E37" i="26" s="1"/>
  <c r="P37" i="15"/>
  <c r="E37" i="15"/>
  <c r="P35" i="15"/>
  <c r="E35" i="15"/>
  <c r="P33" i="15"/>
  <c r="E33" i="15"/>
  <c r="P31" i="15"/>
  <c r="E31" i="15"/>
  <c r="P29" i="15"/>
  <c r="E29" i="15"/>
  <c r="P27" i="15"/>
  <c r="E27" i="15"/>
  <c r="P25" i="15"/>
  <c r="E25" i="15"/>
  <c r="P23" i="15"/>
  <c r="E23" i="15"/>
  <c r="P21" i="15"/>
  <c r="E21" i="15"/>
  <c r="P19" i="15"/>
  <c r="E19" i="15"/>
  <c r="P17" i="15"/>
  <c r="E17" i="15"/>
  <c r="P15" i="15"/>
  <c r="E15" i="15"/>
  <c r="P13" i="15"/>
  <c r="E13" i="15"/>
  <c r="P11" i="15"/>
  <c r="E11" i="15"/>
  <c r="P9" i="15"/>
  <c r="E9" i="15"/>
  <c r="E7" i="26" s="1"/>
  <c r="M38" i="15"/>
  <c r="L36" i="26" s="1"/>
  <c r="M34" i="15"/>
  <c r="L32" i="26" s="1"/>
  <c r="H12" i="15"/>
  <c r="H10" i="26" s="1"/>
  <c r="J13" i="15"/>
  <c r="M14" i="15"/>
  <c r="L12" i="26" s="1"/>
  <c r="H20" i="15"/>
  <c r="H18" i="26" s="1"/>
  <c r="J21" i="15"/>
  <c r="M22" i="15"/>
  <c r="L20" i="26" s="1"/>
  <c r="H28" i="15"/>
  <c r="H26" i="26" s="1"/>
  <c r="J29" i="15"/>
  <c r="M30" i="15"/>
  <c r="L28" i="26" s="1"/>
  <c r="M36" i="15"/>
  <c r="L34" i="26" s="1"/>
  <c r="H12" i="26"/>
  <c r="H40" i="14"/>
  <c r="O47" i="61"/>
  <c r="O47" i="62"/>
  <c r="L38" i="25"/>
  <c r="I7" i="59"/>
  <c r="O7" i="59" s="1"/>
  <c r="M40" i="4"/>
  <c r="K38" i="25"/>
  <c r="C16" i="53"/>
  <c r="G38" i="26"/>
  <c r="K38" i="26"/>
  <c r="G42" i="14"/>
  <c r="H10" i="25"/>
  <c r="H6" i="59"/>
  <c r="M40" i="1"/>
  <c r="L42" i="1"/>
  <c r="O47" i="1" s="1"/>
  <c r="H49" i="19" s="1"/>
  <c r="G38" i="25"/>
  <c r="AK10" i="17"/>
  <c r="AB94" i="17"/>
  <c r="C22" i="53" s="1"/>
  <c r="J45" i="18"/>
  <c r="J58" i="18" s="1"/>
  <c r="S19" i="17"/>
  <c r="S94" i="17" s="1"/>
  <c r="M94" i="17"/>
  <c r="M96" i="17" s="1"/>
  <c r="M100" i="17" s="1"/>
  <c r="I45" i="18" s="1"/>
  <c r="C15" i="53"/>
  <c r="H94" i="17"/>
  <c r="H98" i="17" s="1"/>
  <c r="I49" i="19"/>
  <c r="O49" i="61"/>
  <c r="O49" i="1"/>
  <c r="O49" i="62"/>
  <c r="K36" i="19"/>
  <c r="L36" i="19" s="1"/>
  <c r="H41" i="59"/>
  <c r="P41" i="59" s="1"/>
  <c r="R41" i="59"/>
  <c r="G41" i="59"/>
  <c r="H42" i="14"/>
  <c r="H36" i="19"/>
  <c r="H37" i="19" s="1"/>
  <c r="H40" i="1"/>
  <c r="F7" i="59"/>
  <c r="G42" i="4"/>
  <c r="H42" i="4"/>
  <c r="G42" i="1"/>
  <c r="H5" i="19"/>
  <c r="F6" i="60" s="1"/>
  <c r="I7" i="25"/>
  <c r="M7" i="25" s="1"/>
  <c r="D8" i="25" s="1"/>
  <c r="I8" i="25" s="1"/>
  <c r="M8" i="25" s="1"/>
  <c r="D9" i="25" s="1"/>
  <c r="I9" i="25" s="1"/>
  <c r="M9" i="25" s="1"/>
  <c r="D10" i="25" s="1"/>
  <c r="I10" i="25" s="1"/>
  <c r="M10" i="25" s="1"/>
  <c r="D11" i="25" s="1"/>
  <c r="I11" i="25" s="1"/>
  <c r="M11" i="25" s="1"/>
  <c r="D12" i="25" s="1"/>
  <c r="I12" i="25" s="1"/>
  <c r="M12" i="25" s="1"/>
  <c r="D13" i="25" s="1"/>
  <c r="I13" i="25" s="1"/>
  <c r="M13" i="25" s="1"/>
  <c r="D14" i="25" s="1"/>
  <c r="I14" i="25" s="1"/>
  <c r="M14" i="25" s="1"/>
  <c r="D15" i="25" s="1"/>
  <c r="I15" i="25" s="1"/>
  <c r="M15" i="25" s="1"/>
  <c r="D16" i="25" s="1"/>
  <c r="I16" i="25" s="1"/>
  <c r="M16" i="25" s="1"/>
  <c r="D17" i="25" s="1"/>
  <c r="I17" i="25" s="1"/>
  <c r="M17" i="25" s="1"/>
  <c r="D18" i="25" s="1"/>
  <c r="I18" i="25" s="1"/>
  <c r="M18" i="25" s="1"/>
  <c r="D19" i="25" s="1"/>
  <c r="I19" i="25" s="1"/>
  <c r="M19" i="25" s="1"/>
  <c r="D20" i="25" s="1"/>
  <c r="I20" i="25" s="1"/>
  <c r="M20" i="25" s="1"/>
  <c r="D21" i="25" s="1"/>
  <c r="I21" i="25" s="1"/>
  <c r="M21" i="25" s="1"/>
  <c r="D22" i="25" s="1"/>
  <c r="I22" i="25" s="1"/>
  <c r="M22" i="25" s="1"/>
  <c r="D23" i="25" s="1"/>
  <c r="I23" i="25" s="1"/>
  <c r="M23" i="25" s="1"/>
  <c r="D24" i="25" s="1"/>
  <c r="I24" i="25" s="1"/>
  <c r="M24" i="25" s="1"/>
  <c r="D25" i="25" s="1"/>
  <c r="I25" i="25" s="1"/>
  <c r="M25" i="25" s="1"/>
  <c r="D26" i="25" s="1"/>
  <c r="I26" i="25" s="1"/>
  <c r="M26" i="25" s="1"/>
  <c r="D27" i="25" s="1"/>
  <c r="I27" i="25" s="1"/>
  <c r="M27" i="25" s="1"/>
  <c r="D28" i="25" s="1"/>
  <c r="I28" i="25" s="1"/>
  <c r="M28" i="25" s="1"/>
  <c r="D29" i="25" s="1"/>
  <c r="I29" i="25" s="1"/>
  <c r="M29" i="25" s="1"/>
  <c r="D30" i="25" s="1"/>
  <c r="I30" i="25" s="1"/>
  <c r="M30" i="25" s="1"/>
  <c r="D31" i="25" s="1"/>
  <c r="I31" i="25" s="1"/>
  <c r="M31" i="25" s="1"/>
  <c r="D32" i="25" s="1"/>
  <c r="I32" i="25" s="1"/>
  <c r="M32" i="25" s="1"/>
  <c r="D33" i="25" s="1"/>
  <c r="I33" i="25" s="1"/>
  <c r="M33" i="25" s="1"/>
  <c r="D34" i="25" s="1"/>
  <c r="I34" i="25" s="1"/>
  <c r="M34" i="25" s="1"/>
  <c r="D35" i="25" s="1"/>
  <c r="I35" i="25" s="1"/>
  <c r="M35" i="25" s="1"/>
  <c r="D36" i="25" s="1"/>
  <c r="I36" i="25" s="1"/>
  <c r="M36" i="25" s="1"/>
  <c r="D37" i="25" s="1"/>
  <c r="I37" i="25" s="1"/>
  <c r="M37" i="25" s="1"/>
  <c r="F6" i="59"/>
  <c r="AK8" i="17"/>
  <c r="AF94" i="17"/>
  <c r="M102" i="17" s="1"/>
  <c r="I47" i="18" s="1"/>
  <c r="AK7" i="17"/>
  <c r="J24" i="48"/>
  <c r="E7" i="25"/>
  <c r="J7" i="25" s="1"/>
  <c r="N7" i="25" s="1"/>
  <c r="D37" i="48"/>
  <c r="H37" i="48"/>
  <c r="J42" i="48"/>
  <c r="E6" i="48"/>
  <c r="I6" i="48"/>
  <c r="I7" i="48"/>
  <c r="K7" i="48" s="1"/>
  <c r="G15" i="48"/>
  <c r="K15" i="48" s="1"/>
  <c r="M43" i="48"/>
  <c r="F37" i="48"/>
  <c r="M6" i="48"/>
  <c r="J7" i="48"/>
  <c r="J15" i="48"/>
  <c r="M18" i="48"/>
  <c r="M24" i="48"/>
  <c r="J28" i="48"/>
  <c r="J43" i="48"/>
  <c r="I13" i="19"/>
  <c r="M15" i="19"/>
  <c r="P15" i="19" s="1"/>
  <c r="I16" i="19"/>
  <c r="I24" i="19"/>
  <c r="F13" i="18" s="1"/>
  <c r="E37" i="19"/>
  <c r="E7" i="56"/>
  <c r="F7" i="56" s="1"/>
  <c r="N10" i="19"/>
  <c r="O10" i="19" s="1"/>
  <c r="N11" i="19"/>
  <c r="O11" i="19" s="1"/>
  <c r="P30" i="19"/>
  <c r="E9" i="56"/>
  <c r="F9" i="56" s="1"/>
  <c r="E14" i="56"/>
  <c r="F14" i="56" s="1"/>
  <c r="N8" i="19"/>
  <c r="O8" i="19" s="1"/>
  <c r="N9" i="19"/>
  <c r="O9" i="19" s="1"/>
  <c r="G10" i="19"/>
  <c r="P10" i="19" s="1"/>
  <c r="G11" i="19"/>
  <c r="P11" i="19" s="1"/>
  <c r="M13" i="19"/>
  <c r="P13" i="19" s="1"/>
  <c r="I15" i="19"/>
  <c r="M16" i="19"/>
  <c r="E11" i="56"/>
  <c r="F11" i="56" s="1"/>
  <c r="Q14" i="59"/>
  <c r="G9" i="19"/>
  <c r="G6" i="19"/>
  <c r="G7" i="19"/>
  <c r="G5" i="19"/>
  <c r="N37" i="48"/>
  <c r="J44" i="48"/>
  <c r="N44" i="48"/>
  <c r="J25" i="48"/>
  <c r="F44" i="48"/>
  <c r="F46" i="48" s="1"/>
  <c r="J6" i="48"/>
  <c r="M7" i="48"/>
  <c r="G9" i="48"/>
  <c r="G17" i="48"/>
  <c r="E18" i="48"/>
  <c r="I18" i="48"/>
  <c r="K20" i="48"/>
  <c r="E24" i="48"/>
  <c r="I24" i="48"/>
  <c r="G25" i="48"/>
  <c r="G28" i="48"/>
  <c r="I30" i="48"/>
  <c r="K30" i="48" s="1"/>
  <c r="G42" i="48"/>
  <c r="G44" i="48" s="1"/>
  <c r="E43" i="48"/>
  <c r="I43" i="48"/>
  <c r="J9" i="48"/>
  <c r="J17" i="48"/>
  <c r="M28" i="48"/>
  <c r="M42" i="48"/>
  <c r="D44" i="48"/>
  <c r="D46" i="48" s="1"/>
  <c r="H44" i="48"/>
  <c r="I9" i="48"/>
  <c r="I17" i="48"/>
  <c r="I25" i="48"/>
  <c r="I28" i="48"/>
  <c r="I42" i="48"/>
  <c r="E10" i="14"/>
  <c r="I10" i="14"/>
  <c r="P9" i="14"/>
  <c r="D44" i="59"/>
  <c r="E41" i="59"/>
  <c r="O10" i="7"/>
  <c r="I10" i="7"/>
  <c r="J10" i="7" s="1"/>
  <c r="E10" i="7"/>
  <c r="P9" i="7"/>
  <c r="Q9" i="7" s="1"/>
  <c r="K10" i="59"/>
  <c r="Q10" i="59" s="1"/>
  <c r="I10" i="9"/>
  <c r="E10" i="9"/>
  <c r="E8" i="59"/>
  <c r="P9" i="9"/>
  <c r="D10" i="4"/>
  <c r="P9" i="4"/>
  <c r="Q9" i="4" s="1"/>
  <c r="E7" i="59"/>
  <c r="J9" i="4"/>
  <c r="P9" i="1"/>
  <c r="D10" i="1"/>
  <c r="J9" i="1"/>
  <c r="D37" i="59"/>
  <c r="E6" i="59"/>
  <c r="P14" i="19"/>
  <c r="N19" i="19"/>
  <c r="O19" i="19" s="1"/>
  <c r="F19" i="19"/>
  <c r="L5" i="19"/>
  <c r="L8" i="19"/>
  <c r="L9" i="19"/>
  <c r="L10" i="19"/>
  <c r="L11" i="19"/>
  <c r="N17" i="19"/>
  <c r="O17" i="19" s="1"/>
  <c r="F17" i="19"/>
  <c r="G19" i="19"/>
  <c r="M24" i="19"/>
  <c r="P24" i="19" s="1"/>
  <c r="G34" i="59"/>
  <c r="I31" i="19"/>
  <c r="J27" i="19"/>
  <c r="E8" i="56"/>
  <c r="F8" i="56" s="1"/>
  <c r="Q35" i="59"/>
  <c r="N18" i="19"/>
  <c r="O18" i="19" s="1"/>
  <c r="F18" i="19"/>
  <c r="N24" i="19"/>
  <c r="O24" i="19" s="1"/>
  <c r="F24" i="19"/>
  <c r="E13" i="18" s="1"/>
  <c r="M13" i="18" s="1"/>
  <c r="G18" i="19"/>
  <c r="M5" i="19"/>
  <c r="M7" i="19"/>
  <c r="I8" i="19"/>
  <c r="I9" i="19"/>
  <c r="M9" i="19"/>
  <c r="I10" i="19"/>
  <c r="I11" i="19"/>
  <c r="N12" i="19"/>
  <c r="O12" i="19" s="1"/>
  <c r="N13" i="19"/>
  <c r="O13" i="19" s="1"/>
  <c r="N14" i="19"/>
  <c r="O14" i="19" s="1"/>
  <c r="N15" i="19"/>
  <c r="O15" i="19" s="1"/>
  <c r="N16" i="19"/>
  <c r="O16" i="19" s="1"/>
  <c r="F16" i="19"/>
  <c r="G17" i="19"/>
  <c r="M17" i="19"/>
  <c r="M18" i="19"/>
  <c r="M19" i="19"/>
  <c r="E22" i="19"/>
  <c r="E25" i="19" s="1"/>
  <c r="E32" i="19" s="1"/>
  <c r="L27" i="19"/>
  <c r="F36" i="19"/>
  <c r="E18" i="18" s="1"/>
  <c r="F5" i="19"/>
  <c r="F6" i="19"/>
  <c r="F7" i="19"/>
  <c r="F8" i="19"/>
  <c r="F9" i="19"/>
  <c r="J9" i="19"/>
  <c r="P9" i="19" s="1"/>
  <c r="F10" i="19"/>
  <c r="F11" i="19"/>
  <c r="P16" i="19"/>
  <c r="G36" i="59"/>
  <c r="J28" i="19"/>
  <c r="N35" i="19"/>
  <c r="F35" i="19"/>
  <c r="G36" i="19"/>
  <c r="G37" i="19" s="1"/>
  <c r="J20" i="19"/>
  <c r="P20" i="19" s="1"/>
  <c r="J37" i="26" l="1"/>
  <c r="N37" i="26" s="1"/>
  <c r="O108" i="17"/>
  <c r="BB78" i="17"/>
  <c r="BB94" i="17" s="1"/>
  <c r="S13" i="60"/>
  <c r="L7" i="19"/>
  <c r="AI94" i="17"/>
  <c r="P102" i="17" s="1"/>
  <c r="N7" i="19"/>
  <c r="O7" i="19" s="1"/>
  <c r="E6" i="56"/>
  <c r="F6" i="56" s="1"/>
  <c r="P13" i="60"/>
  <c r="N6" i="19"/>
  <c r="O6" i="19" s="1"/>
  <c r="L22" i="19"/>
  <c r="I44" i="48"/>
  <c r="K43" i="48"/>
  <c r="E37" i="48"/>
  <c r="H46" i="48"/>
  <c r="E10" i="56"/>
  <c r="F10" i="56" s="1"/>
  <c r="J7" i="19"/>
  <c r="P7" i="19" s="1"/>
  <c r="I7" i="19"/>
  <c r="G13" i="60"/>
  <c r="Q13" i="60" s="1"/>
  <c r="AT94" i="17"/>
  <c r="G35" i="60" s="1"/>
  <c r="I35" i="60" s="1"/>
  <c r="Q35" i="60" s="1"/>
  <c r="F10" i="18"/>
  <c r="F49" i="18"/>
  <c r="G10" i="18"/>
  <c r="H104" i="17"/>
  <c r="B33" i="55"/>
  <c r="C33" i="55" s="1"/>
  <c r="F46" i="60"/>
  <c r="H42" i="60"/>
  <c r="S7" i="60"/>
  <c r="S42" i="60" s="1"/>
  <c r="P7" i="60"/>
  <c r="M22" i="19"/>
  <c r="K22" i="19"/>
  <c r="K25" i="19" s="1"/>
  <c r="D15" i="55" s="1"/>
  <c r="D19" i="55" s="1"/>
  <c r="R6" i="60"/>
  <c r="R42" i="60" s="1"/>
  <c r="G6" i="60"/>
  <c r="F42" i="60"/>
  <c r="P6" i="60"/>
  <c r="I33" i="59"/>
  <c r="Q33" i="59" s="1"/>
  <c r="K45" i="18"/>
  <c r="K58" i="18" s="1"/>
  <c r="M44" i="48"/>
  <c r="I48" i="19"/>
  <c r="J35" i="19"/>
  <c r="P35" i="19" s="1"/>
  <c r="F42" i="59"/>
  <c r="H38" i="25"/>
  <c r="K49" i="19"/>
  <c r="L39" i="19" s="1"/>
  <c r="I36" i="19"/>
  <c r="F18" i="18" s="1"/>
  <c r="J36" i="19"/>
  <c r="J37" i="19" s="1"/>
  <c r="K50" i="1"/>
  <c r="E8" i="26"/>
  <c r="H7" i="26"/>
  <c r="H38" i="26" s="1"/>
  <c r="H40" i="15"/>
  <c r="M40" i="15"/>
  <c r="L7" i="26"/>
  <c r="L38" i="26" s="1"/>
  <c r="E21" i="56"/>
  <c r="F21" i="56" s="1"/>
  <c r="F25" i="56" s="1"/>
  <c r="F26" i="56" s="1"/>
  <c r="F27" i="56" s="1"/>
  <c r="K45" i="1"/>
  <c r="K48" i="1" s="1"/>
  <c r="H48" i="19" s="1"/>
  <c r="K50" i="62"/>
  <c r="K50" i="61"/>
  <c r="H37" i="59"/>
  <c r="S6" i="59"/>
  <c r="S37" i="59" s="1"/>
  <c r="I6" i="59"/>
  <c r="O6" i="59" s="1"/>
  <c r="O37" i="59" s="1"/>
  <c r="H102" i="17"/>
  <c r="M108" i="17"/>
  <c r="I58" i="18"/>
  <c r="G18" i="18"/>
  <c r="L37" i="19"/>
  <c r="F47" i="18" s="1"/>
  <c r="M36" i="19"/>
  <c r="M37" i="19" s="1"/>
  <c r="K37" i="19"/>
  <c r="H44" i="59"/>
  <c r="I41" i="59"/>
  <c r="S41" i="59"/>
  <c r="S44" i="59" s="1"/>
  <c r="N36" i="19"/>
  <c r="O36" i="19" s="1"/>
  <c r="M41" i="59"/>
  <c r="I5" i="19"/>
  <c r="J5" i="19"/>
  <c r="P5" i="19" s="1"/>
  <c r="H22" i="19"/>
  <c r="H25" i="19" s="1"/>
  <c r="B15" i="55" s="1"/>
  <c r="N5" i="19"/>
  <c r="O5" i="19" s="1"/>
  <c r="R7" i="59"/>
  <c r="G7" i="59"/>
  <c r="M7" i="59" s="1"/>
  <c r="P7" i="59"/>
  <c r="K45" i="61"/>
  <c r="K45" i="62"/>
  <c r="R6" i="59"/>
  <c r="G6" i="59"/>
  <c r="M6" i="59" s="1"/>
  <c r="F37" i="59"/>
  <c r="P6" i="59"/>
  <c r="AK94" i="17"/>
  <c r="P108" i="17"/>
  <c r="L47" i="18"/>
  <c r="L58" i="18" s="1"/>
  <c r="K25" i="48"/>
  <c r="M37" i="48"/>
  <c r="K24" i="48"/>
  <c r="K6" i="48"/>
  <c r="D46" i="59"/>
  <c r="K17" i="48"/>
  <c r="I37" i="48"/>
  <c r="I46" i="48" s="1"/>
  <c r="G37" i="48"/>
  <c r="G46" i="48" s="1"/>
  <c r="H38" i="19"/>
  <c r="P6" i="19"/>
  <c r="K18" i="48"/>
  <c r="J37" i="48"/>
  <c r="J46" i="48" s="1"/>
  <c r="E44" i="48"/>
  <c r="E46" i="48" s="1"/>
  <c r="K9" i="48"/>
  <c r="K28" i="48"/>
  <c r="K42" i="48"/>
  <c r="K44" i="48" s="1"/>
  <c r="O10" i="14"/>
  <c r="J10" i="14"/>
  <c r="J8" i="26" s="1"/>
  <c r="N8" i="26" s="1"/>
  <c r="E44" i="59"/>
  <c r="K41" i="59"/>
  <c r="K44" i="59" s="1"/>
  <c r="D11" i="7"/>
  <c r="P10" i="7"/>
  <c r="K8" i="59"/>
  <c r="Q8" i="59" s="1"/>
  <c r="O10" i="9"/>
  <c r="J10" i="9"/>
  <c r="E10" i="4"/>
  <c r="I10" i="4"/>
  <c r="K7" i="59"/>
  <c r="E37" i="59"/>
  <c r="K6" i="59"/>
  <c r="I10" i="1"/>
  <c r="E10" i="1"/>
  <c r="I34" i="59"/>
  <c r="M27" i="19"/>
  <c r="L31" i="19"/>
  <c r="O35" i="19"/>
  <c r="Q36" i="59"/>
  <c r="I36" i="59"/>
  <c r="F22" i="19"/>
  <c r="P17" i="19"/>
  <c r="P18" i="19"/>
  <c r="F37" i="19"/>
  <c r="E22" i="18"/>
  <c r="M22" i="18" s="1"/>
  <c r="J31" i="19"/>
  <c r="P19" i="19"/>
  <c r="G22" i="19"/>
  <c r="I22" i="19" l="1"/>
  <c r="F16" i="56"/>
  <c r="G31" i="59"/>
  <c r="O22" i="19"/>
  <c r="O25" i="19" s="1"/>
  <c r="O32" i="19" s="1"/>
  <c r="E18" i="56"/>
  <c r="K32" i="19"/>
  <c r="J22" i="19"/>
  <c r="J25" i="19" s="1"/>
  <c r="C15" i="55" s="1"/>
  <c r="D49" i="18"/>
  <c r="I31" i="59"/>
  <c r="Q31" i="59" s="1"/>
  <c r="M10" i="18"/>
  <c r="B37" i="55"/>
  <c r="M18" i="18"/>
  <c r="D33" i="55"/>
  <c r="F33" i="55" s="1"/>
  <c r="F34" i="55" s="1"/>
  <c r="F35" i="55" s="1"/>
  <c r="F36" i="55" s="1"/>
  <c r="H46" i="60"/>
  <c r="G46" i="60"/>
  <c r="F49" i="60"/>
  <c r="R46" i="60"/>
  <c r="R49" i="60" s="1"/>
  <c r="I37" i="19"/>
  <c r="D47" i="18" s="1"/>
  <c r="P42" i="60"/>
  <c r="I42" i="60"/>
  <c r="Q7" i="60"/>
  <c r="B19" i="55"/>
  <c r="F15" i="55"/>
  <c r="F16" i="55" s="1"/>
  <c r="F17" i="55" s="1"/>
  <c r="F18" i="55" s="1"/>
  <c r="Q6" i="60"/>
  <c r="G42" i="60"/>
  <c r="P36" i="19"/>
  <c r="P37" i="19" s="1"/>
  <c r="K48" i="19"/>
  <c r="I39" i="19" s="1"/>
  <c r="C37" i="55"/>
  <c r="R42" i="59"/>
  <c r="R44" i="59" s="1"/>
  <c r="G42" i="59"/>
  <c r="P42" i="59"/>
  <c r="F44" i="59"/>
  <c r="P44" i="59" s="1"/>
  <c r="H46" i="59"/>
  <c r="K52" i="1"/>
  <c r="E27" i="56"/>
  <c r="N7" i="26"/>
  <c r="O37" i="19"/>
  <c r="N37" i="19"/>
  <c r="H32" i="19"/>
  <c r="R37" i="59"/>
  <c r="Q7" i="59"/>
  <c r="M37" i="59"/>
  <c r="P37" i="59"/>
  <c r="I44" i="59"/>
  <c r="O41" i="59"/>
  <c r="O44" i="59" s="1"/>
  <c r="O46" i="59" s="1"/>
  <c r="N22" i="19"/>
  <c r="N25" i="19" s="1"/>
  <c r="N32" i="19" s="1"/>
  <c r="K52" i="62"/>
  <c r="K48" i="62"/>
  <c r="K52" i="61"/>
  <c r="K48" i="61"/>
  <c r="G37" i="59"/>
  <c r="I37" i="59"/>
  <c r="E8" i="25"/>
  <c r="J8" i="25" s="1"/>
  <c r="N8" i="25" s="1"/>
  <c r="K37" i="48"/>
  <c r="K46" i="48" s="1"/>
  <c r="P10" i="14"/>
  <c r="D11" i="14"/>
  <c r="E46" i="59"/>
  <c r="E11" i="7"/>
  <c r="I11" i="7"/>
  <c r="J11" i="7" s="1"/>
  <c r="O11" i="7"/>
  <c r="D11" i="9"/>
  <c r="P10" i="9"/>
  <c r="K37" i="59"/>
  <c r="K46" i="59" s="1"/>
  <c r="O10" i="4"/>
  <c r="J10" i="4"/>
  <c r="O10" i="1"/>
  <c r="J10" i="1"/>
  <c r="Q6" i="59"/>
  <c r="L25" i="19"/>
  <c r="L32" i="19" s="1"/>
  <c r="L33" i="19"/>
  <c r="G6" i="18" s="1"/>
  <c r="I25" i="19"/>
  <c r="I32" i="19" s="1"/>
  <c r="I33" i="19"/>
  <c r="F6" i="18" s="1"/>
  <c r="G33" i="19"/>
  <c r="G25" i="19"/>
  <c r="G32" i="19" s="1"/>
  <c r="F17" i="56"/>
  <c r="F18" i="56" s="1"/>
  <c r="F28" i="56" s="1"/>
  <c r="P22" i="19"/>
  <c r="P25" i="19" s="1"/>
  <c r="P32" i="19" s="1"/>
  <c r="P33" i="19" s="1"/>
  <c r="F25" i="19"/>
  <c r="F32" i="19" s="1"/>
  <c r="F33" i="19"/>
  <c r="E6" i="18" s="1"/>
  <c r="M25" i="19"/>
  <c r="E15" i="55" s="1"/>
  <c r="E19" i="55" s="1"/>
  <c r="O33" i="19"/>
  <c r="M31" i="19"/>
  <c r="Q34" i="59"/>
  <c r="J33" i="19" l="1"/>
  <c r="E28" i="56"/>
  <c r="S46" i="60"/>
  <c r="S49" i="60" s="1"/>
  <c r="I46" i="60"/>
  <c r="I49" i="60" s="1"/>
  <c r="I51" i="60" s="1"/>
  <c r="H49" i="60"/>
  <c r="H51" i="60" s="1"/>
  <c r="D37" i="55"/>
  <c r="E33" i="55"/>
  <c r="P46" i="60"/>
  <c r="G49" i="60"/>
  <c r="G51" i="60" s="1"/>
  <c r="F51" i="60"/>
  <c r="Q42" i="60"/>
  <c r="C19" i="55"/>
  <c r="G15" i="55"/>
  <c r="G16" i="55" s="1"/>
  <c r="G17" i="55" s="1"/>
  <c r="G18" i="55" s="1"/>
  <c r="F46" i="59"/>
  <c r="M42" i="59"/>
  <c r="M44" i="59" s="1"/>
  <c r="M46" i="59" s="1"/>
  <c r="Q42" i="59"/>
  <c r="G44" i="59"/>
  <c r="G46" i="59" s="1"/>
  <c r="P46" i="59"/>
  <c r="Q41" i="59"/>
  <c r="I46" i="59"/>
  <c r="J32" i="19"/>
  <c r="M32" i="19"/>
  <c r="Q37" i="59"/>
  <c r="I11" i="14"/>
  <c r="E11" i="14"/>
  <c r="E9" i="26" s="1"/>
  <c r="D12" i="7"/>
  <c r="P11" i="7"/>
  <c r="E11" i="9"/>
  <c r="I11" i="9"/>
  <c r="P10" i="4"/>
  <c r="D11" i="4"/>
  <c r="D11" i="1"/>
  <c r="P10" i="1"/>
  <c r="M6" i="18"/>
  <c r="M37" i="18" s="1"/>
  <c r="E37" i="18"/>
  <c r="M33" i="19"/>
  <c r="G37" i="18"/>
  <c r="F45" i="18"/>
  <c r="F58" i="18" s="1"/>
  <c r="F37" i="18"/>
  <c r="D45" i="18"/>
  <c r="D58" i="18" s="1"/>
  <c r="Q46" i="60" l="1"/>
  <c r="Q49" i="60" s="1"/>
  <c r="Q51" i="60" s="1"/>
  <c r="P49" i="60"/>
  <c r="P51" i="60" s="1"/>
  <c r="E37" i="55"/>
  <c r="G33" i="55"/>
  <c r="G34" i="55" s="1"/>
  <c r="G35" i="55" s="1"/>
  <c r="G36" i="55" s="1"/>
  <c r="Q44" i="59"/>
  <c r="Q46" i="59" s="1"/>
  <c r="O11" i="14"/>
  <c r="J11" i="14"/>
  <c r="J9" i="26" s="1"/>
  <c r="N9" i="26" s="1"/>
  <c r="O12" i="7"/>
  <c r="I12" i="7"/>
  <c r="J12" i="7" s="1"/>
  <c r="E12" i="7"/>
  <c r="O11" i="9"/>
  <c r="J11" i="9"/>
  <c r="I11" i="4"/>
  <c r="E11" i="4"/>
  <c r="E11" i="1"/>
  <c r="E9" i="25" s="1"/>
  <c r="J9" i="25" s="1"/>
  <c r="N9" i="25" s="1"/>
  <c r="I11" i="1"/>
  <c r="D12" i="14" l="1"/>
  <c r="P11" i="14"/>
  <c r="D13" i="7"/>
  <c r="P12" i="7"/>
  <c r="D12" i="9"/>
  <c r="P11" i="9"/>
  <c r="O11" i="4"/>
  <c r="J11" i="4"/>
  <c r="O11" i="1"/>
  <c r="J11" i="1"/>
  <c r="E12" i="14" l="1"/>
  <c r="E10" i="26" s="1"/>
  <c r="I12" i="14"/>
  <c r="E13" i="7"/>
  <c r="I13" i="7"/>
  <c r="J13" i="7" s="1"/>
  <c r="O13" i="7"/>
  <c r="I12" i="9"/>
  <c r="E12" i="9"/>
  <c r="D12" i="4"/>
  <c r="P11" i="4"/>
  <c r="P11" i="1"/>
  <c r="D12" i="1"/>
  <c r="O12" i="14" l="1"/>
  <c r="J12" i="14"/>
  <c r="J10" i="26" s="1"/>
  <c r="N10" i="26" s="1"/>
  <c r="D14" i="7"/>
  <c r="P13" i="7"/>
  <c r="O12" i="9"/>
  <c r="J12" i="9"/>
  <c r="E12" i="4"/>
  <c r="I12" i="4"/>
  <c r="I12" i="1"/>
  <c r="E12" i="1"/>
  <c r="E10" i="25" l="1"/>
  <c r="J10" i="25" s="1"/>
  <c r="N10" i="25" s="1"/>
  <c r="P12" i="14"/>
  <c r="D13" i="14"/>
  <c r="O14" i="7"/>
  <c r="I14" i="7"/>
  <c r="J14" i="7" s="1"/>
  <c r="E14" i="7"/>
  <c r="D13" i="9"/>
  <c r="P12" i="9"/>
  <c r="O12" i="4"/>
  <c r="J12" i="4"/>
  <c r="O12" i="1"/>
  <c r="J12" i="1"/>
  <c r="I13" i="14" l="1"/>
  <c r="E13" i="14"/>
  <c r="E11" i="26" s="1"/>
  <c r="D15" i="7"/>
  <c r="P14" i="7"/>
  <c r="E13" i="9"/>
  <c r="I13" i="9"/>
  <c r="P12" i="4"/>
  <c r="D13" i="4"/>
  <c r="D13" i="1"/>
  <c r="P12" i="1"/>
  <c r="O13" i="14" l="1"/>
  <c r="J13" i="14"/>
  <c r="J11" i="26" s="1"/>
  <c r="N11" i="26" s="1"/>
  <c r="E15" i="7"/>
  <c r="I15" i="7"/>
  <c r="J15" i="7" s="1"/>
  <c r="O15" i="7"/>
  <c r="O13" i="9"/>
  <c r="J13" i="9"/>
  <c r="I13" i="4"/>
  <c r="E13" i="4"/>
  <c r="E13" i="1"/>
  <c r="I13" i="1"/>
  <c r="E11" i="25" l="1"/>
  <c r="J11" i="25" s="1"/>
  <c r="N11" i="25" s="1"/>
  <c r="D14" i="14"/>
  <c r="P13" i="14"/>
  <c r="D16" i="7"/>
  <c r="P15" i="7"/>
  <c r="D14" i="9"/>
  <c r="P13" i="9"/>
  <c r="O13" i="4"/>
  <c r="J13" i="4"/>
  <c r="O13" i="1"/>
  <c r="J13" i="1"/>
  <c r="E14" i="14" l="1"/>
  <c r="E12" i="26" s="1"/>
  <c r="I14" i="14"/>
  <c r="O16" i="7"/>
  <c r="I16" i="7"/>
  <c r="J16" i="7" s="1"/>
  <c r="E16" i="7"/>
  <c r="I14" i="9"/>
  <c r="E14" i="9"/>
  <c r="D14" i="4"/>
  <c r="P13" i="4"/>
  <c r="P13" i="1"/>
  <c r="D14" i="1"/>
  <c r="O14" i="14" l="1"/>
  <c r="J14" i="14"/>
  <c r="J12" i="26" s="1"/>
  <c r="N12" i="26" s="1"/>
  <c r="D17" i="7"/>
  <c r="P16" i="7"/>
  <c r="O14" i="9"/>
  <c r="J14" i="9"/>
  <c r="E14" i="4"/>
  <c r="I14" i="4"/>
  <c r="I14" i="1"/>
  <c r="E14" i="1"/>
  <c r="E12" i="25" l="1"/>
  <c r="J12" i="25" s="1"/>
  <c r="N12" i="25" s="1"/>
  <c r="D15" i="14"/>
  <c r="P14" i="14"/>
  <c r="E17" i="7"/>
  <c r="I17" i="7"/>
  <c r="J17" i="7" s="1"/>
  <c r="O17" i="7"/>
  <c r="D15" i="9"/>
  <c r="P14" i="9"/>
  <c r="O14" i="4"/>
  <c r="J14" i="4"/>
  <c r="O14" i="1"/>
  <c r="J14" i="1"/>
  <c r="E15" i="14" l="1"/>
  <c r="E13" i="26" s="1"/>
  <c r="I15" i="14"/>
  <c r="D18" i="7"/>
  <c r="P17" i="7"/>
  <c r="E15" i="9"/>
  <c r="I15" i="9"/>
  <c r="P14" i="4"/>
  <c r="D15" i="4"/>
  <c r="D15" i="1"/>
  <c r="P14" i="1"/>
  <c r="O15" i="14" l="1"/>
  <c r="J15" i="14"/>
  <c r="J13" i="26" s="1"/>
  <c r="N13" i="26" s="1"/>
  <c r="O18" i="7"/>
  <c r="I18" i="7"/>
  <c r="J18" i="7" s="1"/>
  <c r="E18" i="7"/>
  <c r="O15" i="9"/>
  <c r="J15" i="9"/>
  <c r="I15" i="4"/>
  <c r="E15" i="4"/>
  <c r="E15" i="1"/>
  <c r="I15" i="1"/>
  <c r="E13" i="25" l="1"/>
  <c r="J13" i="25" s="1"/>
  <c r="N13" i="25" s="1"/>
  <c r="D16" i="14"/>
  <c r="P15" i="14"/>
  <c r="D19" i="7"/>
  <c r="P18" i="7"/>
  <c r="D16" i="9"/>
  <c r="P15" i="9"/>
  <c r="O15" i="4"/>
  <c r="J15" i="4"/>
  <c r="O15" i="1"/>
  <c r="J15" i="1"/>
  <c r="E16" i="14" l="1"/>
  <c r="E14" i="26" s="1"/>
  <c r="I16" i="14"/>
  <c r="E19" i="7"/>
  <c r="I19" i="7"/>
  <c r="J19" i="7" s="1"/>
  <c r="O19" i="7"/>
  <c r="I16" i="9"/>
  <c r="E16" i="9"/>
  <c r="D16" i="4"/>
  <c r="P15" i="4"/>
  <c r="P15" i="1"/>
  <c r="D16" i="1"/>
  <c r="O16" i="14" l="1"/>
  <c r="J16" i="14"/>
  <c r="J14" i="26" s="1"/>
  <c r="N14" i="26" s="1"/>
  <c r="D20" i="7"/>
  <c r="P19" i="7"/>
  <c r="O16" i="9"/>
  <c r="J16" i="9"/>
  <c r="E16" i="4"/>
  <c r="I16" i="4"/>
  <c r="I16" i="1"/>
  <c r="E16" i="1"/>
  <c r="E14" i="25" l="1"/>
  <c r="J14" i="25" s="1"/>
  <c r="N14" i="25" s="1"/>
  <c r="D17" i="14"/>
  <c r="P16" i="14"/>
  <c r="O20" i="7"/>
  <c r="I20" i="7"/>
  <c r="J20" i="7" s="1"/>
  <c r="E20" i="7"/>
  <c r="D17" i="9"/>
  <c r="P16" i="9"/>
  <c r="O16" i="4"/>
  <c r="J16" i="4"/>
  <c r="O16" i="1"/>
  <c r="J16" i="1"/>
  <c r="E17" i="14" l="1"/>
  <c r="E15" i="26" s="1"/>
  <c r="I17" i="14"/>
  <c r="D21" i="7"/>
  <c r="P20" i="7"/>
  <c r="E17" i="9"/>
  <c r="I17" i="9"/>
  <c r="P16" i="4"/>
  <c r="D17" i="4"/>
  <c r="P16" i="1"/>
  <c r="D17" i="1"/>
  <c r="O17" i="14" l="1"/>
  <c r="J17" i="14"/>
  <c r="J15" i="26" s="1"/>
  <c r="N15" i="26" s="1"/>
  <c r="E21" i="7"/>
  <c r="I21" i="7"/>
  <c r="J21" i="7" s="1"/>
  <c r="O21" i="7"/>
  <c r="O17" i="9"/>
  <c r="J17" i="9"/>
  <c r="I17" i="4"/>
  <c r="E17" i="4"/>
  <c r="I17" i="1"/>
  <c r="E17" i="1"/>
  <c r="E15" i="25" l="1"/>
  <c r="J15" i="25" s="1"/>
  <c r="N15" i="25" s="1"/>
  <c r="D18" i="14"/>
  <c r="P17" i="14"/>
  <c r="D22" i="7"/>
  <c r="P21" i="7"/>
  <c r="D18" i="9"/>
  <c r="P17" i="9"/>
  <c r="O17" i="4"/>
  <c r="J17" i="4"/>
  <c r="O17" i="1"/>
  <c r="J17" i="1"/>
  <c r="I18" i="14" l="1"/>
  <c r="E18" i="14"/>
  <c r="E16" i="26" s="1"/>
  <c r="O22" i="7"/>
  <c r="I22" i="7"/>
  <c r="J22" i="7" s="1"/>
  <c r="E22" i="7"/>
  <c r="I18" i="9"/>
  <c r="E18" i="9"/>
  <c r="D18" i="4"/>
  <c r="P17" i="4"/>
  <c r="D18" i="1"/>
  <c r="P17" i="1"/>
  <c r="O18" i="14" l="1"/>
  <c r="J18" i="14"/>
  <c r="J16" i="26" s="1"/>
  <c r="N16" i="26" s="1"/>
  <c r="D23" i="7"/>
  <c r="P22" i="7"/>
  <c r="O18" i="9"/>
  <c r="J18" i="9"/>
  <c r="E18" i="4"/>
  <c r="I18" i="4"/>
  <c r="I18" i="1"/>
  <c r="E18" i="1"/>
  <c r="E16" i="25" l="1"/>
  <c r="J16" i="25" s="1"/>
  <c r="N16" i="25" s="1"/>
  <c r="D19" i="14"/>
  <c r="P18" i="14"/>
  <c r="E23" i="7"/>
  <c r="I23" i="7"/>
  <c r="J23" i="7" s="1"/>
  <c r="O23" i="7"/>
  <c r="D19" i="9"/>
  <c r="P18" i="9"/>
  <c r="O18" i="4"/>
  <c r="J18" i="4"/>
  <c r="J18" i="1"/>
  <c r="O18" i="1"/>
  <c r="E19" i="14" l="1"/>
  <c r="E17" i="26" s="1"/>
  <c r="I19" i="14"/>
  <c r="D24" i="7"/>
  <c r="P23" i="7"/>
  <c r="E19" i="9"/>
  <c r="I19" i="9"/>
  <c r="P18" i="4"/>
  <c r="D19" i="4"/>
  <c r="D19" i="1"/>
  <c r="P18" i="1"/>
  <c r="O19" i="14" l="1"/>
  <c r="J19" i="14"/>
  <c r="J17" i="26" s="1"/>
  <c r="N17" i="26" s="1"/>
  <c r="O24" i="7"/>
  <c r="I24" i="7"/>
  <c r="J24" i="7" s="1"/>
  <c r="E24" i="7"/>
  <c r="O19" i="9"/>
  <c r="J19" i="9"/>
  <c r="I19" i="4"/>
  <c r="E19" i="4"/>
  <c r="E19" i="1"/>
  <c r="I19" i="1"/>
  <c r="E17" i="25" l="1"/>
  <c r="J17" i="25" s="1"/>
  <c r="N17" i="25" s="1"/>
  <c r="D20" i="14"/>
  <c r="P19" i="14"/>
  <c r="D25" i="7"/>
  <c r="P24" i="7"/>
  <c r="D20" i="9"/>
  <c r="P19" i="9"/>
  <c r="O19" i="4"/>
  <c r="J19" i="4"/>
  <c r="O19" i="1"/>
  <c r="J19" i="1"/>
  <c r="I20" i="14" l="1"/>
  <c r="E20" i="14"/>
  <c r="E18" i="26" s="1"/>
  <c r="E25" i="7"/>
  <c r="I25" i="7"/>
  <c r="J25" i="7" s="1"/>
  <c r="O25" i="7"/>
  <c r="I20" i="9"/>
  <c r="E20" i="9"/>
  <c r="D20" i="4"/>
  <c r="P19" i="4"/>
  <c r="P19" i="1"/>
  <c r="D20" i="1"/>
  <c r="O20" i="14" l="1"/>
  <c r="J20" i="14"/>
  <c r="J18" i="26" s="1"/>
  <c r="N18" i="26" s="1"/>
  <c r="D26" i="7"/>
  <c r="P25" i="7"/>
  <c r="O20" i="9"/>
  <c r="J20" i="9"/>
  <c r="E20" i="4"/>
  <c r="I20" i="4"/>
  <c r="I20" i="1"/>
  <c r="E20" i="1"/>
  <c r="E18" i="25" l="1"/>
  <c r="J18" i="25" s="1"/>
  <c r="N18" i="25" s="1"/>
  <c r="D21" i="14"/>
  <c r="P20" i="14"/>
  <c r="O26" i="7"/>
  <c r="I26" i="7"/>
  <c r="J26" i="7" s="1"/>
  <c r="E26" i="7"/>
  <c r="D21" i="9"/>
  <c r="P20" i="9"/>
  <c r="O20" i="4"/>
  <c r="J20" i="4"/>
  <c r="O20" i="1"/>
  <c r="J20" i="1"/>
  <c r="E21" i="14" l="1"/>
  <c r="E19" i="26" s="1"/>
  <c r="I21" i="14"/>
  <c r="P26" i="7"/>
  <c r="D27" i="7"/>
  <c r="E21" i="9"/>
  <c r="I21" i="9"/>
  <c r="P20" i="4"/>
  <c r="D21" i="4"/>
  <c r="D21" i="1"/>
  <c r="P20" i="1"/>
  <c r="O21" i="14" l="1"/>
  <c r="J21" i="14"/>
  <c r="J19" i="26" s="1"/>
  <c r="N19" i="26" s="1"/>
  <c r="E27" i="7"/>
  <c r="O27" i="7"/>
  <c r="I27" i="7"/>
  <c r="J27" i="7" s="1"/>
  <c r="O21" i="9"/>
  <c r="J21" i="9"/>
  <c r="I21" i="4"/>
  <c r="E21" i="4"/>
  <c r="E21" i="1"/>
  <c r="I21" i="1"/>
  <c r="E19" i="25" l="1"/>
  <c r="J19" i="25" s="1"/>
  <c r="N19" i="25" s="1"/>
  <c r="D22" i="14"/>
  <c r="P21" i="14"/>
  <c r="D28" i="7"/>
  <c r="P27" i="7"/>
  <c r="D22" i="9"/>
  <c r="P21" i="9"/>
  <c r="O21" i="4"/>
  <c r="J21" i="4"/>
  <c r="O21" i="1"/>
  <c r="J21" i="1"/>
  <c r="I22" i="14" l="1"/>
  <c r="E22" i="14"/>
  <c r="E20" i="26" s="1"/>
  <c r="O28" i="7"/>
  <c r="I28" i="7"/>
  <c r="J28" i="7" s="1"/>
  <c r="E28" i="7"/>
  <c r="I22" i="9"/>
  <c r="E22" i="9"/>
  <c r="D22" i="4"/>
  <c r="P21" i="4"/>
  <c r="P21" i="1"/>
  <c r="D22" i="1"/>
  <c r="O22" i="14" l="1"/>
  <c r="J22" i="14"/>
  <c r="J20" i="26" s="1"/>
  <c r="N20" i="26" s="1"/>
  <c r="D29" i="7"/>
  <c r="P28" i="7"/>
  <c r="O22" i="9"/>
  <c r="J22" i="9"/>
  <c r="E22" i="4"/>
  <c r="I22" i="4"/>
  <c r="I22" i="1"/>
  <c r="E22" i="1"/>
  <c r="E20" i="25" l="1"/>
  <c r="J20" i="25" s="1"/>
  <c r="N20" i="25" s="1"/>
  <c r="D23" i="14"/>
  <c r="P22" i="14"/>
  <c r="E29" i="7"/>
  <c r="I29" i="7"/>
  <c r="J29" i="7" s="1"/>
  <c r="O29" i="7"/>
  <c r="D23" i="9"/>
  <c r="P22" i="9"/>
  <c r="O22" i="4"/>
  <c r="J22" i="4"/>
  <c r="O22" i="1"/>
  <c r="J22" i="1"/>
  <c r="E23" i="14" l="1"/>
  <c r="E21" i="26" s="1"/>
  <c r="I23" i="14"/>
  <c r="D30" i="7"/>
  <c r="P29" i="7"/>
  <c r="E23" i="9"/>
  <c r="I23" i="9"/>
  <c r="P22" i="4"/>
  <c r="D23" i="4"/>
  <c r="D23" i="1"/>
  <c r="P22" i="1"/>
  <c r="O23" i="14" l="1"/>
  <c r="J23" i="14"/>
  <c r="J21" i="26" s="1"/>
  <c r="N21" i="26" s="1"/>
  <c r="O30" i="7"/>
  <c r="I30" i="7"/>
  <c r="J30" i="7" s="1"/>
  <c r="E30" i="7"/>
  <c r="O23" i="9"/>
  <c r="J23" i="9"/>
  <c r="I23" i="4"/>
  <c r="E23" i="4"/>
  <c r="E23" i="1"/>
  <c r="I23" i="1"/>
  <c r="E21" i="25" l="1"/>
  <c r="J21" i="25" s="1"/>
  <c r="N21" i="25" s="1"/>
  <c r="D24" i="14"/>
  <c r="P23" i="14"/>
  <c r="D31" i="7"/>
  <c r="P30" i="7"/>
  <c r="D24" i="9"/>
  <c r="P23" i="9"/>
  <c r="O23" i="4"/>
  <c r="J23" i="4"/>
  <c r="O23" i="1"/>
  <c r="J23" i="1"/>
  <c r="I24" i="14" l="1"/>
  <c r="E24" i="14"/>
  <c r="E22" i="26" s="1"/>
  <c r="E31" i="7"/>
  <c r="I31" i="7"/>
  <c r="J31" i="7" s="1"/>
  <c r="O31" i="7"/>
  <c r="I24" i="9"/>
  <c r="E24" i="9"/>
  <c r="D24" i="4"/>
  <c r="P23" i="4"/>
  <c r="P23" i="1"/>
  <c r="D24" i="1"/>
  <c r="O24" i="14" l="1"/>
  <c r="J24" i="14"/>
  <c r="J22" i="26" s="1"/>
  <c r="N22" i="26" s="1"/>
  <c r="D32" i="7"/>
  <c r="P31" i="7"/>
  <c r="O24" i="9"/>
  <c r="J24" i="9"/>
  <c r="E24" i="4"/>
  <c r="I24" i="4"/>
  <c r="I24" i="1"/>
  <c r="E24" i="1"/>
  <c r="E22" i="25" l="1"/>
  <c r="J22" i="25" s="1"/>
  <c r="N22" i="25" s="1"/>
  <c r="D25" i="14"/>
  <c r="P24" i="14"/>
  <c r="O32" i="7"/>
  <c r="I32" i="7"/>
  <c r="J32" i="7" s="1"/>
  <c r="E32" i="7"/>
  <c r="D25" i="9"/>
  <c r="P24" i="9"/>
  <c r="O24" i="4"/>
  <c r="J24" i="4"/>
  <c r="O24" i="1"/>
  <c r="J24" i="1"/>
  <c r="E25" i="14" l="1"/>
  <c r="E23" i="26" s="1"/>
  <c r="I25" i="14"/>
  <c r="D33" i="7"/>
  <c r="P32" i="7"/>
  <c r="E25" i="9"/>
  <c r="I25" i="9"/>
  <c r="P24" i="4"/>
  <c r="D25" i="4"/>
  <c r="D25" i="1"/>
  <c r="P24" i="1"/>
  <c r="O25" i="14" l="1"/>
  <c r="J25" i="14"/>
  <c r="J23" i="26" s="1"/>
  <c r="N23" i="26" s="1"/>
  <c r="E33" i="7"/>
  <c r="I33" i="7"/>
  <c r="J33" i="7" s="1"/>
  <c r="O33" i="7"/>
  <c r="O25" i="9"/>
  <c r="J25" i="9"/>
  <c r="I25" i="4"/>
  <c r="E25" i="4"/>
  <c r="E25" i="1"/>
  <c r="I25" i="1"/>
  <c r="E23" i="25" l="1"/>
  <c r="J23" i="25" s="1"/>
  <c r="N23" i="25" s="1"/>
  <c r="D26" i="14"/>
  <c r="P25" i="14"/>
  <c r="D34" i="7"/>
  <c r="P33" i="7"/>
  <c r="D26" i="9"/>
  <c r="P25" i="9"/>
  <c r="O25" i="4"/>
  <c r="J25" i="4"/>
  <c r="O25" i="1"/>
  <c r="J25" i="1"/>
  <c r="I26" i="14" l="1"/>
  <c r="E26" i="14"/>
  <c r="E24" i="26" s="1"/>
  <c r="O34" i="7"/>
  <c r="I34" i="7"/>
  <c r="J34" i="7" s="1"/>
  <c r="E34" i="7"/>
  <c r="I26" i="9"/>
  <c r="E26" i="9"/>
  <c r="D26" i="4"/>
  <c r="P25" i="4"/>
  <c r="P25" i="1"/>
  <c r="D26" i="1"/>
  <c r="O26" i="14" l="1"/>
  <c r="J26" i="14"/>
  <c r="J24" i="26" s="1"/>
  <c r="N24" i="26" s="1"/>
  <c r="P34" i="7"/>
  <c r="D35" i="7"/>
  <c r="O26" i="9"/>
  <c r="J26" i="9"/>
  <c r="E26" i="4"/>
  <c r="I26" i="4"/>
  <c r="E26" i="1"/>
  <c r="I26" i="1"/>
  <c r="E24" i="25" l="1"/>
  <c r="J24" i="25" s="1"/>
  <c r="N24" i="25" s="1"/>
  <c r="D27" i="14"/>
  <c r="P26" i="14"/>
  <c r="E35" i="7"/>
  <c r="I35" i="7"/>
  <c r="J35" i="7" s="1"/>
  <c r="O35" i="7"/>
  <c r="D27" i="9"/>
  <c r="P26" i="9"/>
  <c r="O26" i="4"/>
  <c r="J26" i="4"/>
  <c r="O26" i="1"/>
  <c r="J26" i="1"/>
  <c r="E27" i="14" l="1"/>
  <c r="E25" i="26" s="1"/>
  <c r="I27" i="14"/>
  <c r="D36" i="7"/>
  <c r="P35" i="7"/>
  <c r="E27" i="9"/>
  <c r="I27" i="9"/>
  <c r="P26" i="4"/>
  <c r="D27" i="4"/>
  <c r="P26" i="1"/>
  <c r="D27" i="1"/>
  <c r="O27" i="14" l="1"/>
  <c r="J27" i="14"/>
  <c r="J25" i="26" s="1"/>
  <c r="N25" i="26" s="1"/>
  <c r="O36" i="7"/>
  <c r="I36" i="7"/>
  <c r="J36" i="7" s="1"/>
  <c r="E36" i="7"/>
  <c r="O27" i="9"/>
  <c r="J27" i="9"/>
  <c r="I27" i="4"/>
  <c r="E27" i="4"/>
  <c r="I27" i="1"/>
  <c r="E27" i="1"/>
  <c r="E25" i="25" l="1"/>
  <c r="J25" i="25" s="1"/>
  <c r="N25" i="25" s="1"/>
  <c r="D28" i="14"/>
  <c r="P27" i="14"/>
  <c r="D37" i="7"/>
  <c r="P36" i="7"/>
  <c r="D28" i="9"/>
  <c r="P27" i="9"/>
  <c r="O27" i="4"/>
  <c r="J27" i="4"/>
  <c r="O27" i="1"/>
  <c r="J27" i="1"/>
  <c r="I28" i="14" l="1"/>
  <c r="E28" i="14"/>
  <c r="E26" i="26" s="1"/>
  <c r="E37" i="7"/>
  <c r="I37" i="7"/>
  <c r="J37" i="7" s="1"/>
  <c r="O37" i="7"/>
  <c r="I28" i="9"/>
  <c r="E28" i="9"/>
  <c r="D28" i="4"/>
  <c r="P27" i="4"/>
  <c r="D28" i="1"/>
  <c r="P27" i="1"/>
  <c r="O28" i="14" l="1"/>
  <c r="J28" i="14"/>
  <c r="J26" i="26" s="1"/>
  <c r="N26" i="26" s="1"/>
  <c r="D38" i="7"/>
  <c r="P37" i="7"/>
  <c r="O28" i="9"/>
  <c r="J28" i="9"/>
  <c r="E28" i="4"/>
  <c r="I28" i="4"/>
  <c r="I28" i="1"/>
  <c r="E28" i="1"/>
  <c r="E26" i="25" l="1"/>
  <c r="J26" i="25" s="1"/>
  <c r="N26" i="25" s="1"/>
  <c r="D29" i="14"/>
  <c r="P28" i="14"/>
  <c r="O38" i="7"/>
  <c r="I38" i="7"/>
  <c r="J38" i="7" s="1"/>
  <c r="E38" i="7"/>
  <c r="D29" i="9"/>
  <c r="P28" i="9"/>
  <c r="O28" i="4"/>
  <c r="J28" i="4"/>
  <c r="O28" i="1"/>
  <c r="J28" i="1"/>
  <c r="E29" i="14" l="1"/>
  <c r="E27" i="26" s="1"/>
  <c r="I29" i="14"/>
  <c r="P38" i="7"/>
  <c r="D39" i="7"/>
  <c r="E29" i="9"/>
  <c r="I29" i="9"/>
  <c r="P28" i="4"/>
  <c r="D29" i="4"/>
  <c r="D29" i="1"/>
  <c r="P28" i="1"/>
  <c r="O29" i="14" l="1"/>
  <c r="J29" i="14"/>
  <c r="J27" i="26" s="1"/>
  <c r="N27" i="26" s="1"/>
  <c r="E39" i="7"/>
  <c r="O39" i="7"/>
  <c r="P39" i="7" s="1"/>
  <c r="I39" i="7"/>
  <c r="J39" i="7" s="1"/>
  <c r="O29" i="9"/>
  <c r="J29" i="9"/>
  <c r="I29" i="4"/>
  <c r="E29" i="4"/>
  <c r="E29" i="1"/>
  <c r="I29" i="1"/>
  <c r="E27" i="25" l="1"/>
  <c r="J27" i="25" s="1"/>
  <c r="N27" i="25" s="1"/>
  <c r="E28" i="25" s="1"/>
  <c r="J28" i="25" s="1"/>
  <c r="N28" i="25" s="1"/>
  <c r="E29" i="25" s="1"/>
  <c r="J29" i="25" s="1"/>
  <c r="N29" i="25" s="1"/>
  <c r="E30" i="25" s="1"/>
  <c r="J30" i="25" s="1"/>
  <c r="N30" i="25" s="1"/>
  <c r="E31" i="25" s="1"/>
  <c r="J31" i="25" s="1"/>
  <c r="N31" i="25" s="1"/>
  <c r="E32" i="25" s="1"/>
  <c r="J32" i="25" s="1"/>
  <c r="N32" i="25" s="1"/>
  <c r="E33" i="25" s="1"/>
  <c r="J33" i="25" s="1"/>
  <c r="N33" i="25" s="1"/>
  <c r="E34" i="25" s="1"/>
  <c r="J34" i="25" s="1"/>
  <c r="N34" i="25" s="1"/>
  <c r="E35" i="25" s="1"/>
  <c r="J35" i="25" s="1"/>
  <c r="N35" i="25" s="1"/>
  <c r="E36" i="25" s="1"/>
  <c r="J36" i="25" s="1"/>
  <c r="N36" i="25" s="1"/>
  <c r="E37" i="25" s="1"/>
  <c r="J37" i="25" s="1"/>
  <c r="N37" i="25" s="1"/>
  <c r="D30" i="14"/>
  <c r="P29" i="14"/>
  <c r="D30" i="9"/>
  <c r="P29" i="9"/>
  <c r="O29" i="4"/>
  <c r="J29" i="4"/>
  <c r="O29" i="1"/>
  <c r="J29" i="1"/>
  <c r="I30" i="14" l="1"/>
  <c r="E30" i="14"/>
  <c r="E28" i="26" s="1"/>
  <c r="I30" i="9"/>
  <c r="E30" i="9"/>
  <c r="D30" i="4"/>
  <c r="P29" i="4"/>
  <c r="D30" i="1"/>
  <c r="P29" i="1"/>
  <c r="O30" i="14" l="1"/>
  <c r="J30" i="14"/>
  <c r="J28" i="26" s="1"/>
  <c r="N28" i="26" s="1"/>
  <c r="O30" i="9"/>
  <c r="J30" i="9"/>
  <c r="E30" i="4"/>
  <c r="I30" i="4"/>
  <c r="I30" i="1"/>
  <c r="E30" i="1"/>
  <c r="D31" i="14" l="1"/>
  <c r="P30" i="14"/>
  <c r="D31" i="9"/>
  <c r="P30" i="9"/>
  <c r="O30" i="4"/>
  <c r="J30" i="4"/>
  <c r="O30" i="1"/>
  <c r="J30" i="1"/>
  <c r="E31" i="14" l="1"/>
  <c r="E29" i="26" s="1"/>
  <c r="I31" i="14"/>
  <c r="E31" i="9"/>
  <c r="I31" i="9"/>
  <c r="P30" i="4"/>
  <c r="D31" i="4"/>
  <c r="D31" i="1"/>
  <c r="P30" i="1"/>
  <c r="O31" i="14" l="1"/>
  <c r="J31" i="14"/>
  <c r="J29" i="26" s="1"/>
  <c r="N29" i="26" s="1"/>
  <c r="O31" i="9"/>
  <c r="J31" i="9"/>
  <c r="I31" i="4"/>
  <c r="E31" i="4"/>
  <c r="E31" i="1"/>
  <c r="I31" i="1"/>
  <c r="D32" i="14" l="1"/>
  <c r="P31" i="14"/>
  <c r="D32" i="9"/>
  <c r="P31" i="9"/>
  <c r="O31" i="4"/>
  <c r="J31" i="4"/>
  <c r="O31" i="1"/>
  <c r="J31" i="1"/>
  <c r="I32" i="14" l="1"/>
  <c r="E32" i="14"/>
  <c r="E30" i="26" s="1"/>
  <c r="I32" i="9"/>
  <c r="E32" i="9"/>
  <c r="D32" i="4"/>
  <c r="P31" i="4"/>
  <c r="D32" i="1"/>
  <c r="P31" i="1"/>
  <c r="O32" i="14" l="1"/>
  <c r="J32" i="14"/>
  <c r="J30" i="26" s="1"/>
  <c r="N30" i="26" s="1"/>
  <c r="O32" i="9"/>
  <c r="J32" i="9"/>
  <c r="E32" i="4"/>
  <c r="I32" i="4"/>
  <c r="I32" i="1"/>
  <c r="E32" i="1"/>
  <c r="D33" i="14" l="1"/>
  <c r="P32" i="14"/>
  <c r="D33" i="9"/>
  <c r="P32" i="9"/>
  <c r="O32" i="4"/>
  <c r="J32" i="4"/>
  <c r="O32" i="1"/>
  <c r="J32" i="1"/>
  <c r="E33" i="14" l="1"/>
  <c r="E31" i="26" s="1"/>
  <c r="I33" i="14"/>
  <c r="E33" i="9"/>
  <c r="I33" i="9"/>
  <c r="P32" i="4"/>
  <c r="D33" i="4"/>
  <c r="D33" i="1"/>
  <c r="P32" i="1"/>
  <c r="O33" i="14" l="1"/>
  <c r="J33" i="14"/>
  <c r="J31" i="26" s="1"/>
  <c r="N31" i="26" s="1"/>
  <c r="O33" i="9"/>
  <c r="J33" i="9"/>
  <c r="I33" i="4"/>
  <c r="E33" i="4"/>
  <c r="E33" i="1"/>
  <c r="I33" i="1"/>
  <c r="D34" i="14" l="1"/>
  <c r="P33" i="14"/>
  <c r="D34" i="9"/>
  <c r="P33" i="9"/>
  <c r="O33" i="4"/>
  <c r="J33" i="4"/>
  <c r="O33" i="1"/>
  <c r="J33" i="1"/>
  <c r="I34" i="14" l="1"/>
  <c r="E34" i="14"/>
  <c r="E32" i="26" s="1"/>
  <c r="I34" i="9"/>
  <c r="E34" i="9"/>
  <c r="D34" i="4"/>
  <c r="P33" i="4"/>
  <c r="D34" i="1"/>
  <c r="P33" i="1"/>
  <c r="O34" i="14" l="1"/>
  <c r="J34" i="14"/>
  <c r="J32" i="26" s="1"/>
  <c r="N32" i="26" s="1"/>
  <c r="O34" i="9"/>
  <c r="J34" i="9"/>
  <c r="E34" i="4"/>
  <c r="I34" i="4"/>
  <c r="I34" i="1"/>
  <c r="E34" i="1"/>
  <c r="D35" i="14" l="1"/>
  <c r="P34" i="14"/>
  <c r="D35" i="9"/>
  <c r="P34" i="9"/>
  <c r="O34" i="4"/>
  <c r="J34" i="4"/>
  <c r="O34" i="1"/>
  <c r="J34" i="1"/>
  <c r="E35" i="14" l="1"/>
  <c r="E33" i="26" s="1"/>
  <c r="I35" i="14"/>
  <c r="E35" i="9"/>
  <c r="I35" i="9"/>
  <c r="P34" i="4"/>
  <c r="D35" i="4"/>
  <c r="D35" i="1"/>
  <c r="P34" i="1"/>
  <c r="O35" i="14" l="1"/>
  <c r="J35" i="14"/>
  <c r="J33" i="26" s="1"/>
  <c r="N33" i="26" s="1"/>
  <c r="O35" i="9"/>
  <c r="J35" i="9"/>
  <c r="I35" i="4"/>
  <c r="E35" i="4"/>
  <c r="E35" i="1"/>
  <c r="I35" i="1"/>
  <c r="D36" i="14" l="1"/>
  <c r="P35" i="14"/>
  <c r="D36" i="9"/>
  <c r="P35" i="9"/>
  <c r="O35" i="4"/>
  <c r="J35" i="4"/>
  <c r="O35" i="1"/>
  <c r="J35" i="1"/>
  <c r="I36" i="14" l="1"/>
  <c r="E36" i="14"/>
  <c r="E34" i="26" s="1"/>
  <c r="I36" i="9"/>
  <c r="E36" i="9"/>
  <c r="D36" i="4"/>
  <c r="P35" i="4"/>
  <c r="D36" i="1"/>
  <c r="P35" i="1"/>
  <c r="O36" i="14" l="1"/>
  <c r="J36" i="14"/>
  <c r="J34" i="26" s="1"/>
  <c r="N34" i="26" s="1"/>
  <c r="O36" i="9"/>
  <c r="J36" i="9"/>
  <c r="E36" i="4"/>
  <c r="I36" i="4"/>
  <c r="I36" i="1"/>
  <c r="E36" i="1"/>
  <c r="D37" i="14" l="1"/>
  <c r="P36" i="14"/>
  <c r="D37" i="9"/>
  <c r="P36" i="9"/>
  <c r="O36" i="4"/>
  <c r="J36" i="4"/>
  <c r="O36" i="1"/>
  <c r="J36" i="1"/>
  <c r="E37" i="14" l="1"/>
  <c r="E35" i="26" s="1"/>
  <c r="I37" i="14"/>
  <c r="E37" i="9"/>
  <c r="I37" i="9"/>
  <c r="P36" i="4"/>
  <c r="D37" i="4"/>
  <c r="D37" i="1"/>
  <c r="P36" i="1"/>
  <c r="O37" i="14" l="1"/>
  <c r="J37" i="14"/>
  <c r="J35" i="26" s="1"/>
  <c r="N35" i="26" s="1"/>
  <c r="O37" i="9"/>
  <c r="J37" i="9"/>
  <c r="I37" i="4"/>
  <c r="E37" i="4"/>
  <c r="E37" i="1"/>
  <c r="I37" i="1"/>
  <c r="P37" i="14" l="1"/>
  <c r="D38" i="14"/>
  <c r="D38" i="9"/>
  <c r="P37" i="9"/>
  <c r="O37" i="4"/>
  <c r="J37" i="4"/>
  <c r="O37" i="1"/>
  <c r="J37" i="1"/>
  <c r="E38" i="14" l="1"/>
  <c r="E36" i="26" s="1"/>
  <c r="I38" i="14"/>
  <c r="I38" i="9"/>
  <c r="E38" i="9"/>
  <c r="D38" i="4"/>
  <c r="P37" i="4"/>
  <c r="D38" i="1"/>
  <c r="P37" i="1"/>
  <c r="O38" i="14" l="1"/>
  <c r="P38" i="14" s="1"/>
  <c r="J38" i="14"/>
  <c r="J36" i="26" s="1"/>
  <c r="N36" i="26" s="1"/>
  <c r="O38" i="9"/>
  <c r="J38" i="9"/>
  <c r="E38" i="4"/>
  <c r="I38" i="4"/>
  <c r="I38" i="1"/>
  <c r="E38" i="1"/>
  <c r="D39" i="9" l="1"/>
  <c r="P38" i="9"/>
  <c r="O38" i="4"/>
  <c r="P38" i="4" s="1"/>
  <c r="J38" i="4"/>
  <c r="O38" i="1"/>
  <c r="J38" i="1"/>
  <c r="E39" i="9" l="1"/>
  <c r="I39" i="9"/>
  <c r="D39" i="1"/>
  <c r="P38" i="1"/>
  <c r="O39" i="9" l="1"/>
  <c r="P39" i="9" s="1"/>
  <c r="J39" i="9"/>
  <c r="E39" i="1"/>
  <c r="I39" i="1"/>
  <c r="O39" i="1" l="1"/>
  <c r="P39" i="1" s="1"/>
  <c r="J39" i="1"/>
</calcChain>
</file>

<file path=xl/sharedStrings.xml><?xml version="1.0" encoding="utf-8"?>
<sst xmlns="http://schemas.openxmlformats.org/spreadsheetml/2006/main" count="2483" uniqueCount="540">
  <si>
    <t>STOCK CARD- REF.NO</t>
  </si>
  <si>
    <t>YRAR</t>
  </si>
  <si>
    <t>THE EMPIRE JUTE MILL</t>
  </si>
  <si>
    <t>HESSIAN</t>
  </si>
  <si>
    <t>DESCRIPTION OF GOODS:- HESSIAN CLOTH 39-6 OZ/40 8X7</t>
  </si>
  <si>
    <t>SACKING</t>
  </si>
  <si>
    <t>NATURE OF PACKING :-    1/B 2000 YDS</t>
  </si>
  <si>
    <t>YARN</t>
  </si>
  <si>
    <t>OPENING BALANCE</t>
  </si>
  <si>
    <t>RECEIPT</t>
  </si>
  <si>
    <t>TOTAL</t>
  </si>
  <si>
    <t>ISSUES</t>
  </si>
  <si>
    <t>GROSS WT</t>
  </si>
  <si>
    <t>CLOSING BALLACE</t>
  </si>
  <si>
    <t>REMARKS</t>
  </si>
  <si>
    <t>NET WGT. PER BALE</t>
  </si>
  <si>
    <t>NO.OF</t>
  </si>
  <si>
    <t>WEIGHT IN</t>
  </si>
  <si>
    <t>NET WT</t>
  </si>
  <si>
    <t>P.SHEET WGT</t>
  </si>
  <si>
    <t>DATE</t>
  </si>
  <si>
    <t>BALE</t>
  </si>
  <si>
    <t>KGS</t>
  </si>
  <si>
    <t>PACK SHEET</t>
  </si>
  <si>
    <t>TOTAL WGT</t>
  </si>
  <si>
    <t>PROD  PACK SHEET</t>
  </si>
  <si>
    <t>DESPATCH PACK SHEET</t>
  </si>
  <si>
    <t>HESIAN TOTAL PCK SHEET</t>
  </si>
  <si>
    <t>EXPORT TOTAL PCK SHEET</t>
  </si>
  <si>
    <t>HESS   CLEARENCE PACKSHEED</t>
  </si>
  <si>
    <t>TOTAL HESS + EXPORT</t>
  </si>
  <si>
    <t>SKG   CLEARENCE PACKSHEED</t>
  </si>
  <si>
    <t>SACKING TOTAL PCK SHEET</t>
  </si>
  <si>
    <t>GRAND TOTAL PACK SHEET</t>
  </si>
  <si>
    <t>DESCRIPTION OF GOODS:- HESSIAN CLOTH 20X10 72 GM/BAG</t>
  </si>
  <si>
    <t>NATURE OF PACKING :-    1/B 2000 PCS</t>
  </si>
  <si>
    <t>DESPATCH PACKSHEET</t>
  </si>
  <si>
    <t>DESCRIPTION OF GOODS:- HESSIAN CLOTH 38-8.12 OZ/40 ,  11X10 PLAIN</t>
  </si>
  <si>
    <t>WEIGHT IN M.T</t>
  </si>
  <si>
    <t>HESSIAN CLOTH 44-8.12  OZ/40</t>
  </si>
  <si>
    <t>NATURE OF PACKING :-    1/B 1500 YDS</t>
  </si>
  <si>
    <t>HESSIAN CLOTH 44-8.12  OZ</t>
  </si>
  <si>
    <t>NATURE OF PACKING :-    1/B 1000 YDS</t>
  </si>
  <si>
    <t>HESSIAN CLOTH 40-4.5-OZ</t>
  </si>
  <si>
    <t>DESCRIPTION OF GOODS:- H.CLOTH 36-4.05 OZ</t>
  </si>
  <si>
    <t>NATURE OF PACKING :-    1/B 1828.80 MTR</t>
  </si>
  <si>
    <t>DESCRIPTION OF GOODS:- CANVASE 34-9.82</t>
  </si>
  <si>
    <t>NATURE OF PACKING :-    1/B -1500 YDS</t>
  </si>
  <si>
    <t>OCT</t>
  </si>
  <si>
    <t>DESCRIPTION OF GOODS:- HESSIAN CLOTH 44-5 OZ</t>
  </si>
  <si>
    <t>WEIGHT IN MT</t>
  </si>
  <si>
    <t>DESCRIPTION OF GOODS:- RAPIER 54"-6.5 OZ</t>
  </si>
  <si>
    <r>
      <rPr>
        <b/>
        <i/>
        <sz val="16"/>
        <color rgb="FF92D050"/>
        <rFont val="Calibri"/>
        <charset val="134"/>
        <scheme val="minor"/>
      </rPr>
      <t>HESSIAN  CLOTH 44-7.15 OZ /40 8X8 PLAIN I/B-2000 YDS</t>
    </r>
    <r>
      <rPr>
        <b/>
        <i/>
        <sz val="16"/>
        <color rgb="FFFF0000"/>
        <rFont val="Calibri"/>
        <charset val="134"/>
        <scheme val="minor"/>
      </rPr>
      <t xml:space="preserve"> ( 44-6.5 OZ)</t>
    </r>
  </si>
  <si>
    <t xml:space="preserve"> HESSIAN CLOTH 48-8.4 OZ 9X8</t>
  </si>
  <si>
    <t>RAPIER NATURAL :-    1/B 1000  MTR</t>
  </si>
  <si>
    <t>MONTH</t>
  </si>
  <si>
    <t>HESSIAN CLOTH:-40-6.5 OZ</t>
  </si>
  <si>
    <t xml:space="preserve"> :-    1/B 2000 YDS</t>
  </si>
  <si>
    <t xml:space="preserve"> HESSIAN CLOTH 51-11.36 OZ  8X8 BOX STRIPE</t>
  </si>
  <si>
    <t>RAPIER NATURAL :-    1/B 500 MTRS</t>
  </si>
  <si>
    <t>FEB</t>
  </si>
  <si>
    <t>EXPORT :- 48-7.80-OZ 198 GRM/MTR</t>
  </si>
  <si>
    <t>I/B:- 1828.80 MTR</t>
  </si>
  <si>
    <t xml:space="preserve">  </t>
  </si>
  <si>
    <t>101.5 CM 153.GM/SQR MTR (40-5-OZ)</t>
  </si>
  <si>
    <t>I/B-1828.80 MTR</t>
  </si>
  <si>
    <t>HESSIAN CLOTH 91.5 CMS 137 GMS/SQR MTR</t>
  </si>
  <si>
    <t>BOX</t>
  </si>
  <si>
    <t>HESSIAN CLOTH :- 48 -6.5 OZ / 153 GM/MTR</t>
  </si>
  <si>
    <t>B. TWILL BAGS 37X22.5LTD 580 GM/BAG</t>
  </si>
  <si>
    <t>1/B 500 PCS</t>
  </si>
  <si>
    <t>HESSIAN CLOTH</t>
  </si>
  <si>
    <t>SACKING BAG</t>
  </si>
  <si>
    <t>SALE YARN</t>
  </si>
  <si>
    <t>JUCO</t>
  </si>
  <si>
    <t xml:space="preserve">DUST </t>
  </si>
  <si>
    <t>CADDIES</t>
  </si>
  <si>
    <t>BLEACHED</t>
  </si>
  <si>
    <t>OTHERS</t>
  </si>
  <si>
    <t>SRL.NO</t>
  </si>
  <si>
    <t>PARTY NAME</t>
  </si>
  <si>
    <t>LORRY NUM</t>
  </si>
  <si>
    <t>INVOICE</t>
  </si>
  <si>
    <t>QUALITY</t>
  </si>
  <si>
    <t>WT</t>
  </si>
  <si>
    <t>ST WGHT</t>
  </si>
  <si>
    <t>KANTA WT</t>
  </si>
  <si>
    <t>DIFF</t>
  </si>
  <si>
    <t>VALUE</t>
  </si>
  <si>
    <t>CGST</t>
  </si>
  <si>
    <t>SGST</t>
  </si>
  <si>
    <t>IGST</t>
  </si>
  <si>
    <t>TCS</t>
  </si>
  <si>
    <t>INSURANCE</t>
  </si>
  <si>
    <t>PLACE</t>
  </si>
  <si>
    <t>PRINTING CHARGE</t>
  </si>
  <si>
    <t>2ND HANDLING CHARGE</t>
  </si>
  <si>
    <t>TOTAL VALUE</t>
  </si>
  <si>
    <t>CGST@2.5%</t>
  </si>
  <si>
    <t>SGST@2.5%</t>
  </si>
  <si>
    <t>IGST@5%</t>
  </si>
  <si>
    <t>GRAND TOTAL</t>
  </si>
  <si>
    <t>SL.NO</t>
  </si>
  <si>
    <t xml:space="preserve"> TRUSS</t>
  </si>
  <si>
    <t>NET WGHT</t>
  </si>
  <si>
    <t>IGST@18%</t>
  </si>
  <si>
    <t>MTR</t>
  </si>
  <si>
    <t>GMS/INCH</t>
  </si>
  <si>
    <t>WGHT IN KG</t>
  </si>
  <si>
    <t>BILL NO</t>
  </si>
  <si>
    <t>WGT MT</t>
  </si>
  <si>
    <t>RS</t>
  </si>
  <si>
    <t xml:space="preserve"> THREAD(RS)</t>
  </si>
  <si>
    <t>CUSTOMER NAME</t>
  </si>
  <si>
    <t>DUE PAYMENT</t>
  </si>
  <si>
    <t>AMOUNT</t>
  </si>
  <si>
    <t>DUST</t>
  </si>
  <si>
    <t>LORRY NUMBER</t>
  </si>
  <si>
    <t>THREADS</t>
  </si>
  <si>
    <t>DUE</t>
  </si>
  <si>
    <t>BAG</t>
  </si>
  <si>
    <t>NET WGT MT</t>
  </si>
  <si>
    <t>100 FT EXPORT</t>
  </si>
  <si>
    <t>37X22.5</t>
  </si>
  <si>
    <t>10 LBS 3PLY HANKS</t>
  </si>
  <si>
    <t>8 LBS 3PLY HANKS</t>
  </si>
  <si>
    <t xml:space="preserve">30 FT EXPORT </t>
  </si>
  <si>
    <t>39-6-OZ</t>
  </si>
  <si>
    <t>28 LBS 3 PLY HANK</t>
  </si>
  <si>
    <t>NEXGEN</t>
  </si>
  <si>
    <t>10 LBS 2 PLY HANKS</t>
  </si>
  <si>
    <t>38-8-12</t>
  </si>
  <si>
    <t>0.287 GRM</t>
  </si>
  <si>
    <t>.168 GRM</t>
  </si>
  <si>
    <t>85 KG BALE</t>
  </si>
  <si>
    <t>55 KG BALE</t>
  </si>
  <si>
    <t>18 LBS COP</t>
  </si>
  <si>
    <t>10 LBS 1 PLY PW SPOOL</t>
  </si>
  <si>
    <t>37 X22.5</t>
  </si>
  <si>
    <t>D.W JUTE CANVAS</t>
  </si>
  <si>
    <t>10 LBS 2 PLY PW SPOOL</t>
  </si>
  <si>
    <t>51X51 LENO SELVEDGE</t>
  </si>
  <si>
    <t>12 LBS 2 PLY PW SPOOL</t>
  </si>
  <si>
    <t>10 LBS 3 PLY PW</t>
  </si>
  <si>
    <t>40-6.5 OZ</t>
  </si>
  <si>
    <t>44-5 OZ</t>
  </si>
  <si>
    <t>10.5 LBS 1 PLY MACROLL</t>
  </si>
  <si>
    <t>20 " X10</t>
  </si>
  <si>
    <t>SKG GRAND TOTAL</t>
  </si>
  <si>
    <t>8 LBS 1 PLY PW SPOOL</t>
  </si>
  <si>
    <t>6 LBS 1 PLY PW SPOOL</t>
  </si>
  <si>
    <t>20X10</t>
  </si>
  <si>
    <t>HESS GRAND TOTAL WEIGHT</t>
  </si>
  <si>
    <t>SUMMARY</t>
  </si>
  <si>
    <t>JUCO CLOTH</t>
  </si>
  <si>
    <t>CADDIES +CADDIES WTG</t>
  </si>
  <si>
    <t>BLEACH</t>
  </si>
  <si>
    <t>TOTAL NET WT</t>
  </si>
  <si>
    <t>HESSIAN +JUCO</t>
  </si>
  <si>
    <t>JCI</t>
  </si>
  <si>
    <t>HESS+ JUCO</t>
  </si>
  <si>
    <t>SKG</t>
  </si>
  <si>
    <t>JUTE GOODS</t>
  </si>
  <si>
    <t>Sl.No</t>
  </si>
  <si>
    <t>Category name</t>
  </si>
  <si>
    <t>FABRIC QUALITY</t>
  </si>
  <si>
    <t>HS Code</t>
  </si>
  <si>
    <t>Op.Stock</t>
  </si>
  <si>
    <t>Prod (RG1)         GROSS</t>
  </si>
  <si>
    <t>Despatch for domestic consumption GROSS</t>
  </si>
  <si>
    <t>Export Qty</t>
  </si>
  <si>
    <t>Export Value (Rs.)</t>
  </si>
  <si>
    <t>Import B.desh</t>
  </si>
  <si>
    <t>Import Other</t>
  </si>
  <si>
    <t>Import Value (Rs.)</t>
  </si>
  <si>
    <t>End Stock</t>
  </si>
  <si>
    <t>Cloth /Fabric</t>
  </si>
  <si>
    <t>Carpet Backing fabric</t>
  </si>
  <si>
    <t>5310 10 11</t>
  </si>
  <si>
    <t>sacking Fabric</t>
  </si>
  <si>
    <t>5310 10 12</t>
  </si>
  <si>
    <t>Hessain Fabric</t>
  </si>
  <si>
    <t>5310 10 13</t>
  </si>
  <si>
    <t>Canvas Fabric</t>
  </si>
  <si>
    <t>4310 10 14</t>
  </si>
  <si>
    <t>Bleached Fabric</t>
  </si>
  <si>
    <t>5310 90</t>
  </si>
  <si>
    <t>Others</t>
  </si>
  <si>
    <t>Yarn for sale</t>
  </si>
  <si>
    <t>Imported Yarn</t>
  </si>
  <si>
    <t>Bags</t>
  </si>
  <si>
    <t>Hessain Bags</t>
  </si>
  <si>
    <t>6305 10 30</t>
  </si>
  <si>
    <t>50 kg Sugar bags</t>
  </si>
  <si>
    <t>15138- 2010</t>
  </si>
  <si>
    <t>Other Hessain bags</t>
  </si>
  <si>
    <t>Sacking Bags</t>
  </si>
  <si>
    <t>6305 10 40</t>
  </si>
  <si>
    <t>50 kg B twill (580 grm)</t>
  </si>
  <si>
    <t>(is 16186:2014) for Gov</t>
  </si>
  <si>
    <t>TYPE A</t>
  </si>
  <si>
    <t>TYPE B</t>
  </si>
  <si>
    <t>A twill (is 1943:1955)</t>
  </si>
  <si>
    <t>A twill for others</t>
  </si>
  <si>
    <t>Other sacking bags</t>
  </si>
  <si>
    <t>Jute Wool sack</t>
  </si>
  <si>
    <t>6305 10</t>
  </si>
  <si>
    <t>Other Bags</t>
  </si>
  <si>
    <t>Soil Saver</t>
  </si>
  <si>
    <t>6305 10 80</t>
  </si>
  <si>
    <t>DW Taurrpauline</t>
  </si>
  <si>
    <t>Jute diversifed in any</t>
  </si>
  <si>
    <t>other HS code</t>
  </si>
  <si>
    <t>Any other jute Product</t>
  </si>
  <si>
    <t>Report Total</t>
  </si>
  <si>
    <t>REPORT ON CESS RETURN</t>
  </si>
  <si>
    <t>Sl.no</t>
  </si>
  <si>
    <t>Article Mfg by the mill</t>
  </si>
  <si>
    <t>Tot.Qty.physically produced</t>
  </si>
  <si>
    <t>Qty.consedered for asses</t>
  </si>
  <si>
    <t>Reson for</t>
  </si>
  <si>
    <t xml:space="preserve">Value of </t>
  </si>
  <si>
    <t>Name &amp; add</t>
  </si>
  <si>
    <t>during the period under con</t>
  </si>
  <si>
    <t>ment (tonnes)</t>
  </si>
  <si>
    <t>Difference</t>
  </si>
  <si>
    <t xml:space="preserve"> assessed</t>
  </si>
  <si>
    <t>tax caunc.</t>
  </si>
  <si>
    <t>sidaration (Tonnes)</t>
  </si>
  <si>
    <t>(Rs. / Lakhs)</t>
  </si>
  <si>
    <t>authority</t>
  </si>
  <si>
    <t>Hessain</t>
  </si>
  <si>
    <t>GST COUN</t>
  </si>
  <si>
    <t>Sacking A Twill</t>
  </si>
  <si>
    <t>CIL</t>
  </si>
  <si>
    <t>Sacking B Twill</t>
  </si>
  <si>
    <t>DO</t>
  </si>
  <si>
    <t>CBC</t>
  </si>
  <si>
    <t>Twine</t>
  </si>
  <si>
    <t>Decorative fabric</t>
  </si>
  <si>
    <t>Jute diversifed in any Others HS Code</t>
  </si>
  <si>
    <t>Soil saver</t>
  </si>
  <si>
    <t>Japanis Rice bags</t>
  </si>
  <si>
    <t>Any other</t>
  </si>
  <si>
    <t>GST NOT APPLICABLE</t>
  </si>
  <si>
    <t>SR. NO.</t>
  </si>
  <si>
    <t>GROSS WEIGHT</t>
  </si>
  <si>
    <t>PRODUCTION</t>
  </si>
  <si>
    <t>CLEARENCE</t>
  </si>
  <si>
    <t>CLOSING BALANCE</t>
  </si>
  <si>
    <t>B/S</t>
  </si>
  <si>
    <t>WEIGHT IN MT GROSS</t>
  </si>
  <si>
    <t>HESSIAN CLOTH 39-6 OZ/40 8X7 PLAIN I/B 2000 YDS</t>
  </si>
  <si>
    <t>HESSIAN CLOTH 38-8.12 OZ 11X10 PLAIN I/B 2000 YDS</t>
  </si>
  <si>
    <t>HESSIAN CLOTH 40-6.5-OZ I/B-2000 YDS</t>
  </si>
  <si>
    <t xml:space="preserve"> RAPIER CLOTH  54"-6.5 OZI/B 1828.80 MTR</t>
  </si>
  <si>
    <t>H.CLOTH 44-7.15 ,I/B-2000 YDS</t>
  </si>
  <si>
    <t>HESSIAN CLOTH 48-8.4OZ 9X8 (RAPIER NATURAL)</t>
  </si>
  <si>
    <t>8X8 BOX STRIPE HESS. CLOTH 51-11.36 OZ10X11 I/B 500MTR.</t>
  </si>
  <si>
    <t>HESSIAN CLOTH 40-4.5 OZ I/B-2000 YDS</t>
  </si>
  <si>
    <t>HESSIAN CLOTH 48-7.80/OZ/198GMS/MTR</t>
  </si>
  <si>
    <t>HESSIAN CLOTH 48-6-OZ/198GMS/MTR</t>
  </si>
  <si>
    <t>CANVASE 34-9.82, I/B-1500 YDS</t>
  </si>
  <si>
    <t>H.CLOTH 36-4.05 OZ/40</t>
  </si>
  <si>
    <t>H.CLOTH 44-8.12 OZ ,I/B-1000 YDS</t>
  </si>
  <si>
    <t>H.CLOTH 44-8.12 OZ/40 ,I/B-1500 YDS</t>
  </si>
  <si>
    <t>H.CLOTH 44-5 OZ</t>
  </si>
  <si>
    <t>H.CLOTH 44-5 OZ(1000 YDS)</t>
  </si>
  <si>
    <t>HESSIAN BALE  TOTAL JCI</t>
  </si>
  <si>
    <t>HESSIAN CLOTH BAG JCI</t>
  </si>
  <si>
    <t>HESS. CLOTH 20X 10 72 GMS/BAG  JCI</t>
  </si>
  <si>
    <t>TOTAL HESS BALE+ HESSIAN CLOTH BAG</t>
  </si>
  <si>
    <t>EXPORT</t>
  </si>
  <si>
    <t>H. CLOTH 101.50 CM 153GMS/SQR MTR ROLL OF 100 FT</t>
  </si>
  <si>
    <t>JUTE LENO NETTING 254 CMS 45 GMS</t>
  </si>
  <si>
    <t>H. CLOTH -40"-5-OZ/40(101.50 CM 153GMS/SQR MTR ROLL OF 30' FT</t>
  </si>
  <si>
    <t>HESSIAN CLOTH 36"-4.5 -OZ/40( 91.5 CM/137GMS/SQR MTR)</t>
  </si>
  <si>
    <t>TOTAL EXPORT</t>
  </si>
  <si>
    <t xml:space="preserve">MADAM TOTAL HESS BALE+CLOTH BAG+EXPORT </t>
  </si>
  <si>
    <t>GRAND TOTAL HESS BALE+CLOTH BAG+EXPORT JCI</t>
  </si>
  <si>
    <t>B.TWILL BAGS 37X22.5HD 580GM/BAG  JCI TYPE-A</t>
  </si>
  <si>
    <t xml:space="preserve"> TOTAL  SACKING  JCI</t>
  </si>
  <si>
    <t>HESSIAN+ SACKING GRAN TOTAL ARUNDA</t>
  </si>
  <si>
    <t>JUCO CLOTH &amp; RAW JUTE</t>
  </si>
  <si>
    <t>TOTAL JUCO CLOTH SALE JCI</t>
  </si>
  <si>
    <t>NILL</t>
  </si>
  <si>
    <t>TOTAL RAW JUTE SALE JCI</t>
  </si>
  <si>
    <t>PURCHASE YARN</t>
  </si>
  <si>
    <t>WT MT</t>
  </si>
  <si>
    <t>HESS</t>
  </si>
  <si>
    <t>JUTE DUST</t>
  </si>
  <si>
    <t>JUTE CADDIES</t>
  </si>
  <si>
    <t>PRD PACKSHED</t>
  </si>
  <si>
    <t xml:space="preserve">    GRAND TOTAL</t>
  </si>
  <si>
    <t xml:space="preserve">CL PACK SHEED </t>
  </si>
  <si>
    <t>PURCHASE BALE</t>
  </si>
  <si>
    <t>MT</t>
  </si>
  <si>
    <t>RETURN GOODS</t>
  </si>
  <si>
    <t>GRAN TOTAL</t>
  </si>
  <si>
    <t>DAILY STOCK  ACCOUNT HESSIAN:---MAY-2023</t>
  </si>
  <si>
    <t>DAILY STOCK  ACCOUNT SACKING:---MARCH-2023</t>
  </si>
  <si>
    <t>Quality</t>
  </si>
  <si>
    <t>NET WET MT</t>
  </si>
  <si>
    <t>Packing Yds</t>
  </si>
  <si>
    <t>Bale Of Production</t>
  </si>
  <si>
    <t xml:space="preserve">Nett Weight In Mt    </t>
  </si>
  <si>
    <t>( 8X7) 39-6 OZ</t>
  </si>
  <si>
    <t>CANVASE 34-9.82</t>
  </si>
  <si>
    <t>( 11X11) 38 7.714</t>
  </si>
  <si>
    <t>HESS BAG 20 X10. 72 GMS</t>
  </si>
  <si>
    <t xml:space="preserve">HESS CLOTH:40-6.5 OZ </t>
  </si>
  <si>
    <t>HESS. CLOTH 40-4.5 OZ. I/B-1828.80 MTR</t>
  </si>
  <si>
    <t>H.CLOTH 44-7.15 OZ</t>
  </si>
  <si>
    <t>H.CLOTH 44-5OZ/40 1000 YDS</t>
  </si>
  <si>
    <t>H.CLOTH 36-4.05 OZ I/B-1828.80 MTR</t>
  </si>
  <si>
    <t>H.CLOTH 44-8.12OZ/40,I/B-1500 YDS</t>
  </si>
  <si>
    <t>TOTAL WT</t>
  </si>
  <si>
    <t>PACK  SHEET</t>
  </si>
  <si>
    <t>GRAND TOTAL HESSIAN</t>
  </si>
  <si>
    <t xml:space="preserve">GOVT.B.WILLT TYPE </t>
  </si>
  <si>
    <t>PCS</t>
  </si>
  <si>
    <t>( 5X7) 22.5 9.44 OZ (A)</t>
  </si>
  <si>
    <t>TOTAL SACKING BALE &amp; WT</t>
  </si>
  <si>
    <t>GRAND TOTAL SACKING + HESS BALE</t>
  </si>
  <si>
    <t>JUTE LENO</t>
  </si>
  <si>
    <t>HESSIAN 101.5 CM 153.GM/SQR MTR 28 X24 , 100FT</t>
  </si>
  <si>
    <t>HESSIAN 101.5 CM 153.GM/SQR MTR 28 X24 , 30FT</t>
  </si>
  <si>
    <t>OLD &amp; FULL DAMAGE BAG SKG</t>
  </si>
  <si>
    <t>LOOSE</t>
  </si>
  <si>
    <t>51 X51 LENO SELVEDGE</t>
  </si>
  <si>
    <t xml:space="preserve"> LOOSE</t>
  </si>
  <si>
    <t>OPENING</t>
  </si>
  <si>
    <t>DESPATCH</t>
  </si>
  <si>
    <t>CLOSSING</t>
  </si>
  <si>
    <t>SALE YARN MT</t>
  </si>
  <si>
    <t>JUTE FIBER MT</t>
  </si>
  <si>
    <t>JUCO KG/MT</t>
  </si>
  <si>
    <t>PURCHASE BL WT</t>
  </si>
  <si>
    <t>RAW JUTE</t>
  </si>
  <si>
    <t>DIVERC JUT BALL SALE YARN</t>
  </si>
  <si>
    <t xml:space="preserve">                                                                                                         </t>
  </si>
  <si>
    <t>APRIL"23</t>
  </si>
  <si>
    <t>MAY "23</t>
  </si>
  <si>
    <t>JUNE"23</t>
  </si>
  <si>
    <t>JULY"23</t>
  </si>
  <si>
    <t>AUG"23</t>
  </si>
  <si>
    <t>SEP"23</t>
  </si>
  <si>
    <t>OCT"23</t>
  </si>
  <si>
    <t>NOV"23</t>
  </si>
  <si>
    <t>DEC"23</t>
  </si>
  <si>
    <t>JAN"24</t>
  </si>
  <si>
    <t>FEB"24</t>
  </si>
  <si>
    <t>MAR"24</t>
  </si>
  <si>
    <r>
      <rPr>
        <b/>
        <sz val="12"/>
        <color theme="1"/>
        <rFont val="Calibri"/>
        <charset val="134"/>
        <scheme val="minor"/>
      </rPr>
      <t>DETAILS</t>
    </r>
    <r>
      <rPr>
        <b/>
        <sz val="11"/>
        <color theme="1"/>
        <rFont val="Calibri"/>
        <charset val="134"/>
        <scheme val="minor"/>
      </rPr>
      <t xml:space="preserve"> </t>
    </r>
    <r>
      <rPr>
        <b/>
        <sz val="14"/>
        <color theme="1"/>
        <rFont val="Calibri"/>
        <charset val="134"/>
        <scheme val="minor"/>
      </rPr>
      <t>A TYPE</t>
    </r>
    <r>
      <rPr>
        <b/>
        <sz val="11"/>
        <color theme="1"/>
        <rFont val="Calibri"/>
        <charset val="134"/>
        <scheme val="minor"/>
      </rPr>
      <t xml:space="preserve"> </t>
    </r>
    <r>
      <rPr>
        <b/>
        <sz val="12"/>
        <color theme="1"/>
        <rFont val="Calibri"/>
        <charset val="134"/>
        <scheme val="minor"/>
      </rPr>
      <t>SACKING BALE</t>
    </r>
  </si>
  <si>
    <t>OLD DAMAGE BAG</t>
  </si>
  <si>
    <t>The Empire Jute Co. Ltd.</t>
  </si>
  <si>
    <t>Hess</t>
  </si>
  <si>
    <t>Net Wt</t>
  </si>
  <si>
    <t>OP. Stock</t>
  </si>
  <si>
    <t>Production</t>
  </si>
  <si>
    <t>Despatch</t>
  </si>
  <si>
    <t>Goods Return (IN)</t>
  </si>
  <si>
    <t>Reporocess (IN)</t>
  </si>
  <si>
    <t>Reporocess (Out)</t>
  </si>
  <si>
    <t>Clos Stock</t>
  </si>
  <si>
    <t>Bale</t>
  </si>
  <si>
    <t>M.T</t>
  </si>
  <si>
    <t>Prd/Pksd</t>
  </si>
  <si>
    <t>Cl/pkshd</t>
  </si>
  <si>
    <t>P.sheet</t>
  </si>
  <si>
    <t>H.CLOTH 39-6 OZ</t>
  </si>
  <si>
    <t>H.CLOTH 38-8.12 OZ</t>
  </si>
  <si>
    <t>H.CLOTH 40-4.5 OZ</t>
  </si>
  <si>
    <t>H.BAGS 20X10,72 GMS,1500 PCS</t>
  </si>
  <si>
    <t>H.CLOTH 44-8.12 OZ,I/B-1500 YDS</t>
  </si>
  <si>
    <t>8X8 BOX STRIPE 51-11.36 OZ,I/B-500 MTR</t>
  </si>
  <si>
    <t>H.CLOTH 40-6.5 OZ</t>
  </si>
  <si>
    <t>H.CLOTH 36-4.05 OZ</t>
  </si>
  <si>
    <t>H.BAGS 20X10,72 GMS,2000 PCS</t>
  </si>
  <si>
    <t>H.CLOTH 44-8.12 OZ</t>
  </si>
  <si>
    <t>HESSIAN SHORT PCS</t>
  </si>
  <si>
    <t>H.CLOTH 44-7.15 OZ,I/B-2000 YDS</t>
  </si>
  <si>
    <t xml:space="preserve">H.CLOTH 44-5 OZ, </t>
  </si>
  <si>
    <t>H.CLOTH 44-5 OZ, 1000 YDS</t>
  </si>
  <si>
    <t>FRESH/DAMAGE RAGS &amp; CHINDIES</t>
  </si>
  <si>
    <t>H.CLOTH 51-11.25 OZ</t>
  </si>
  <si>
    <t>SMALL SHORT PCS H.CLOTH</t>
  </si>
  <si>
    <t xml:space="preserve">OLD DAMAGE  MIX H.CLOTH </t>
  </si>
  <si>
    <t>HESSIAN CUT PICES</t>
  </si>
  <si>
    <t>51X51 HESS LENO SELVEDGE</t>
  </si>
  <si>
    <t>JUTE NET LENO ( ROLL)</t>
  </si>
  <si>
    <t>WEAVING OF 140GSM JUTE NET FOOD GRADE</t>
  </si>
  <si>
    <t>Sale Yarn</t>
  </si>
  <si>
    <t>Jute Fiber</t>
  </si>
  <si>
    <t>Juco Cloth</t>
  </si>
  <si>
    <r>
      <rPr>
        <sz val="11"/>
        <rFont val="Arial"/>
        <charset val="134"/>
      </rPr>
      <t xml:space="preserve">Hess cloth 101.50 CM/ 153GMS/sqr  (36 ROLL PER BOX)TOTAL 66 PALLET (export) </t>
    </r>
    <r>
      <rPr>
        <b/>
        <sz val="14"/>
        <rFont val="Arial"/>
        <charset val="134"/>
      </rPr>
      <t xml:space="preserve">100 FT TOTAL= 3 </t>
    </r>
    <r>
      <rPr>
        <b/>
        <sz val="12"/>
        <rFont val="Arial"/>
        <charset val="134"/>
      </rPr>
      <t>CONTANER</t>
    </r>
  </si>
  <si>
    <r>
      <rPr>
        <sz val="11"/>
        <rFont val="Arial"/>
        <charset val="134"/>
      </rPr>
      <t>Hess cloth 101.50 CM/ 153GMS/sqr  (97 ROLL PER BOX) TOTAL 66 PALLET (export)</t>
    </r>
    <r>
      <rPr>
        <sz val="14"/>
        <rFont val="Arial"/>
        <charset val="134"/>
      </rPr>
      <t xml:space="preserve"> </t>
    </r>
    <r>
      <rPr>
        <b/>
        <sz val="14"/>
        <rFont val="Arial"/>
        <charset val="134"/>
      </rPr>
      <t>30 FT TOTAL=3 CONTAINER</t>
    </r>
  </si>
  <si>
    <t>Hess cloth -36"-4.5 OZ/40 ( 91.5 -137GMS/SQR MTR (export)</t>
  </si>
  <si>
    <t>JUTE LENO  NETTING 250 CMS 45 GMS/SQR MTR(export)</t>
  </si>
  <si>
    <t>B.Twill Bags 37X22.5Hd 580Gm/Bag Jci Type-A</t>
  </si>
  <si>
    <t>Grand Total Of Finished Goods</t>
  </si>
  <si>
    <t>HESSIASN CLOTH:- 129 CM-12.34 OZ/ MTR 51 X 51</t>
  </si>
  <si>
    <t xml:space="preserve"> 100 FOOTE,36 ROLL</t>
  </si>
  <si>
    <t>HESSIAN 101.5 CM 153.GM/SQR MTR 28 X24</t>
  </si>
  <si>
    <t>30 FOOTE 97 ROLL</t>
  </si>
  <si>
    <t>JUTE LENO NETTING 254 CMS 45 GMS/SQR MTR</t>
  </si>
  <si>
    <t>BWCJ02  160 MTR</t>
  </si>
  <si>
    <t>Bale Production and Stock</t>
  </si>
  <si>
    <t>H.CLOTH 44-5OZ(1000 YDS)</t>
  </si>
  <si>
    <t>H.CLOTH 44-8.12 OZ/40,I/B-1500 YDS</t>
  </si>
  <si>
    <t>Hess cloth 101.50 CM/ 153GMS/sqr  (export)</t>
  </si>
  <si>
    <t>Purchase Yran</t>
  </si>
  <si>
    <t>Date</t>
  </si>
  <si>
    <t>Jute Dust</t>
  </si>
  <si>
    <t>Purchase Bale</t>
  </si>
  <si>
    <t>Caddish</t>
  </si>
  <si>
    <t>Wt</t>
  </si>
  <si>
    <t>Total</t>
  </si>
  <si>
    <t>Statement of Finished Goods from Dated: DECEMBER -2022</t>
  </si>
  <si>
    <t>Sl No.</t>
  </si>
  <si>
    <t>Opening Balance</t>
  </si>
  <si>
    <t>Clearance/Sales</t>
  </si>
  <si>
    <t>Closing Balance</t>
  </si>
  <si>
    <t>RETURN</t>
  </si>
  <si>
    <t>Hessian</t>
  </si>
  <si>
    <t>Weight In 
Mt</t>
  </si>
  <si>
    <t>Weight In Mt</t>
  </si>
  <si>
    <t>PRD PCKSHED</t>
  </si>
  <si>
    <t>CL/ PCK SHED</t>
  </si>
  <si>
    <t>P.SHEET</t>
  </si>
  <si>
    <t>Hessian Cloth 39-6-Oz/40 8X7 Plain I/B 2000Yds</t>
  </si>
  <si>
    <t>Hessian Cloth 38-8-12-Oz 11X10  Plain I/B 2000Yds</t>
  </si>
  <si>
    <t>HESSIAN CLOTH 6X6 44 "</t>
  </si>
  <si>
    <t>HESS.CLOTH 40-4.5-OZ/ I/B-2000 YDS</t>
  </si>
  <si>
    <t>CANVASE CLOTH 40-7-OZ I/B-1500 YDS</t>
  </si>
  <si>
    <t>HESS. CLOTH 48-8.4-OZ 9X8 I/B-1000 MTR</t>
  </si>
  <si>
    <t>8X8 BOX STRIPE HESS. CLOTH    51-11.36-OZ I/B- 500 MTR</t>
  </si>
  <si>
    <t>HESS. CLOTH -40-7.5 OZ, I/B-1500 MTR</t>
  </si>
  <si>
    <t>HESS  CLOTH 40-6.5 OZ, I/B-2000 YDS</t>
  </si>
  <si>
    <t>HESS.BAG 20 X10, 72 GMS/BAG I/B-2000 PCS</t>
  </si>
  <si>
    <t>51 X51 HESS LENO SELVEDGE</t>
  </si>
  <si>
    <t>48-7.80 /198 GMS</t>
  </si>
  <si>
    <t>RAPIER 54"-6.5 OZ I/B-1828.80MTR</t>
  </si>
  <si>
    <t>H.CLOTH 54-6.5 OZ I/B-1376 YDS</t>
  </si>
  <si>
    <t>H.CLOTH 44.812 OZ I/B-1000 YDS</t>
  </si>
  <si>
    <t>H.CLOTH 44-7.15 I/B-2000 YDS</t>
  </si>
  <si>
    <t>SMALL SHORT PCS HESS CLOTH</t>
  </si>
  <si>
    <t>OLD DAMAGE MIX HESS CLOTH</t>
  </si>
  <si>
    <t>CANVASE 34-8.92 I/B-1500 YDS</t>
  </si>
  <si>
    <t>Other</t>
  </si>
  <si>
    <t>Hess cloth 101.50 CM/ 153GMS/sqr  (EXPORT)</t>
  </si>
  <si>
    <t>Hess cloth -36"-4.5 OZ/40 ( 91.5 -137GMS/SQR MTR (EXPORT)</t>
  </si>
  <si>
    <t>JUTE LENO  NETTING 250/254 CMS 45 GMS/SQR MTR(EXPORT)</t>
  </si>
  <si>
    <t>Clearance</t>
  </si>
  <si>
    <t>Sacking</t>
  </si>
  <si>
    <t>B.Twill Bags 37X22.5Hd 580Gm/Bag Jci Type-B</t>
  </si>
  <si>
    <t>Grand Total of Finished Goods</t>
  </si>
  <si>
    <t>N.B:- H.CLOTH 51-11.36 OZ 1 BALE REPROCESS</t>
  </si>
  <si>
    <t>Statement of Finished Goods from Dated: MAY 2021</t>
  </si>
  <si>
    <t>(All)</t>
  </si>
  <si>
    <t>Row Labels</t>
  </si>
  <si>
    <t xml:space="preserve">Sum of Opening Weight In </t>
  </si>
  <si>
    <t>Sum of Production Weight In Mt</t>
  </si>
  <si>
    <t>Sum of Clearance Weight In Mt</t>
  </si>
  <si>
    <t>Average of Closing Weight In Mt</t>
  </si>
  <si>
    <t>Sum of P.SHEET</t>
  </si>
  <si>
    <t>Grand Total</t>
  </si>
  <si>
    <t>SL NO</t>
  </si>
  <si>
    <t>Opening Weight In 
Mt</t>
  </si>
  <si>
    <t>Production Weight In Mt</t>
  </si>
  <si>
    <t>Clearance Weight In Mt</t>
  </si>
  <si>
    <t>Closing Weight In Mt</t>
  </si>
  <si>
    <t>JANUARY-2022</t>
  </si>
  <si>
    <t>PERTONE AVG RATE@</t>
  </si>
  <si>
    <t>10 LBS 3 PLY HANKS</t>
  </si>
  <si>
    <t>28 LBS 3 PLY HANKS</t>
  </si>
  <si>
    <t>20 LBS 5 PLY HANKS</t>
  </si>
  <si>
    <t>10 LBS 1 PLY PW</t>
  </si>
  <si>
    <t>10 LBS 2 PLY PW</t>
  </si>
  <si>
    <t>MACROLL</t>
  </si>
  <si>
    <t>8 LBS PW</t>
  </si>
  <si>
    <t>6 LBS PW</t>
  </si>
  <si>
    <t>D.W JUTE CANVASE</t>
  </si>
  <si>
    <t>HESS BAG 20 X10</t>
  </si>
  <si>
    <t>H.CLOTH 51 X51 LENO SELVEDGE</t>
  </si>
  <si>
    <t>GOVT SACKING</t>
  </si>
  <si>
    <t>DUST  DUE  PAYMENT</t>
  </si>
  <si>
    <t>NAME</t>
  </si>
  <si>
    <t>THREAD</t>
  </si>
  <si>
    <t>TOTAL AMOUNT</t>
  </si>
  <si>
    <t>MR RAKESH</t>
  </si>
  <si>
    <t>DUE TO MR RAJU</t>
  </si>
  <si>
    <t>DUE TO MR RAKESH</t>
  </si>
  <si>
    <t>PRODUCTION PACKSHEET</t>
  </si>
  <si>
    <t>APRIL"25</t>
  </si>
  <si>
    <t>MAY "25</t>
  </si>
  <si>
    <t>JUNE"25</t>
  </si>
  <si>
    <t>JULY"25</t>
  </si>
  <si>
    <t>AUG"25</t>
  </si>
  <si>
    <t>SEP"25</t>
  </si>
  <si>
    <t>OCT"25</t>
  </si>
  <si>
    <t>NOV"25</t>
  </si>
  <si>
    <t>DEC"25</t>
  </si>
  <si>
    <t>JAN"26</t>
  </si>
  <si>
    <t>FEB"26</t>
  </si>
  <si>
    <t>MAR"26</t>
  </si>
  <si>
    <t>Statement of Finished Goods from Dated: 01/04/2025 To 31/03/2026</t>
  </si>
  <si>
    <t>Statement of Finished Goods from Dated: JUNE--2025</t>
  </si>
  <si>
    <t>WEAVING OF 140GSM JUTE NET FOOD GRADE WIDTH 56"</t>
  </si>
  <si>
    <t>TYPE A-----B. TWILL BAGS 48X26.5 HD 767 GMS/BAG</t>
  </si>
  <si>
    <t xml:space="preserve">B.TWILL BAGS 48X26.5HD 767 GM/BAG  </t>
  </si>
  <si>
    <t>B.TWILL BAGS 48X26.5HD 767 GM/BAG  500 PCS</t>
  </si>
  <si>
    <t>48X26.5 HD 767GMS 500 PCS</t>
  </si>
  <si>
    <t>Monthly Press Production Of NOVEMBER- 2025</t>
  </si>
  <si>
    <t>QUALITY WISE HESSIAN, SACKING &amp; SALE YARN DETAIL FOR THE MONTH OF DECEMBER-- 2025</t>
  </si>
  <si>
    <t>HESSIAN PRODUCTION &amp; DESPATCH YRALY REPORT FROM 2025 APRIL TO 2026 MARCH</t>
  </si>
  <si>
    <t>OTHERS QUALITY &amp; PRODUCTION &amp; DESPATCH SAME 2025 TO 2026</t>
  </si>
  <si>
    <t>YARN PURCHASE</t>
  </si>
  <si>
    <t>NEW 767 GRMS</t>
  </si>
  <si>
    <t>April TO November-  2025</t>
  </si>
  <si>
    <t>01.12.25</t>
  </si>
  <si>
    <t>PPJ01</t>
  </si>
  <si>
    <t>02.12.25</t>
  </si>
  <si>
    <t>PUNJAB</t>
  </si>
  <si>
    <t>03.12.25</t>
  </si>
  <si>
    <t>05.12.25</t>
  </si>
  <si>
    <t>08.12.25</t>
  </si>
  <si>
    <t>09.12.25</t>
  </si>
  <si>
    <t>10.12.25</t>
  </si>
  <si>
    <t>13.12.25</t>
  </si>
  <si>
    <t>TELANGANA</t>
  </si>
  <si>
    <t>15.12.25</t>
  </si>
  <si>
    <t>20.12.25</t>
  </si>
  <si>
    <t>22.12.25</t>
  </si>
  <si>
    <t>27.12.25</t>
  </si>
  <si>
    <t>MP</t>
  </si>
  <si>
    <t>26.12.25</t>
  </si>
  <si>
    <t>DECEMBER-2025</t>
  </si>
  <si>
    <t>31.12.25</t>
  </si>
  <si>
    <t>RAKESH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</si>
</sst>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;[Red]0"/>
    <numFmt numFmtId="166" formatCode="0.000;[Red]0.000"/>
    <numFmt numFmtId="167" formatCode="[$-409]mmm/yy;@"/>
    <numFmt numFmtId="168" formatCode="0.0000"/>
    <numFmt numFmtId="169" formatCode="0.00000"/>
  </numFmts>
  <fonts count="56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6" tint="-0.499984740745262"/>
      <name val="Calibri"/>
      <charset val="134"/>
      <scheme val="minor"/>
    </font>
    <font>
      <b/>
      <sz val="11"/>
      <color theme="6" tint="-0.499984740745262"/>
      <name val="Calibri"/>
      <charset val="134"/>
      <scheme val="minor"/>
    </font>
    <font>
      <sz val="10"/>
      <name val="Arial"/>
      <charset val="134"/>
    </font>
    <font>
      <sz val="9"/>
      <name val="Arial"/>
      <charset val="134"/>
    </font>
    <font>
      <b/>
      <sz val="14"/>
      <name val="Arial"/>
      <charset val="134"/>
    </font>
    <font>
      <b/>
      <sz val="11"/>
      <name val="Arial"/>
      <charset val="134"/>
    </font>
    <font>
      <b/>
      <u/>
      <sz val="12"/>
      <name val="Arial"/>
      <charset val="134"/>
    </font>
    <font>
      <sz val="11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b/>
      <sz val="12"/>
      <color theme="1"/>
      <name val="Calibri"/>
      <charset val="134"/>
      <scheme val="minor"/>
    </font>
    <font>
      <b/>
      <i/>
      <sz val="10"/>
      <color theme="1"/>
      <name val="Calibri"/>
      <charset val="134"/>
      <scheme val="minor"/>
    </font>
    <font>
      <b/>
      <i/>
      <sz val="36"/>
      <color rgb="FFFFFF00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b/>
      <i/>
      <sz val="16"/>
      <color rgb="FF92D050"/>
      <name val="Calibri"/>
      <charset val="134"/>
      <scheme val="minor"/>
    </font>
    <font>
      <b/>
      <i/>
      <sz val="16"/>
      <color rgb="FF0070C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i/>
      <sz val="20"/>
      <color theme="1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b/>
      <i/>
      <sz val="22"/>
      <color theme="1"/>
      <name val="Calibri"/>
      <charset val="134"/>
      <scheme val="minor"/>
    </font>
    <font>
      <sz val="14"/>
      <color rgb="FFC00000"/>
      <name val="Calibri"/>
      <charset val="134"/>
      <scheme val="minor"/>
    </font>
    <font>
      <i/>
      <sz val="20"/>
      <color theme="1" tint="0.1499679555650502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4"/>
      <color rgb="FFC00000"/>
      <name val="Calibri"/>
      <charset val="134"/>
      <scheme val="minor"/>
    </font>
    <font>
      <i/>
      <sz val="16"/>
      <color theme="1"/>
      <name val="Calibri"/>
      <charset val="134"/>
      <scheme val="minor"/>
    </font>
    <font>
      <b/>
      <i/>
      <sz val="16"/>
      <color rgb="FFFF0000"/>
      <name val="Calibri"/>
      <charset val="134"/>
      <scheme val="minor"/>
    </font>
    <font>
      <sz val="14"/>
      <name val="Arial"/>
      <charset val="134"/>
    </font>
    <font>
      <b/>
      <i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name val="Arial"/>
      <family val="2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C0000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44" fillId="0" borderId="0" applyNumberFormat="0" applyFill="0" applyBorder="0" applyAlignment="0" applyProtection="0"/>
    <xf numFmtId="0" fontId="10" fillId="0" borderId="0"/>
  </cellStyleXfs>
  <cellXfs count="1173">
    <xf numFmtId="0" fontId="0" fillId="0" borderId="0" xfId="0"/>
    <xf numFmtId="0" fontId="1" fillId="0" borderId="6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0" fillId="0" borderId="6" xfId="0" applyBorder="1"/>
    <xf numFmtId="1" fontId="2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left"/>
    </xf>
    <xf numFmtId="164" fontId="0" fillId="0" borderId="6" xfId="0" applyNumberFormat="1" applyBorder="1"/>
    <xf numFmtId="2" fontId="0" fillId="0" borderId="6" xfId="0" applyNumberFormat="1" applyBorder="1"/>
    <xf numFmtId="0" fontId="0" fillId="0" borderId="6" xfId="0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 wrapText="1"/>
    </xf>
    <xf numFmtId="0" fontId="10" fillId="0" borderId="15" xfId="2" applyFont="1" applyBorder="1" applyAlignment="1">
      <alignment horizontal="center" vertical="center" wrapText="1"/>
    </xf>
    <xf numFmtId="164" fontId="10" fillId="0" borderId="15" xfId="2" applyNumberFormat="1" applyFont="1" applyBorder="1" applyAlignment="1">
      <alignment horizontal="center" vertical="center" wrapText="1"/>
    </xf>
    <xf numFmtId="1" fontId="10" fillId="0" borderId="15" xfId="2" applyNumberFormat="1" applyFont="1" applyBorder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0" fillId="0" borderId="6" xfId="2" applyFont="1" applyBorder="1" applyAlignment="1">
      <alignment horizontal="center" vertical="center" wrapText="1"/>
    </xf>
    <xf numFmtId="1" fontId="10" fillId="0" borderId="6" xfId="2" applyNumberFormat="1" applyFont="1" applyBorder="1" applyAlignment="1">
      <alignment horizontal="center" vertical="center" wrapText="1"/>
    </xf>
    <xf numFmtId="164" fontId="10" fillId="0" borderId="6" xfId="2" applyNumberFormat="1" applyFont="1" applyBorder="1" applyAlignment="1">
      <alignment horizontal="center" vertical="center" wrapText="1"/>
    </xf>
    <xf numFmtId="1" fontId="10" fillId="0" borderId="6" xfId="2" applyNumberFormat="1" applyFont="1" applyFill="1" applyBorder="1" applyAlignment="1">
      <alignment horizontal="center" vertical="center" wrapText="1"/>
    </xf>
    <xf numFmtId="0" fontId="11" fillId="0" borderId="0" xfId="2" applyFont="1" applyBorder="1" applyAlignment="1">
      <alignment horizontal="center" vertical="center" wrapText="1"/>
    </xf>
    <xf numFmtId="0" fontId="10" fillId="0" borderId="0" xfId="2" applyFont="1" applyBorder="1" applyAlignment="1">
      <alignment horizontal="center" vertical="center" wrapText="1"/>
    </xf>
    <xf numFmtId="0" fontId="11" fillId="0" borderId="6" xfId="2" applyFont="1" applyFill="1" applyBorder="1" applyAlignment="1">
      <alignment horizontal="center" vertical="center" wrapText="1"/>
    </xf>
    <xf numFmtId="0" fontId="10" fillId="0" borderId="6" xfId="2" applyFont="1" applyFill="1" applyBorder="1" applyAlignment="1">
      <alignment horizontal="center" vertical="center" wrapText="1"/>
    </xf>
    <xf numFmtId="2" fontId="10" fillId="0" borderId="6" xfId="2" applyNumberFormat="1" applyFont="1" applyFill="1" applyBorder="1" applyAlignment="1">
      <alignment horizontal="center" vertical="center" wrapText="1"/>
    </xf>
    <xf numFmtId="164" fontId="10" fillId="0" borderId="6" xfId="2" applyNumberFormat="1" applyFont="1" applyFill="1" applyBorder="1" applyAlignment="1">
      <alignment horizontal="center" vertical="center" wrapText="1"/>
    </xf>
    <xf numFmtId="2" fontId="10" fillId="0" borderId="6" xfId="2" applyNumberFormat="1" applyFont="1" applyBorder="1" applyAlignment="1">
      <alignment horizontal="center" vertical="center" wrapText="1"/>
    </xf>
    <xf numFmtId="165" fontId="10" fillId="0" borderId="6" xfId="2" applyNumberFormat="1" applyFont="1" applyBorder="1" applyAlignment="1">
      <alignment horizontal="center" vertical="center" wrapText="1"/>
    </xf>
    <xf numFmtId="166" fontId="10" fillId="0" borderId="6" xfId="2" applyNumberFormat="1" applyFont="1" applyBorder="1" applyAlignment="1">
      <alignment horizontal="center" vertical="center" wrapText="1"/>
    </xf>
    <xf numFmtId="0" fontId="11" fillId="0" borderId="6" xfId="2" applyFont="1" applyBorder="1" applyAlignment="1">
      <alignment horizontal="left" vertical="center" wrapText="1"/>
    </xf>
    <xf numFmtId="0" fontId="10" fillId="0" borderId="6" xfId="2" applyFont="1" applyBorder="1" applyAlignment="1">
      <alignment horizontal="left" vertical="center" wrapText="1"/>
    </xf>
    <xf numFmtId="0" fontId="10" fillId="0" borderId="6" xfId="2" applyFont="1" applyBorder="1" applyAlignment="1">
      <alignment horizontal="center" vertical="center"/>
    </xf>
    <xf numFmtId="164" fontId="10" fillId="0" borderId="6" xfId="2" applyNumberFormat="1" applyFont="1" applyBorder="1" applyAlignment="1">
      <alignment horizontal="center" vertical="center"/>
    </xf>
    <xf numFmtId="1" fontId="10" fillId="0" borderId="6" xfId="2" applyNumberFormat="1" applyFont="1" applyBorder="1" applyAlignment="1">
      <alignment horizontal="center" vertical="center"/>
    </xf>
    <xf numFmtId="1" fontId="10" fillId="0" borderId="6" xfId="2" applyNumberFormat="1" applyFont="1" applyFill="1" applyBorder="1" applyAlignment="1">
      <alignment horizontal="center" vertical="center"/>
    </xf>
    <xf numFmtId="164" fontId="10" fillId="0" borderId="6" xfId="2" applyNumberFormat="1" applyFont="1" applyBorder="1" applyAlignment="1">
      <alignment horizontal="left" vertical="center" wrapText="1"/>
    </xf>
    <xf numFmtId="0" fontId="11" fillId="0" borderId="9" xfId="2" applyFont="1" applyBorder="1" applyAlignment="1">
      <alignment horizontal="left" vertical="center" wrapText="1"/>
    </xf>
    <xf numFmtId="0" fontId="10" fillId="0" borderId="9" xfId="2" applyFont="1" applyBorder="1" applyAlignment="1">
      <alignment horizontal="left" vertical="center" wrapText="1"/>
    </xf>
    <xf numFmtId="0" fontId="11" fillId="0" borderId="6" xfId="2" applyFont="1" applyBorder="1" applyAlignment="1">
      <alignment horizontal="left"/>
    </xf>
    <xf numFmtId="0" fontId="10" fillId="0" borderId="6" xfId="2" applyFont="1" applyBorder="1" applyAlignment="1">
      <alignment horizontal="left"/>
    </xf>
    <xf numFmtId="0" fontId="10" fillId="0" borderId="6" xfId="2" applyFont="1" applyBorder="1" applyAlignment="1">
      <alignment horizontal="center"/>
    </xf>
    <xf numFmtId="0" fontId="11" fillId="0" borderId="0" xfId="2" applyFont="1" applyBorder="1"/>
    <xf numFmtId="0" fontId="10" fillId="0" borderId="0" xfId="2" applyFont="1" applyBorder="1"/>
    <xf numFmtId="0" fontId="11" fillId="0" borderId="6" xfId="2" applyFont="1" applyFill="1" applyBorder="1" applyAlignment="1">
      <alignment horizontal="left"/>
    </xf>
    <xf numFmtId="0" fontId="10" fillId="0" borderId="6" xfId="2" applyFont="1" applyFill="1" applyBorder="1" applyAlignment="1">
      <alignment horizontal="left"/>
    </xf>
    <xf numFmtId="2" fontId="10" fillId="0" borderId="6" xfId="2" applyNumberFormat="1" applyFont="1" applyFill="1" applyBorder="1" applyAlignment="1">
      <alignment horizontal="center" vertical="center"/>
    </xf>
    <xf numFmtId="164" fontId="10" fillId="0" borderId="6" xfId="2" applyNumberFormat="1" applyFont="1" applyFill="1" applyBorder="1" applyAlignment="1">
      <alignment horizontal="center" vertical="center"/>
    </xf>
    <xf numFmtId="0" fontId="10" fillId="0" borderId="6" xfId="2" applyFont="1" applyFill="1" applyBorder="1" applyAlignment="1">
      <alignment horizontal="center" vertical="center"/>
    </xf>
    <xf numFmtId="2" fontId="10" fillId="0" borderId="6" xfId="2" applyNumberFormat="1" applyFont="1" applyBorder="1" applyAlignment="1">
      <alignment horizontal="center" vertical="center"/>
    </xf>
    <xf numFmtId="0" fontId="11" fillId="0" borderId="6" xfId="2" applyFont="1" applyFill="1" applyBorder="1" applyAlignment="1">
      <alignment horizontal="left" wrapText="1"/>
    </xf>
    <xf numFmtId="0" fontId="11" fillId="0" borderId="6" xfId="2" applyFont="1" applyBorder="1" applyAlignment="1">
      <alignment horizontal="left" wrapText="1"/>
    </xf>
    <xf numFmtId="0" fontId="10" fillId="0" borderId="6" xfId="2" applyFont="1" applyBorder="1" applyAlignment="1">
      <alignment horizontal="center" wrapText="1"/>
    </xf>
    <xf numFmtId="165" fontId="10" fillId="0" borderId="6" xfId="2" applyNumberFormat="1" applyFont="1" applyBorder="1" applyAlignment="1">
      <alignment horizontal="center" vertical="center"/>
    </xf>
    <xf numFmtId="166" fontId="10" fillId="0" borderId="6" xfId="2" applyNumberFormat="1" applyFont="1" applyBorder="1" applyAlignment="1">
      <alignment horizontal="center" vertical="center"/>
    </xf>
    <xf numFmtId="164" fontId="10" fillId="0" borderId="20" xfId="2" applyNumberFormat="1" applyFont="1" applyBorder="1" applyAlignment="1">
      <alignment horizontal="center" vertical="center" wrapText="1"/>
    </xf>
    <xf numFmtId="164" fontId="6" fillId="0" borderId="15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167" fontId="6" fillId="0" borderId="6" xfId="0" applyNumberFormat="1" applyFont="1" applyBorder="1" applyAlignment="1">
      <alignment horizontal="center" vertical="center" wrapText="1"/>
    </xf>
    <xf numFmtId="164" fontId="10" fillId="0" borderId="7" xfId="2" applyNumberFormat="1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10" fillId="0" borderId="7" xfId="2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0" fontId="12" fillId="0" borderId="22" xfId="2" applyFont="1" applyBorder="1" applyAlignment="1">
      <alignment horizontal="center"/>
    </xf>
    <xf numFmtId="0" fontId="12" fillId="0" borderId="23" xfId="2" applyFont="1" applyBorder="1" applyAlignment="1">
      <alignment horizontal="center"/>
    </xf>
    <xf numFmtId="0" fontId="13" fillId="0" borderId="0" xfId="2" applyFont="1" applyBorder="1" applyAlignment="1">
      <alignment horizontal="center"/>
    </xf>
    <xf numFmtId="0" fontId="12" fillId="0" borderId="0" xfId="2" applyFont="1" applyBorder="1" applyAlignment="1">
      <alignment horizontal="center"/>
    </xf>
    <xf numFmtId="0" fontId="14" fillId="0" borderId="0" xfId="2" applyFont="1" applyBorder="1" applyAlignment="1">
      <alignment horizontal="center"/>
    </xf>
    <xf numFmtId="0" fontId="13" fillId="0" borderId="6" xfId="2" applyFont="1" applyBorder="1" applyAlignment="1">
      <alignment horizontal="left" vertical="center"/>
    </xf>
    <xf numFmtId="0" fontId="13" fillId="0" borderId="6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 wrapText="1"/>
    </xf>
    <xf numFmtId="0" fontId="15" fillId="0" borderId="5" xfId="2" applyFont="1" applyBorder="1" applyAlignment="1">
      <alignment horizontal="center"/>
    </xf>
    <xf numFmtId="0" fontId="15" fillId="0" borderId="6" xfId="2" applyFont="1" applyBorder="1" applyAlignment="1">
      <alignment horizontal="left" vertical="center" wrapText="1"/>
    </xf>
    <xf numFmtId="0" fontId="15" fillId="0" borderId="6" xfId="2" applyFont="1" applyBorder="1" applyAlignment="1">
      <alignment horizontal="center" vertical="center"/>
    </xf>
    <xf numFmtId="164" fontId="15" fillId="0" borderId="6" xfId="2" applyNumberFormat="1" applyFont="1" applyBorder="1" applyAlignment="1">
      <alignment horizontal="center" vertical="center"/>
    </xf>
    <xf numFmtId="1" fontId="15" fillId="0" borderId="6" xfId="2" applyNumberFormat="1" applyFont="1" applyBorder="1" applyAlignment="1">
      <alignment horizontal="center" vertical="center"/>
    </xf>
    <xf numFmtId="1" fontId="15" fillId="0" borderId="6" xfId="2" applyNumberFormat="1" applyFont="1" applyFill="1" applyBorder="1" applyAlignment="1">
      <alignment horizontal="center" vertical="center"/>
    </xf>
    <xf numFmtId="164" fontId="15" fillId="0" borderId="6" xfId="2" applyNumberFormat="1" applyFont="1" applyBorder="1" applyAlignment="1">
      <alignment horizontal="left" vertical="center" wrapText="1"/>
    </xf>
    <xf numFmtId="0" fontId="15" fillId="0" borderId="12" xfId="2" applyFont="1" applyBorder="1" applyAlignment="1">
      <alignment horizontal="center"/>
    </xf>
    <xf numFmtId="0" fontId="15" fillId="0" borderId="12" xfId="2" applyFont="1" applyFill="1" applyBorder="1" applyAlignment="1">
      <alignment horizontal="center"/>
    </xf>
    <xf numFmtId="0" fontId="15" fillId="0" borderId="6" xfId="2" applyFont="1" applyBorder="1" applyAlignment="1">
      <alignment horizontal="left"/>
    </xf>
    <xf numFmtId="0" fontId="15" fillId="0" borderId="6" xfId="2" applyFont="1" applyBorder="1" applyAlignment="1">
      <alignment horizontal="center"/>
    </xf>
    <xf numFmtId="0" fontId="15" fillId="0" borderId="0" xfId="2" applyFont="1" applyBorder="1"/>
    <xf numFmtId="164" fontId="15" fillId="0" borderId="6" xfId="2" applyNumberFormat="1" applyFont="1" applyBorder="1" applyAlignment="1">
      <alignment horizontal="left"/>
    </xf>
    <xf numFmtId="0" fontId="13" fillId="0" borderId="6" xfId="2" applyFont="1" applyBorder="1" applyAlignment="1">
      <alignment horizontal="left"/>
    </xf>
    <xf numFmtId="2" fontId="15" fillId="0" borderId="6" xfId="2" applyNumberFormat="1" applyFont="1" applyBorder="1" applyAlignment="1">
      <alignment horizontal="center" vertical="center"/>
    </xf>
    <xf numFmtId="0" fontId="15" fillId="0" borderId="6" xfId="2" applyFont="1" applyFill="1" applyBorder="1" applyAlignment="1">
      <alignment horizontal="left"/>
    </xf>
    <xf numFmtId="2" fontId="15" fillId="0" borderId="6" xfId="2" applyNumberFormat="1" applyFont="1" applyFill="1" applyBorder="1" applyAlignment="1">
      <alignment horizontal="center" vertical="center"/>
    </xf>
    <xf numFmtId="164" fontId="15" fillId="0" borderId="6" xfId="2" applyNumberFormat="1" applyFont="1" applyFill="1" applyBorder="1" applyAlignment="1">
      <alignment horizontal="center" vertical="center"/>
    </xf>
    <xf numFmtId="0" fontId="15" fillId="0" borderId="6" xfId="2" applyFont="1" applyFill="1" applyBorder="1" applyAlignment="1">
      <alignment horizontal="center" vertical="center"/>
    </xf>
    <xf numFmtId="0" fontId="15" fillId="0" borderId="6" xfId="2" applyFont="1" applyFill="1" applyBorder="1" applyAlignment="1">
      <alignment horizontal="left" wrapText="1"/>
    </xf>
    <xf numFmtId="165" fontId="13" fillId="0" borderId="6" xfId="2" applyNumberFormat="1" applyFont="1" applyBorder="1" applyAlignment="1">
      <alignment horizontal="center" vertical="center"/>
    </xf>
    <xf numFmtId="166" fontId="13" fillId="0" borderId="6" xfId="2" applyNumberFormat="1" applyFont="1" applyBorder="1" applyAlignment="1">
      <alignment horizontal="center" vertical="center"/>
    </xf>
    <xf numFmtId="0" fontId="15" fillId="0" borderId="23" xfId="2" applyFont="1" applyBorder="1" applyAlignment="1">
      <alignment horizontal="center"/>
    </xf>
    <xf numFmtId="0" fontId="15" fillId="0" borderId="0" xfId="2" applyFont="1" applyBorder="1" applyAlignment="1">
      <alignment horizontal="left"/>
    </xf>
    <xf numFmtId="2" fontId="15" fillId="0" borderId="0" xfId="2" applyNumberFormat="1" applyFont="1" applyBorder="1" applyAlignment="1">
      <alignment horizontal="center" vertical="center"/>
    </xf>
    <xf numFmtId="0" fontId="15" fillId="0" borderId="0" xfId="2" applyFont="1" applyBorder="1" applyAlignment="1">
      <alignment horizontal="center" vertical="center"/>
    </xf>
    <xf numFmtId="0" fontId="15" fillId="0" borderId="6" xfId="2" applyFont="1" applyBorder="1" applyAlignment="1">
      <alignment horizontal="left" wrapText="1"/>
    </xf>
    <xf numFmtId="165" fontId="15" fillId="0" borderId="6" xfId="2" applyNumberFormat="1" applyFont="1" applyBorder="1" applyAlignment="1">
      <alignment horizontal="center" vertical="center"/>
    </xf>
    <xf numFmtId="166" fontId="15" fillId="0" borderId="6" xfId="2" applyNumberFormat="1" applyFont="1" applyBorder="1" applyAlignment="1">
      <alignment horizontal="center" vertical="center"/>
    </xf>
    <xf numFmtId="0" fontId="10" fillId="0" borderId="23" xfId="2" applyBorder="1" applyAlignment="1">
      <alignment horizontal="center"/>
    </xf>
    <xf numFmtId="2" fontId="16" fillId="0" borderId="0" xfId="2" applyNumberFormat="1" applyFont="1" applyBorder="1" applyAlignment="1">
      <alignment horizontal="center" vertical="center"/>
    </xf>
    <xf numFmtId="0" fontId="16" fillId="0" borderId="0" xfId="2" applyFont="1" applyBorder="1" applyAlignment="1">
      <alignment horizontal="center" vertical="center"/>
    </xf>
    <xf numFmtId="0" fontId="10" fillId="0" borderId="0" xfId="2" applyBorder="1" applyAlignment="1">
      <alignment horizontal="center" vertical="center"/>
    </xf>
    <xf numFmtId="1" fontId="17" fillId="0" borderId="6" xfId="2" applyNumberFormat="1" applyFont="1" applyBorder="1" applyAlignment="1">
      <alignment horizontal="center" vertical="center"/>
    </xf>
    <xf numFmtId="164" fontId="17" fillId="0" borderId="6" xfId="2" applyNumberFormat="1" applyFont="1" applyBorder="1" applyAlignment="1">
      <alignment horizontal="center" vertical="center"/>
    </xf>
    <xf numFmtId="0" fontId="10" fillId="0" borderId="24" xfId="2" applyBorder="1"/>
    <xf numFmtId="0" fontId="15" fillId="0" borderId="17" xfId="2" applyFont="1" applyBorder="1" applyAlignment="1">
      <alignment horizontal="left"/>
    </xf>
    <xf numFmtId="0" fontId="10" fillId="0" borderId="17" xfId="2" applyBorder="1" applyAlignment="1">
      <alignment horizontal="center" vertical="center"/>
    </xf>
    <xf numFmtId="0" fontId="0" fillId="0" borderId="23" xfId="0" applyBorder="1"/>
    <xf numFmtId="0" fontId="15" fillId="0" borderId="0" xfId="2" applyFont="1" applyFill="1" applyBorder="1" applyAlignment="1">
      <alignment horizontal="left"/>
    </xf>
    <xf numFmtId="0" fontId="0" fillId="0" borderId="0" xfId="0" applyBorder="1"/>
    <xf numFmtId="0" fontId="0" fillId="0" borderId="5" xfId="0" applyBorder="1" applyAlignment="1">
      <alignment horizontal="center"/>
    </xf>
    <xf numFmtId="0" fontId="15" fillId="0" borderId="6" xfId="2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24" xfId="0" applyBorder="1"/>
    <xf numFmtId="0" fontId="0" fillId="0" borderId="17" xfId="0" applyBorder="1"/>
    <xf numFmtId="0" fontId="14" fillId="0" borderId="22" xfId="2" applyFont="1" applyBorder="1" applyAlignment="1">
      <alignment horizontal="center"/>
    </xf>
    <xf numFmtId="0" fontId="13" fillId="0" borderId="5" xfId="2" applyFont="1" applyBorder="1" applyAlignment="1">
      <alignment vertical="center"/>
    </xf>
    <xf numFmtId="0" fontId="0" fillId="0" borderId="22" xfId="0" applyBorder="1"/>
    <xf numFmtId="0" fontId="0" fillId="0" borderId="27" xfId="0" applyBorder="1"/>
    <xf numFmtId="0" fontId="12" fillId="0" borderId="16" xfId="2" applyFont="1" applyBorder="1" applyAlignment="1">
      <alignment horizontal="center"/>
    </xf>
    <xf numFmtId="0" fontId="0" fillId="0" borderId="16" xfId="0" applyBorder="1"/>
    <xf numFmtId="0" fontId="13" fillId="0" borderId="0" xfId="2" applyFont="1" applyBorder="1" applyAlignment="1">
      <alignment horizontal="center" vertical="center"/>
    </xf>
    <xf numFmtId="0" fontId="13" fillId="0" borderId="7" xfId="2" applyFont="1" applyBorder="1" applyAlignment="1">
      <alignment horizontal="center" vertical="center" wrapText="1"/>
    </xf>
    <xf numFmtId="0" fontId="13" fillId="0" borderId="6" xfId="2" applyFont="1" applyFill="1" applyBorder="1" applyAlignment="1">
      <alignment horizontal="center" vertical="center"/>
    </xf>
    <xf numFmtId="0" fontId="13" fillId="0" borderId="6" xfId="2" applyFont="1" applyFill="1" applyBorder="1" applyAlignment="1">
      <alignment horizontal="center" vertical="center" wrapText="1"/>
    </xf>
    <xf numFmtId="0" fontId="13" fillId="0" borderId="8" xfId="2" applyFont="1" applyFill="1" applyBorder="1" applyAlignment="1">
      <alignment horizontal="center" vertical="center"/>
    </xf>
    <xf numFmtId="164" fontId="15" fillId="0" borderId="7" xfId="2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15" fillId="0" borderId="7" xfId="2" applyNumberFormat="1" applyFont="1" applyFill="1" applyBorder="1" applyAlignment="1">
      <alignment horizontal="center" vertical="center"/>
    </xf>
    <xf numFmtId="164" fontId="0" fillId="0" borderId="6" xfId="0" applyNumberFormat="1" applyFill="1" applyBorder="1" applyAlignment="1">
      <alignment horizontal="center"/>
    </xf>
    <xf numFmtId="0" fontId="0" fillId="0" borderId="8" xfId="0" applyBorder="1"/>
    <xf numFmtId="0" fontId="15" fillId="0" borderId="16" xfId="2" applyFont="1" applyBorder="1" applyAlignment="1">
      <alignment horizontal="center" vertical="center"/>
    </xf>
    <xf numFmtId="164" fontId="0" fillId="0" borderId="0" xfId="0" applyNumberFormat="1"/>
    <xf numFmtId="0" fontId="13" fillId="0" borderId="8" xfId="2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 wrapText="1"/>
    </xf>
    <xf numFmtId="166" fontId="13" fillId="0" borderId="7" xfId="2" applyNumberFormat="1" applyFont="1" applyBorder="1" applyAlignment="1">
      <alignment horizontal="center" vertical="center"/>
    </xf>
    <xf numFmtId="0" fontId="10" fillId="0" borderId="16" xfId="2" applyBorder="1" applyAlignment="1">
      <alignment horizontal="center" vertical="center"/>
    </xf>
    <xf numFmtId="164" fontId="17" fillId="0" borderId="0" xfId="2" applyNumberFormat="1" applyFont="1" applyBorder="1" applyAlignment="1">
      <alignment horizontal="center" vertical="center"/>
    </xf>
    <xf numFmtId="0" fontId="10" fillId="0" borderId="18" xfId="2" applyBorder="1" applyAlignment="1">
      <alignment horizontal="center" vertical="center"/>
    </xf>
    <xf numFmtId="0" fontId="0" fillId="0" borderId="18" xfId="0" applyBorder="1"/>
    <xf numFmtId="0" fontId="15" fillId="0" borderId="9" xfId="2" applyFont="1" applyBorder="1" applyAlignment="1">
      <alignment horizontal="left" vertical="center" wrapText="1"/>
    </xf>
    <xf numFmtId="168" fontId="15" fillId="0" borderId="6" xfId="2" applyNumberFormat="1" applyFont="1" applyBorder="1" applyAlignment="1">
      <alignment horizontal="center" vertical="center"/>
    </xf>
    <xf numFmtId="0" fontId="15" fillId="0" borderId="6" xfId="2" applyFont="1" applyBorder="1" applyAlignment="1">
      <alignment horizontal="center" wrapText="1"/>
    </xf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wrapText="1"/>
    </xf>
    <xf numFmtId="1" fontId="0" fillId="0" borderId="6" xfId="0" applyNumberFormat="1" applyBorder="1" applyAlignment="1">
      <alignment horizontal="center"/>
    </xf>
    <xf numFmtId="0" fontId="15" fillId="0" borderId="9" xfId="2" applyFont="1" applyFill="1" applyBorder="1" applyAlignment="1">
      <alignment horizontal="left" wrapText="1"/>
    </xf>
    <xf numFmtId="0" fontId="0" fillId="0" borderId="9" xfId="0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1" fontId="18" fillId="0" borderId="30" xfId="0" applyNumberFormat="1" applyFont="1" applyBorder="1" applyAlignment="1">
      <alignment horizontal="center"/>
    </xf>
    <xf numFmtId="164" fontId="18" fillId="0" borderId="32" xfId="0" applyNumberFormat="1" applyFont="1" applyBorder="1" applyAlignment="1">
      <alignment horizontal="center"/>
    </xf>
    <xf numFmtId="1" fontId="18" fillId="0" borderId="32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18" fillId="0" borderId="32" xfId="0" applyFont="1" applyBorder="1" applyAlignment="1">
      <alignment horizontal="center"/>
    </xf>
    <xf numFmtId="0" fontId="1" fillId="0" borderId="25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32" xfId="0" applyFont="1" applyBorder="1" applyAlignment="1">
      <alignment horizontal="center"/>
    </xf>
    <xf numFmtId="164" fontId="1" fillId="0" borderId="32" xfId="0" applyNumberFormat="1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1" xfId="0" applyBorder="1"/>
    <xf numFmtId="164" fontId="0" fillId="0" borderId="35" xfId="0" applyNumberFormat="1" applyBorder="1"/>
    <xf numFmtId="0" fontId="19" fillId="0" borderId="5" xfId="0" applyFont="1" applyFill="1" applyBorder="1" applyAlignment="1"/>
    <xf numFmtId="0" fontId="6" fillId="0" borderId="6" xfId="0" applyFont="1" applyFill="1" applyBorder="1" applyAlignment="1">
      <alignment horizontal="center"/>
    </xf>
    <xf numFmtId="164" fontId="6" fillId="0" borderId="6" xfId="0" applyNumberFormat="1" applyFont="1" applyFill="1" applyBorder="1" applyAlignment="1">
      <alignment horizontal="center"/>
    </xf>
    <xf numFmtId="164" fontId="0" fillId="0" borderId="8" xfId="0" applyNumberFormat="1" applyBorder="1"/>
    <xf numFmtId="164" fontId="6" fillId="0" borderId="8" xfId="0" applyNumberFormat="1" applyFont="1" applyFill="1" applyBorder="1" applyAlignment="1">
      <alignment horizontal="center"/>
    </xf>
    <xf numFmtId="164" fontId="0" fillId="0" borderId="36" xfId="0" applyNumberFormat="1" applyBorder="1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164" fontId="0" fillId="0" borderId="36" xfId="0" applyNumberFormat="1" applyBorder="1" applyAlignment="1">
      <alignment vertical="center"/>
    </xf>
    <xf numFmtId="0" fontId="0" fillId="0" borderId="36" xfId="0" applyBorder="1"/>
    <xf numFmtId="0" fontId="0" fillId="0" borderId="6" xfId="0" applyFill="1" applyBorder="1" applyAlignment="1">
      <alignment horizontal="center" wrapText="1"/>
    </xf>
    <xf numFmtId="164" fontId="0" fillId="0" borderId="9" xfId="0" applyNumberFormat="1" applyBorder="1" applyAlignment="1">
      <alignment horizontal="center"/>
    </xf>
    <xf numFmtId="164" fontId="18" fillId="0" borderId="37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164" fontId="18" fillId="0" borderId="31" xfId="0" applyNumberFormat="1" applyFont="1" applyBorder="1" applyAlignment="1">
      <alignment horizontal="center"/>
    </xf>
    <xf numFmtId="164" fontId="1" fillId="0" borderId="37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0" borderId="6" xfId="0" applyNumberFormat="1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5" fillId="5" borderId="6" xfId="0" applyNumberFormat="1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9" xfId="0" applyBorder="1"/>
    <xf numFmtId="164" fontId="0" fillId="6" borderId="6" xfId="0" applyNumberForma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6" xfId="0" applyBorder="1" applyAlignment="1"/>
    <xf numFmtId="0" fontId="0" fillId="0" borderId="0" xfId="0" applyAlignment="1"/>
    <xf numFmtId="0" fontId="5" fillId="0" borderId="7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0" fillId="5" borderId="0" xfId="0" applyFill="1"/>
    <xf numFmtId="0" fontId="0" fillId="5" borderId="9" xfId="0" applyFill="1" applyBorder="1"/>
    <xf numFmtId="0" fontId="0" fillId="0" borderId="0" xfId="0" applyFill="1"/>
    <xf numFmtId="0" fontId="0" fillId="0" borderId="6" xfId="0" applyFill="1" applyBorder="1"/>
    <xf numFmtId="0" fontId="5" fillId="0" borderId="9" xfId="0" applyFont="1" applyFill="1" applyBorder="1" applyAlignment="1">
      <alignment horizontal="center"/>
    </xf>
    <xf numFmtId="0" fontId="0" fillId="0" borderId="9" xfId="0" applyFill="1" applyBorder="1"/>
    <xf numFmtId="0" fontId="5" fillId="0" borderId="14" xfId="0" applyFont="1" applyBorder="1" applyAlignment="1">
      <alignment horizontal="center"/>
    </xf>
    <xf numFmtId="1" fontId="0" fillId="6" borderId="6" xfId="0" applyNumberForma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168" fontId="0" fillId="0" borderId="0" xfId="0" applyNumberFormat="1"/>
    <xf numFmtId="0" fontId="25" fillId="0" borderId="6" xfId="0" applyFont="1" applyBorder="1" applyAlignment="1">
      <alignment horizontal="center" wrapText="1"/>
    </xf>
    <xf numFmtId="164" fontId="25" fillId="0" borderId="6" xfId="0" applyNumberFormat="1" applyFont="1" applyBorder="1" applyAlignment="1">
      <alignment horizontal="center" wrapText="1"/>
    </xf>
    <xf numFmtId="0" fontId="25" fillId="0" borderId="6" xfId="0" applyFon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0" fontId="19" fillId="0" borderId="6" xfId="0" applyFont="1" applyBorder="1" applyAlignment="1">
      <alignment horizontal="center" wrapText="1"/>
    </xf>
    <xf numFmtId="0" fontId="0" fillId="0" borderId="21" xfId="0" applyBorder="1"/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164" fontId="5" fillId="0" borderId="36" xfId="0" applyNumberFormat="1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30" xfId="0" applyFont="1" applyBorder="1"/>
    <xf numFmtId="0" fontId="5" fillId="0" borderId="32" xfId="0" applyFont="1" applyBorder="1" applyAlignment="1">
      <alignment horizontal="center"/>
    </xf>
    <xf numFmtId="164" fontId="5" fillId="0" borderId="32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164" fontId="3" fillId="0" borderId="36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164" fontId="3" fillId="0" borderId="15" xfId="0" applyNumberFormat="1" applyFont="1" applyFill="1" applyBorder="1" applyAlignment="1">
      <alignment horizontal="center"/>
    </xf>
    <xf numFmtId="164" fontId="3" fillId="0" borderId="19" xfId="0" applyNumberFormat="1" applyFont="1" applyFill="1" applyBorder="1" applyAlignment="1">
      <alignment horizontal="center"/>
    </xf>
    <xf numFmtId="0" fontId="3" fillId="0" borderId="30" xfId="0" applyFont="1" applyBorder="1"/>
    <xf numFmtId="0" fontId="3" fillId="0" borderId="32" xfId="0" applyFont="1" applyBorder="1" applyAlignment="1">
      <alignment horizontal="center"/>
    </xf>
    <xf numFmtId="164" fontId="3" fillId="0" borderId="32" xfId="0" applyNumberFormat="1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64" fontId="3" fillId="0" borderId="20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164" fontId="5" fillId="0" borderId="20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164" fontId="5" fillId="0" borderId="39" xfId="0" applyNumberFormat="1" applyFont="1" applyBorder="1" applyAlignment="1">
      <alignment horizontal="center"/>
    </xf>
    <xf numFmtId="164" fontId="5" fillId="0" borderId="40" xfId="0" applyNumberFormat="1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164" fontId="5" fillId="0" borderId="31" xfId="0" applyNumberFormat="1" applyFont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164" fontId="5" fillId="0" borderId="47" xfId="0" applyNumberFormat="1" applyFont="1" applyBorder="1" applyAlignment="1">
      <alignment horizontal="center"/>
    </xf>
    <xf numFmtId="164" fontId="5" fillId="0" borderId="37" xfId="0" applyNumberFormat="1" applyFont="1" applyBorder="1" applyAlignment="1">
      <alignment horizontal="center"/>
    </xf>
    <xf numFmtId="0" fontId="3" fillId="0" borderId="15" xfId="0" applyFont="1" applyBorder="1" applyAlignment="1">
      <alignment wrapText="1"/>
    </xf>
    <xf numFmtId="0" fontId="3" fillId="0" borderId="15" xfId="0" applyFont="1" applyBorder="1"/>
    <xf numFmtId="0" fontId="3" fillId="0" borderId="40" xfId="0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48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4" xfId="0" applyFont="1" applyBorder="1" applyAlignment="1">
      <alignment wrapText="1"/>
    </xf>
    <xf numFmtId="0" fontId="3" fillId="0" borderId="34" xfId="0" applyFont="1" applyBorder="1"/>
    <xf numFmtId="0" fontId="3" fillId="0" borderId="35" xfId="0" applyFont="1" applyBorder="1"/>
    <xf numFmtId="0" fontId="3" fillId="0" borderId="9" xfId="0" applyFont="1" applyBorder="1"/>
    <xf numFmtId="0" fontId="3" fillId="0" borderId="48" xfId="0" applyFont="1" applyBorder="1"/>
    <xf numFmtId="0" fontId="3" fillId="0" borderId="30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1" fillId="0" borderId="5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7" fillId="0" borderId="6" xfId="0" applyFont="1" applyBorder="1"/>
    <xf numFmtId="0" fontId="21" fillId="0" borderId="15" xfId="0" applyFont="1" applyBorder="1" applyAlignment="1">
      <alignment horizontal="center"/>
    </xf>
    <xf numFmtId="1" fontId="21" fillId="0" borderId="15" xfId="0" applyNumberFormat="1" applyFont="1" applyBorder="1" applyAlignment="1">
      <alignment horizontal="center"/>
    </xf>
    <xf numFmtId="164" fontId="21" fillId="0" borderId="15" xfId="0" applyNumberFormat="1" applyFont="1" applyBorder="1" applyAlignment="1">
      <alignment horizontal="center"/>
    </xf>
    <xf numFmtId="164" fontId="21" fillId="0" borderId="6" xfId="0" applyNumberFormat="1" applyFont="1" applyBorder="1" applyAlignment="1">
      <alignment horizontal="center"/>
    </xf>
    <xf numFmtId="1" fontId="21" fillId="0" borderId="6" xfId="0" applyNumberFormat="1" applyFont="1" applyBorder="1" applyAlignment="1">
      <alignment horizontal="center"/>
    </xf>
    <xf numFmtId="0" fontId="21" fillId="0" borderId="7" xfId="0" applyFont="1" applyFill="1" applyBorder="1" applyAlignment="1">
      <alignment horizontal="center" wrapText="1"/>
    </xf>
    <xf numFmtId="0" fontId="21" fillId="0" borderId="6" xfId="0" applyFont="1" applyFill="1" applyBorder="1" applyAlignment="1">
      <alignment horizontal="center" wrapText="1"/>
    </xf>
    <xf numFmtId="0" fontId="21" fillId="0" borderId="9" xfId="0" applyFont="1" applyBorder="1" applyAlignment="1">
      <alignment horizontal="center"/>
    </xf>
    <xf numFmtId="0" fontId="21" fillId="0" borderId="10" xfId="0" applyFont="1" applyFill="1" applyBorder="1" applyAlignment="1">
      <alignment horizontal="center" wrapText="1"/>
    </xf>
    <xf numFmtId="0" fontId="21" fillId="0" borderId="9" xfId="0" applyFont="1" applyFill="1" applyBorder="1" applyAlignment="1">
      <alignment horizontal="center" wrapText="1"/>
    </xf>
    <xf numFmtId="1" fontId="21" fillId="0" borderId="9" xfId="0" applyNumberFormat="1" applyFont="1" applyBorder="1" applyAlignment="1">
      <alignment horizontal="center"/>
    </xf>
    <xf numFmtId="0" fontId="21" fillId="0" borderId="9" xfId="0" applyFont="1" applyBorder="1" applyAlignment="1">
      <alignment horizontal="center" wrapText="1"/>
    </xf>
    <xf numFmtId="164" fontId="21" fillId="0" borderId="9" xfId="0" applyNumberFormat="1" applyFont="1" applyBorder="1" applyAlignment="1">
      <alignment horizontal="center"/>
    </xf>
    <xf numFmtId="2" fontId="21" fillId="0" borderId="9" xfId="0" applyNumberFormat="1" applyFont="1" applyBorder="1" applyAlignment="1">
      <alignment horizontal="center"/>
    </xf>
    <xf numFmtId="164" fontId="21" fillId="0" borderId="26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64" fontId="21" fillId="0" borderId="51" xfId="0" applyNumberFormat="1" applyFont="1" applyBorder="1" applyAlignment="1">
      <alignment horizontal="center"/>
    </xf>
    <xf numFmtId="0" fontId="21" fillId="0" borderId="41" xfId="0" applyFont="1" applyBorder="1" applyAlignment="1">
      <alignment horizontal="center"/>
    </xf>
    <xf numFmtId="164" fontId="21" fillId="0" borderId="27" xfId="0" applyNumberFormat="1" applyFont="1" applyBorder="1" applyAlignment="1">
      <alignment horizontal="center"/>
    </xf>
    <xf numFmtId="1" fontId="21" fillId="0" borderId="32" xfId="0" applyNumberFormat="1" applyFont="1" applyBorder="1" applyAlignment="1">
      <alignment horizontal="center"/>
    </xf>
    <xf numFmtId="164" fontId="21" fillId="0" borderId="32" xfId="0" applyNumberFormat="1" applyFont="1" applyBorder="1" applyAlignment="1">
      <alignment horizontal="center"/>
    </xf>
    <xf numFmtId="1" fontId="21" fillId="0" borderId="38" xfId="0" applyNumberFormat="1" applyFont="1" applyBorder="1" applyAlignment="1">
      <alignment horizontal="center"/>
    </xf>
    <xf numFmtId="164" fontId="21" fillId="0" borderId="56" xfId="0" applyNumberFormat="1" applyFont="1" applyBorder="1" applyAlignment="1">
      <alignment horizontal="center"/>
    </xf>
    <xf numFmtId="0" fontId="28" fillId="0" borderId="57" xfId="0" applyFont="1" applyFill="1" applyBorder="1" applyAlignment="1">
      <alignment horizontal="center" wrapText="1"/>
    </xf>
    <xf numFmtId="164" fontId="28" fillId="0" borderId="27" xfId="0" applyNumberFormat="1" applyFont="1" applyBorder="1" applyAlignment="1">
      <alignment horizontal="center"/>
    </xf>
    <xf numFmtId="0" fontId="4" fillId="0" borderId="6" xfId="0" applyFont="1" applyBorder="1"/>
    <xf numFmtId="0" fontId="0" fillId="0" borderId="6" xfId="0" applyFont="1" applyBorder="1" applyAlignment="1">
      <alignment horizontal="center"/>
    </xf>
    <xf numFmtId="164" fontId="28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5" fillId="0" borderId="6" xfId="0" applyFont="1" applyFill="1" applyBorder="1" applyAlignment="1">
      <alignment horizontal="center" wrapText="1"/>
    </xf>
    <xf numFmtId="0" fontId="29" fillId="0" borderId="6" xfId="0" applyFont="1" applyBorder="1" applyAlignment="1">
      <alignment horizontal="center"/>
    </xf>
    <xf numFmtId="164" fontId="29" fillId="0" borderId="6" xfId="0" applyNumberFormat="1" applyFont="1" applyFill="1" applyBorder="1" applyAlignment="1">
      <alignment horizontal="center"/>
    </xf>
    <xf numFmtId="1" fontId="29" fillId="0" borderId="6" xfId="0" applyNumberFormat="1" applyFont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30" fillId="0" borderId="0" xfId="0" applyFont="1"/>
    <xf numFmtId="0" fontId="31" fillId="0" borderId="6" xfId="0" applyFont="1" applyBorder="1"/>
    <xf numFmtId="0" fontId="31" fillId="0" borderId="9" xfId="0" applyFont="1" applyBorder="1"/>
    <xf numFmtId="164" fontId="32" fillId="0" borderId="6" xfId="0" applyNumberFormat="1" applyFont="1" applyBorder="1" applyAlignment="1">
      <alignment horizontal="center"/>
    </xf>
    <xf numFmtId="1" fontId="32" fillId="6" borderId="6" xfId="0" applyNumberFormat="1" applyFont="1" applyFill="1" applyBorder="1" applyAlignment="1">
      <alignment horizontal="center"/>
    </xf>
    <xf numFmtId="164" fontId="32" fillId="6" borderId="6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64" fontId="0" fillId="0" borderId="0" xfId="0" applyNumberFormat="1" applyFill="1" applyBorder="1"/>
    <xf numFmtId="164" fontId="32" fillId="0" borderId="14" xfId="0" applyNumberFormat="1" applyFont="1" applyBorder="1" applyAlignment="1">
      <alignment horizontal="center"/>
    </xf>
    <xf numFmtId="0" fontId="6" fillId="0" borderId="0" xfId="0" applyFont="1" applyFill="1"/>
    <xf numFmtId="0" fontId="33" fillId="0" borderId="0" xfId="0" applyFont="1" applyFill="1"/>
    <xf numFmtId="0" fontId="34" fillId="0" borderId="59" xfId="0" applyFont="1" applyFill="1" applyBorder="1" applyAlignment="1">
      <alignment wrapText="1"/>
    </xf>
    <xf numFmtId="0" fontId="33" fillId="0" borderId="59" xfId="0" applyFont="1" applyFill="1" applyBorder="1" applyAlignment="1">
      <alignment wrapText="1"/>
    </xf>
    <xf numFmtId="0" fontId="34" fillId="0" borderId="14" xfId="0" applyFont="1" applyFill="1" applyBorder="1" applyAlignment="1">
      <alignment horizontal="center" wrapText="1"/>
    </xf>
    <xf numFmtId="0" fontId="34" fillId="0" borderId="13" xfId="0" applyFont="1" applyFill="1" applyBorder="1" applyAlignment="1">
      <alignment horizontal="center" wrapText="1"/>
    </xf>
    <xf numFmtId="0" fontId="34" fillId="0" borderId="0" xfId="0" applyFont="1" applyFill="1" applyBorder="1" applyAlignment="1">
      <alignment horizontal="center" wrapText="1"/>
    </xf>
    <xf numFmtId="0" fontId="33" fillId="0" borderId="7" xfId="0" applyFont="1" applyFill="1" applyBorder="1" applyAlignment="1">
      <alignment horizontal="center" wrapText="1"/>
    </xf>
    <xf numFmtId="0" fontId="34" fillId="0" borderId="6" xfId="0" applyFont="1" applyFill="1" applyBorder="1" applyAlignment="1">
      <alignment horizontal="center" wrapText="1"/>
    </xf>
    <xf numFmtId="0" fontId="33" fillId="0" borderId="42" xfId="0" applyFont="1" applyFill="1" applyBorder="1" applyAlignment="1">
      <alignment horizontal="center" wrapText="1"/>
    </xf>
    <xf numFmtId="0" fontId="33" fillId="0" borderId="51" xfId="0" applyFont="1" applyFill="1" applyBorder="1" applyAlignment="1">
      <alignment horizontal="center" wrapText="1"/>
    </xf>
    <xf numFmtId="0" fontId="33" fillId="5" borderId="51" xfId="0" applyFont="1" applyFill="1" applyBorder="1" applyAlignment="1">
      <alignment horizontal="center" wrapText="1"/>
    </xf>
    <xf numFmtId="0" fontId="33" fillId="0" borderId="9" xfId="0" applyFont="1" applyFill="1" applyBorder="1" applyAlignment="1">
      <alignment horizontal="center" wrapText="1"/>
    </xf>
    <xf numFmtId="0" fontId="34" fillId="0" borderId="42" xfId="0" applyFont="1" applyFill="1" applyBorder="1" applyAlignment="1">
      <alignment horizontal="center" wrapText="1"/>
    </xf>
    <xf numFmtId="0" fontId="18" fillId="0" borderId="15" xfId="0" applyFont="1" applyFill="1" applyBorder="1" applyAlignment="1">
      <alignment horizontal="center" wrapText="1"/>
    </xf>
    <xf numFmtId="0" fontId="35" fillId="0" borderId="6" xfId="0" applyFont="1" applyFill="1" applyBorder="1" applyAlignment="1">
      <alignment horizontal="center" wrapText="1"/>
    </xf>
    <xf numFmtId="164" fontId="35" fillId="0" borderId="6" xfId="0" applyNumberFormat="1" applyFont="1" applyFill="1" applyBorder="1" applyAlignment="1">
      <alignment horizontal="center" wrapText="1"/>
    </xf>
    <xf numFmtId="164" fontId="35" fillId="5" borderId="6" xfId="0" applyNumberFormat="1" applyFont="1" applyFill="1" applyBorder="1" applyAlignment="1">
      <alignment horizontal="center" wrapText="1"/>
    </xf>
    <xf numFmtId="1" fontId="35" fillId="0" borderId="6" xfId="0" applyNumberFormat="1" applyFont="1" applyFill="1" applyBorder="1" applyAlignment="1">
      <alignment horizontal="center" wrapText="1"/>
    </xf>
    <xf numFmtId="0" fontId="18" fillId="0" borderId="6" xfId="0" applyFont="1" applyFill="1" applyBorder="1" applyAlignment="1">
      <alignment horizontal="center" wrapText="1"/>
    </xf>
    <xf numFmtId="164" fontId="18" fillId="0" borderId="6" xfId="0" applyNumberFormat="1" applyFont="1" applyFill="1" applyBorder="1" applyAlignment="1">
      <alignment horizontal="center" wrapText="1"/>
    </xf>
    <xf numFmtId="0" fontId="34" fillId="0" borderId="6" xfId="0" applyFont="1" applyFill="1" applyBorder="1" applyAlignment="1">
      <alignment horizontal="center"/>
    </xf>
    <xf numFmtId="0" fontId="29" fillId="0" borderId="45" xfId="0" applyFont="1" applyFill="1" applyBorder="1" applyAlignment="1">
      <alignment horizontal="center" vertical="center" wrapText="1"/>
    </xf>
    <xf numFmtId="0" fontId="35" fillId="0" borderId="45" xfId="0" applyFont="1" applyFill="1" applyBorder="1" applyAlignment="1">
      <alignment horizontal="center" vertical="center" wrapText="1"/>
    </xf>
    <xf numFmtId="164" fontId="35" fillId="0" borderId="45" xfId="0" applyNumberFormat="1" applyFont="1" applyFill="1" applyBorder="1" applyAlignment="1">
      <alignment horizontal="center" vertical="center" wrapText="1"/>
    </xf>
    <xf numFmtId="164" fontId="35" fillId="5" borderId="45" xfId="0" applyNumberFormat="1" applyFont="1" applyFill="1" applyBorder="1" applyAlignment="1">
      <alignment horizontal="center" vertical="center" wrapText="1"/>
    </xf>
    <xf numFmtId="0" fontId="34" fillId="0" borderId="57" xfId="0" applyFont="1" applyFill="1" applyBorder="1" applyAlignment="1">
      <alignment horizontal="center" wrapText="1"/>
    </xf>
    <xf numFmtId="0" fontId="19" fillId="0" borderId="38" xfId="0" applyFont="1" applyFill="1" applyBorder="1" applyAlignment="1">
      <alignment horizontal="center" wrapText="1"/>
    </xf>
    <xf numFmtId="164" fontId="19" fillId="0" borderId="38" xfId="0" applyNumberFormat="1" applyFont="1" applyFill="1" applyBorder="1" applyAlignment="1">
      <alignment horizontal="center" wrapText="1"/>
    </xf>
    <xf numFmtId="0" fontId="35" fillId="0" borderId="38" xfId="0" applyFont="1" applyFill="1" applyBorder="1" applyAlignment="1">
      <alignment horizontal="center" wrapText="1"/>
    </xf>
    <xf numFmtId="164" fontId="35" fillId="0" borderId="38" xfId="0" applyNumberFormat="1" applyFont="1" applyFill="1" applyBorder="1" applyAlignment="1">
      <alignment horizontal="center" wrapText="1"/>
    </xf>
    <xf numFmtId="1" fontId="35" fillId="0" borderId="38" xfId="0" applyNumberFormat="1" applyFont="1" applyFill="1" applyBorder="1" applyAlignment="1">
      <alignment horizontal="center" wrapText="1"/>
    </xf>
    <xf numFmtId="0" fontId="18" fillId="0" borderId="6" xfId="0" applyFont="1" applyFill="1" applyBorder="1" applyAlignment="1">
      <alignment horizontal="center" vertical="center" wrapText="1"/>
    </xf>
    <xf numFmtId="0" fontId="35" fillId="0" borderId="6" xfId="0" applyFont="1" applyFill="1" applyBorder="1" applyAlignment="1">
      <alignment horizontal="center" vertical="center" wrapText="1"/>
    </xf>
    <xf numFmtId="164" fontId="35" fillId="0" borderId="6" xfId="0" applyNumberFormat="1" applyFont="1" applyFill="1" applyBorder="1" applyAlignment="1">
      <alignment horizontal="center" vertical="center" wrapText="1"/>
    </xf>
    <xf numFmtId="164" fontId="35" fillId="5" borderId="6" xfId="0" applyNumberFormat="1" applyFont="1" applyFill="1" applyBorder="1" applyAlignment="1">
      <alignment horizontal="center" vertical="center" wrapText="1"/>
    </xf>
    <xf numFmtId="0" fontId="33" fillId="0" borderId="6" xfId="0" applyFont="1" applyFill="1" applyBorder="1" applyAlignment="1">
      <alignment horizontal="center" wrapText="1"/>
    </xf>
    <xf numFmtId="164" fontId="33" fillId="0" borderId="6" xfId="0" applyNumberFormat="1" applyFont="1" applyFill="1" applyBorder="1" applyAlignment="1">
      <alignment horizontal="center" wrapText="1"/>
    </xf>
    <xf numFmtId="0" fontId="19" fillId="0" borderId="6" xfId="0" applyFont="1" applyFill="1" applyBorder="1" applyAlignment="1">
      <alignment horizontal="center" wrapText="1"/>
    </xf>
    <xf numFmtId="0" fontId="29" fillId="0" borderId="9" xfId="0" applyFont="1" applyFill="1" applyBorder="1" applyAlignment="1">
      <alignment horizontal="center" vertical="center" wrapText="1"/>
    </xf>
    <xf numFmtId="0" fontId="35" fillId="0" borderId="9" xfId="0" applyFont="1" applyFill="1" applyBorder="1" applyAlignment="1">
      <alignment horizontal="center" vertical="center" wrapText="1"/>
    </xf>
    <xf numFmtId="164" fontId="35" fillId="0" borderId="9" xfId="0" applyNumberFormat="1" applyFont="1" applyFill="1" applyBorder="1" applyAlignment="1">
      <alignment horizontal="center" vertical="center" wrapText="1"/>
    </xf>
    <xf numFmtId="164" fontId="35" fillId="5" borderId="9" xfId="0" applyNumberFormat="1" applyFont="1" applyFill="1" applyBorder="1" applyAlignment="1">
      <alignment horizontal="center" vertical="center" wrapText="1"/>
    </xf>
    <xf numFmtId="0" fontId="34" fillId="0" borderId="15" xfId="0" applyFont="1" applyFill="1" applyBorder="1" applyAlignment="1">
      <alignment horizontal="center" wrapText="1"/>
    </xf>
    <xf numFmtId="0" fontId="19" fillId="0" borderId="15" xfId="0" applyFont="1" applyFill="1" applyBorder="1" applyAlignment="1">
      <alignment horizontal="center" wrapText="1"/>
    </xf>
    <xf numFmtId="0" fontId="35" fillId="0" borderId="15" xfId="0" applyFont="1" applyFill="1" applyBorder="1" applyAlignment="1">
      <alignment horizontal="center" wrapText="1"/>
    </xf>
    <xf numFmtId="164" fontId="35" fillId="0" borderId="15" xfId="0" applyNumberFormat="1" applyFont="1" applyFill="1" applyBorder="1" applyAlignment="1">
      <alignment horizontal="center" wrapText="1"/>
    </xf>
    <xf numFmtId="0" fontId="34" fillId="0" borderId="9" xfId="0" applyFont="1" applyFill="1" applyBorder="1" applyAlignment="1">
      <alignment horizontal="center" wrapText="1"/>
    </xf>
    <xf numFmtId="0" fontId="19" fillId="0" borderId="9" xfId="0" applyFont="1" applyFill="1" applyBorder="1" applyAlignment="1">
      <alignment horizontal="center" wrapText="1"/>
    </xf>
    <xf numFmtId="0" fontId="35" fillId="0" borderId="9" xfId="0" applyFont="1" applyFill="1" applyBorder="1" applyAlignment="1">
      <alignment horizontal="center" wrapText="1"/>
    </xf>
    <xf numFmtId="164" fontId="35" fillId="0" borderId="9" xfId="0" applyNumberFormat="1" applyFont="1" applyFill="1" applyBorder="1" applyAlignment="1">
      <alignment horizontal="center" wrapText="1"/>
    </xf>
    <xf numFmtId="1" fontId="35" fillId="0" borderId="9" xfId="0" applyNumberFormat="1" applyFont="1" applyFill="1" applyBorder="1" applyAlignment="1">
      <alignment horizontal="center" wrapText="1"/>
    </xf>
    <xf numFmtId="0" fontId="29" fillId="8" borderId="33" xfId="0" applyFont="1" applyFill="1" applyBorder="1" applyAlignment="1">
      <alignment horizontal="center" vertical="center" wrapText="1"/>
    </xf>
    <xf numFmtId="0" fontId="35" fillId="0" borderId="49" xfId="0" applyFont="1" applyFill="1" applyBorder="1" applyAlignment="1">
      <alignment horizontal="center" vertical="center" wrapText="1"/>
    </xf>
    <xf numFmtId="164" fontId="35" fillId="0" borderId="47" xfId="0" applyNumberFormat="1" applyFont="1" applyFill="1" applyBorder="1" applyAlignment="1">
      <alignment horizontal="center" vertical="center" wrapText="1"/>
    </xf>
    <xf numFmtId="164" fontId="35" fillId="5" borderId="47" xfId="0" applyNumberFormat="1" applyFont="1" applyFill="1" applyBorder="1" applyAlignment="1">
      <alignment horizontal="center" vertical="center" wrapText="1"/>
    </xf>
    <xf numFmtId="0" fontId="35" fillId="0" borderId="32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wrapText="1"/>
    </xf>
    <xf numFmtId="0" fontId="34" fillId="0" borderId="0" xfId="0" applyFont="1" applyFill="1" applyAlignment="1">
      <alignment horizontal="center" wrapText="1"/>
    </xf>
    <xf numFmtId="0" fontId="29" fillId="0" borderId="1" xfId="0" applyFont="1" applyFill="1" applyBorder="1" applyAlignment="1">
      <alignment horizontal="center"/>
    </xf>
    <xf numFmtId="0" fontId="29" fillId="0" borderId="34" xfId="0" applyFont="1" applyFill="1" applyBorder="1" applyAlignment="1">
      <alignment horizontal="center"/>
    </xf>
    <xf numFmtId="0" fontId="29" fillId="0" borderId="35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35" fillId="0" borderId="22" xfId="0" applyFont="1" applyFill="1" applyBorder="1" applyAlignment="1">
      <alignment horizontal="center" vertical="center"/>
    </xf>
    <xf numFmtId="0" fontId="35" fillId="0" borderId="2" xfId="0" applyFont="1" applyFill="1" applyBorder="1" applyAlignment="1">
      <alignment horizontal="center"/>
    </xf>
    <xf numFmtId="164" fontId="6" fillId="0" borderId="0" xfId="0" applyNumberFormat="1" applyFont="1" applyFill="1" applyBorder="1" applyAlignment="1">
      <alignment horizontal="center"/>
    </xf>
    <xf numFmtId="0" fontId="35" fillId="0" borderId="17" xfId="0" applyFont="1" applyFill="1" applyBorder="1" applyAlignment="1">
      <alignment horizontal="center" vertical="center"/>
    </xf>
    <xf numFmtId="0" fontId="35" fillId="0" borderId="52" xfId="0" applyFont="1" applyFill="1" applyBorder="1" applyAlignment="1">
      <alignment horizontal="center"/>
    </xf>
    <xf numFmtId="0" fontId="35" fillId="0" borderId="0" xfId="0" applyFont="1" applyFill="1"/>
    <xf numFmtId="0" fontId="19" fillId="0" borderId="5" xfId="0" applyFont="1" applyFill="1" applyBorder="1"/>
    <xf numFmtId="164" fontId="29" fillId="0" borderId="8" xfId="0" applyNumberFormat="1" applyFont="1" applyFill="1" applyBorder="1" applyAlignment="1">
      <alignment horizontal="center" wrapText="1"/>
    </xf>
    <xf numFmtId="164" fontId="29" fillId="0" borderId="0" xfId="0" applyNumberFormat="1" applyFont="1" applyFill="1" applyBorder="1" applyAlignment="1">
      <alignment horizontal="center" wrapText="1"/>
    </xf>
    <xf numFmtId="0" fontId="35" fillId="0" borderId="22" xfId="0" applyFont="1" applyFill="1" applyBorder="1" applyAlignment="1">
      <alignment horizontal="center" textRotation="30"/>
    </xf>
    <xf numFmtId="0" fontId="6" fillId="0" borderId="6" xfId="0" applyFont="1" applyFill="1" applyBorder="1"/>
    <xf numFmtId="0" fontId="29" fillId="0" borderId="8" xfId="0" applyFont="1" applyFill="1" applyBorder="1" applyAlignment="1">
      <alignment horizontal="center" wrapText="1"/>
    </xf>
    <xf numFmtId="0" fontId="29" fillId="0" borderId="0" xfId="0" applyFont="1" applyFill="1" applyBorder="1" applyAlignment="1">
      <alignment horizontal="center" wrapText="1"/>
    </xf>
    <xf numFmtId="0" fontId="35" fillId="0" borderId="0" xfId="0" applyFont="1" applyFill="1" applyBorder="1" applyAlignment="1">
      <alignment horizontal="center" textRotation="30"/>
    </xf>
    <xf numFmtId="164" fontId="35" fillId="0" borderId="10" xfId="0" applyNumberFormat="1" applyFont="1" applyFill="1" applyBorder="1" applyAlignment="1">
      <alignment horizontal="center"/>
    </xf>
    <xf numFmtId="0" fontId="35" fillId="0" borderId="65" xfId="0" applyFont="1" applyFill="1" applyBorder="1" applyAlignment="1">
      <alignment horizontal="center"/>
    </xf>
    <xf numFmtId="164" fontId="21" fillId="0" borderId="36" xfId="0" applyNumberFormat="1" applyFont="1" applyFill="1" applyBorder="1" applyAlignment="1">
      <alignment horizontal="center" wrapText="1"/>
    </xf>
    <xf numFmtId="164" fontId="21" fillId="0" borderId="0" xfId="0" applyNumberFormat="1" applyFont="1" applyFill="1" applyBorder="1" applyAlignment="1">
      <alignment horizontal="center" wrapText="1"/>
    </xf>
    <xf numFmtId="0" fontId="33" fillId="0" borderId="0" xfId="0" applyFont="1" applyFill="1" applyBorder="1"/>
    <xf numFmtId="0" fontId="35" fillId="0" borderId="30" xfId="0" applyFont="1" applyFill="1" applyBorder="1" applyAlignment="1">
      <alignment textRotation="45"/>
    </xf>
    <xf numFmtId="0" fontId="35" fillId="0" borderId="33" xfId="0" applyFont="1" applyFill="1" applyBorder="1" applyAlignment="1">
      <alignment textRotation="45"/>
    </xf>
    <xf numFmtId="164" fontId="35" fillId="0" borderId="31" xfId="0" applyNumberFormat="1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33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wrapText="1"/>
    </xf>
    <xf numFmtId="1" fontId="29" fillId="0" borderId="8" xfId="0" applyNumberFormat="1" applyFont="1" applyFill="1" applyBorder="1" applyAlignment="1">
      <alignment horizontal="center"/>
    </xf>
    <xf numFmtId="1" fontId="29" fillId="0" borderId="7" xfId="0" applyNumberFormat="1" applyFont="1" applyFill="1" applyBorder="1" applyAlignment="1">
      <alignment horizontal="center"/>
    </xf>
    <xf numFmtId="164" fontId="35" fillId="0" borderId="7" xfId="0" applyNumberFormat="1" applyFont="1" applyFill="1" applyBorder="1" applyAlignment="1">
      <alignment horizontal="center"/>
    </xf>
    <xf numFmtId="0" fontId="33" fillId="0" borderId="6" xfId="0" applyFont="1" applyFill="1" applyBorder="1"/>
    <xf numFmtId="0" fontId="29" fillId="0" borderId="7" xfId="0" applyFont="1" applyFill="1" applyBorder="1" applyAlignment="1">
      <alignment horizontal="center"/>
    </xf>
    <xf numFmtId="0" fontId="35" fillId="0" borderId="7" xfId="0" applyFont="1" applyFill="1" applyBorder="1" applyAlignment="1">
      <alignment horizontal="center"/>
    </xf>
    <xf numFmtId="1" fontId="35" fillId="0" borderId="6" xfId="0" applyNumberFormat="1" applyFont="1" applyFill="1" applyBorder="1" applyAlignment="1">
      <alignment horizontal="center"/>
    </xf>
    <xf numFmtId="164" fontId="35" fillId="0" borderId="6" xfId="0" applyNumberFormat="1" applyFont="1" applyFill="1" applyBorder="1" applyAlignment="1">
      <alignment horizontal="center"/>
    </xf>
    <xf numFmtId="0" fontId="33" fillId="0" borderId="0" xfId="0" applyFont="1" applyFill="1" applyBorder="1" applyAlignment="1">
      <alignment wrapText="1"/>
    </xf>
    <xf numFmtId="0" fontId="33" fillId="0" borderId="0" xfId="0" applyFont="1" applyFill="1" applyAlignment="1">
      <alignment wrapText="1"/>
    </xf>
    <xf numFmtId="0" fontId="33" fillId="0" borderId="19" xfId="0" applyFont="1" applyFill="1" applyBorder="1" applyAlignment="1">
      <alignment horizontal="center" wrapText="1"/>
    </xf>
    <xf numFmtId="0" fontId="33" fillId="0" borderId="0" xfId="0" applyFont="1" applyFill="1" applyBorder="1" applyAlignment="1">
      <alignment horizontal="center" wrapText="1"/>
    </xf>
    <xf numFmtId="0" fontId="33" fillId="5" borderId="15" xfId="0" applyFont="1" applyFill="1" applyBorder="1" applyAlignment="1">
      <alignment horizontal="center" wrapText="1"/>
    </xf>
    <xf numFmtId="164" fontId="35" fillId="0" borderId="7" xfId="0" applyNumberFormat="1" applyFont="1" applyFill="1" applyBorder="1" applyAlignment="1">
      <alignment horizontal="center" wrapText="1"/>
    </xf>
    <xf numFmtId="164" fontId="33" fillId="5" borderId="6" xfId="0" applyNumberFormat="1" applyFont="1" applyFill="1" applyBorder="1" applyAlignment="1">
      <alignment horizontal="center"/>
    </xf>
    <xf numFmtId="164" fontId="35" fillId="0" borderId="66" xfId="0" applyNumberFormat="1" applyFont="1" applyFill="1" applyBorder="1" applyAlignment="1">
      <alignment horizontal="center" vertical="center" wrapText="1"/>
    </xf>
    <xf numFmtId="164" fontId="35" fillId="0" borderId="58" xfId="0" applyNumberFormat="1" applyFont="1" applyFill="1" applyBorder="1" applyAlignment="1">
      <alignment horizontal="center" wrapText="1"/>
    </xf>
    <xf numFmtId="1" fontId="33" fillId="0" borderId="6" xfId="0" applyNumberFormat="1" applyFont="1" applyFill="1" applyBorder="1" applyAlignment="1">
      <alignment horizontal="center"/>
    </xf>
    <xf numFmtId="164" fontId="35" fillId="0" borderId="7" xfId="0" applyNumberFormat="1" applyFont="1" applyFill="1" applyBorder="1" applyAlignment="1">
      <alignment horizontal="center" vertical="center" wrapText="1"/>
    </xf>
    <xf numFmtId="0" fontId="35" fillId="0" borderId="7" xfId="0" applyFont="1" applyFill="1" applyBorder="1" applyAlignment="1">
      <alignment horizontal="center" wrapText="1"/>
    </xf>
    <xf numFmtId="1" fontId="35" fillId="0" borderId="9" xfId="0" applyNumberFormat="1" applyFont="1" applyFill="1" applyBorder="1" applyAlignment="1">
      <alignment horizontal="center" vertical="center" wrapText="1"/>
    </xf>
    <xf numFmtId="164" fontId="35" fillId="0" borderId="10" xfId="0" applyNumberFormat="1" applyFont="1" applyFill="1" applyBorder="1" applyAlignment="1">
      <alignment horizontal="center" vertical="center" wrapText="1"/>
    </xf>
    <xf numFmtId="164" fontId="35" fillId="5" borderId="10" xfId="0" applyNumberFormat="1" applyFont="1" applyFill="1" applyBorder="1" applyAlignment="1">
      <alignment horizontal="center" vertical="center" wrapText="1"/>
    </xf>
    <xf numFmtId="164" fontId="35" fillId="0" borderId="20" xfId="0" applyNumberFormat="1" applyFont="1" applyFill="1" applyBorder="1" applyAlignment="1">
      <alignment horizontal="center" wrapText="1"/>
    </xf>
    <xf numFmtId="164" fontId="35" fillId="0" borderId="10" xfId="0" applyNumberFormat="1" applyFont="1" applyFill="1" applyBorder="1" applyAlignment="1">
      <alignment horizontal="center" wrapText="1"/>
    </xf>
    <xf numFmtId="164" fontId="35" fillId="0" borderId="32" xfId="0" applyNumberFormat="1" applyFont="1" applyFill="1" applyBorder="1" applyAlignment="1">
      <alignment horizontal="center" vertical="center" wrapText="1"/>
    </xf>
    <xf numFmtId="164" fontId="35" fillId="5" borderId="32" xfId="0" applyNumberFormat="1" applyFont="1" applyFill="1" applyBorder="1" applyAlignment="1">
      <alignment horizontal="center" vertical="center" wrapText="1"/>
    </xf>
    <xf numFmtId="164" fontId="35" fillId="0" borderId="31" xfId="0" applyNumberFormat="1" applyFont="1" applyFill="1" applyBorder="1" applyAlignment="1">
      <alignment horizontal="center" vertical="center" wrapText="1"/>
    </xf>
    <xf numFmtId="164" fontId="35" fillId="0" borderId="60" xfId="0" applyNumberFormat="1" applyFont="1" applyFill="1" applyBorder="1" applyAlignment="1">
      <alignment horizontal="center"/>
    </xf>
    <xf numFmtId="164" fontId="35" fillId="0" borderId="21" xfId="0" applyNumberFormat="1" applyFont="1" applyFill="1" applyBorder="1" applyAlignment="1">
      <alignment horizontal="center"/>
    </xf>
    <xf numFmtId="164" fontId="35" fillId="0" borderId="0" xfId="0" applyNumberFormat="1" applyFont="1" applyFill="1" applyBorder="1" applyAlignment="1">
      <alignment horizontal="center"/>
    </xf>
    <xf numFmtId="0" fontId="35" fillId="0" borderId="14" xfId="0" applyFont="1" applyFill="1" applyBorder="1" applyAlignment="1">
      <alignment horizontal="center"/>
    </xf>
    <xf numFmtId="164" fontId="35" fillId="0" borderId="49" xfId="0" applyNumberFormat="1" applyFont="1" applyFill="1" applyBorder="1" applyAlignment="1">
      <alignment horizontal="center"/>
    </xf>
    <xf numFmtId="164" fontId="35" fillId="0" borderId="25" xfId="0" applyNumberFormat="1" applyFont="1" applyFill="1" applyBorder="1" applyAlignment="1">
      <alignment horizontal="center"/>
    </xf>
    <xf numFmtId="0" fontId="35" fillId="0" borderId="14" xfId="0" applyFont="1" applyFill="1" applyBorder="1" applyAlignment="1">
      <alignment horizontal="center" wrapText="1"/>
    </xf>
    <xf numFmtId="0" fontId="35" fillId="0" borderId="34" xfId="0" applyFont="1" applyFill="1" applyBorder="1" applyAlignment="1">
      <alignment horizontal="center"/>
    </xf>
    <xf numFmtId="0" fontId="35" fillId="0" borderId="35" xfId="0" applyFont="1" applyFill="1" applyBorder="1" applyAlignment="1">
      <alignment horizontal="center"/>
    </xf>
    <xf numFmtId="0" fontId="35" fillId="0" borderId="67" xfId="0" applyFont="1" applyFill="1" applyBorder="1" applyAlignment="1">
      <alignment horizontal="left" indent="1"/>
    </xf>
    <xf numFmtId="0" fontId="35" fillId="0" borderId="3" xfId="0" applyFont="1" applyFill="1" applyBorder="1" applyAlignment="1">
      <alignment horizontal="left" indent="1"/>
    </xf>
    <xf numFmtId="164" fontId="35" fillId="0" borderId="35" xfId="0" applyNumberFormat="1" applyFont="1" applyFill="1" applyBorder="1" applyAlignment="1">
      <alignment horizontal="left" wrapText="1" indent="1"/>
    </xf>
    <xf numFmtId="164" fontId="35" fillId="0" borderId="29" xfId="0" applyNumberFormat="1" applyFont="1" applyFill="1" applyBorder="1" applyAlignment="1">
      <alignment horizontal="center"/>
    </xf>
    <xf numFmtId="164" fontId="35" fillId="0" borderId="52" xfId="0" applyNumberFormat="1" applyFont="1" applyFill="1" applyBorder="1" applyAlignment="1">
      <alignment horizontal="center"/>
    </xf>
    <xf numFmtId="164" fontId="35" fillId="0" borderId="36" xfId="0" applyNumberFormat="1" applyFont="1" applyFill="1" applyBorder="1" applyAlignment="1">
      <alignment horizontal="center"/>
    </xf>
    <xf numFmtId="0" fontId="35" fillId="0" borderId="12" xfId="0" applyFont="1" applyFill="1" applyBorder="1" applyAlignment="1">
      <alignment horizontal="left" indent="1"/>
    </xf>
    <xf numFmtId="0" fontId="35" fillId="0" borderId="13" xfId="0" applyFont="1" applyFill="1" applyBorder="1" applyAlignment="1">
      <alignment horizontal="left" indent="1"/>
    </xf>
    <xf numFmtId="164" fontId="35" fillId="0" borderId="8" xfId="0" applyNumberFormat="1" applyFont="1" applyFill="1" applyBorder="1" applyAlignment="1">
      <alignment horizontal="left" wrapText="1" indent="1"/>
    </xf>
    <xf numFmtId="0" fontId="35" fillId="0" borderId="53" xfId="0" applyFont="1" applyFill="1" applyBorder="1" applyAlignment="1">
      <alignment horizontal="center"/>
    </xf>
    <xf numFmtId="164" fontId="35" fillId="0" borderId="36" xfId="0" applyNumberFormat="1" applyFont="1" applyFill="1" applyBorder="1" applyAlignment="1">
      <alignment horizontal="left" wrapText="1" indent="1"/>
    </xf>
    <xf numFmtId="164" fontId="35" fillId="0" borderId="8" xfId="0" applyNumberFormat="1" applyFont="1" applyFill="1" applyBorder="1" applyAlignment="1">
      <alignment horizontal="center"/>
    </xf>
    <xf numFmtId="164" fontId="35" fillId="0" borderId="54" xfId="0" applyNumberFormat="1" applyFont="1" applyFill="1" applyBorder="1" applyAlignment="1">
      <alignment horizontal="center"/>
    </xf>
    <xf numFmtId="164" fontId="35" fillId="0" borderId="53" xfId="0" applyNumberFormat="1" applyFont="1" applyFill="1" applyBorder="1" applyAlignment="1">
      <alignment horizontal="center"/>
    </xf>
    <xf numFmtId="0" fontId="33" fillId="0" borderId="0" xfId="0" applyFont="1" applyFill="1" applyBorder="1" applyAlignment="1">
      <alignment horizontal="center"/>
    </xf>
    <xf numFmtId="164" fontId="33" fillId="0" borderId="0" xfId="0" applyNumberFormat="1" applyFont="1" applyFill="1" applyBorder="1" applyAlignment="1">
      <alignment horizontal="center" wrapText="1"/>
    </xf>
    <xf numFmtId="164" fontId="36" fillId="0" borderId="0" xfId="0" applyNumberFormat="1" applyFont="1" applyFill="1" applyBorder="1" applyAlignment="1">
      <alignment horizontal="center" wrapText="1"/>
    </xf>
    <xf numFmtId="164" fontId="33" fillId="0" borderId="0" xfId="0" applyNumberFormat="1" applyFont="1" applyFill="1"/>
    <xf numFmtId="0" fontId="6" fillId="0" borderId="0" xfId="0" applyFont="1" applyFill="1" applyBorder="1"/>
    <xf numFmtId="0" fontId="6" fillId="0" borderId="0" xfId="0" applyFont="1" applyFill="1" applyAlignment="1">
      <alignment wrapText="1"/>
    </xf>
    <xf numFmtId="0" fontId="4" fillId="0" borderId="0" xfId="0" applyFont="1" applyFill="1" applyBorder="1" applyAlignment="1">
      <alignment horizontal="center"/>
    </xf>
    <xf numFmtId="0" fontId="29" fillId="0" borderId="0" xfId="0" applyFont="1" applyFill="1" applyBorder="1" applyAlignment="1">
      <alignment horizontal="center"/>
    </xf>
    <xf numFmtId="164" fontId="37" fillId="0" borderId="0" xfId="0" applyNumberFormat="1" applyFont="1" applyFill="1" applyBorder="1" applyAlignment="1">
      <alignment horizontal="center" wrapText="1"/>
    </xf>
    <xf numFmtId="0" fontId="38" fillId="0" borderId="0" xfId="0" applyFont="1"/>
    <xf numFmtId="49" fontId="0" fillId="0" borderId="0" xfId="0" applyNumberFormat="1"/>
    <xf numFmtId="0" fontId="0" fillId="0" borderId="6" xfId="0" applyBorder="1" applyAlignment="1">
      <alignment wrapText="1"/>
    </xf>
    <xf numFmtId="14" fontId="0" fillId="0" borderId="6" xfId="0" applyNumberFormat="1" applyBorder="1" applyAlignment="1">
      <alignment horizontal="center"/>
    </xf>
    <xf numFmtId="0" fontId="19" fillId="0" borderId="6" xfId="0" applyFont="1" applyBorder="1" applyAlignment="1">
      <alignment horizontal="center"/>
    </xf>
    <xf numFmtId="164" fontId="35" fillId="0" borderId="6" xfId="0" applyNumberFormat="1" applyFont="1" applyBorder="1" applyAlignment="1">
      <alignment horizontal="center"/>
    </xf>
    <xf numFmtId="164" fontId="39" fillId="0" borderId="6" xfId="0" applyNumberFormat="1" applyFont="1" applyBorder="1" applyAlignment="1">
      <alignment horizontal="center"/>
    </xf>
    <xf numFmtId="0" fontId="35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0" borderId="6" xfId="0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21" fillId="0" borderId="59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0" fillId="0" borderId="68" xfId="0" applyBorder="1" applyAlignment="1">
      <alignment horizontal="center"/>
    </xf>
    <xf numFmtId="168" fontId="0" fillId="0" borderId="68" xfId="0" applyNumberFormat="1" applyBorder="1" applyAlignment="1">
      <alignment horizontal="center"/>
    </xf>
    <xf numFmtId="164" fontId="21" fillId="0" borderId="59" xfId="0" applyNumberFormat="1" applyFont="1" applyBorder="1" applyAlignment="1">
      <alignment horizontal="center"/>
    </xf>
    <xf numFmtId="164" fontId="21" fillId="0" borderId="19" xfId="0" applyNumberFormat="1" applyFont="1" applyBorder="1" applyAlignment="1">
      <alignment horizontal="center"/>
    </xf>
    <xf numFmtId="164" fontId="21" fillId="0" borderId="0" xfId="0" applyNumberFormat="1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68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21" fillId="0" borderId="42" xfId="0" applyFont="1" applyBorder="1" applyAlignment="1">
      <alignment horizontal="center"/>
    </xf>
    <xf numFmtId="0" fontId="21" fillId="0" borderId="0" xfId="0" applyFont="1" applyAlignment="1">
      <alignment horizontal="center"/>
    </xf>
    <xf numFmtId="164" fontId="35" fillId="0" borderId="14" xfId="0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9" xfId="0" applyBorder="1"/>
    <xf numFmtId="0" fontId="0" fillId="0" borderId="51" xfId="0" applyBorder="1" applyAlignment="1">
      <alignment horizontal="center"/>
    </xf>
    <xf numFmtId="0" fontId="0" fillId="0" borderId="41" xfId="0" applyBorder="1" applyAlignment="1">
      <alignment horizontal="center"/>
    </xf>
    <xf numFmtId="164" fontId="39" fillId="0" borderId="7" xfId="0" applyNumberFormat="1" applyFont="1" applyBorder="1" applyAlignment="1">
      <alignment horizontal="center"/>
    </xf>
    <xf numFmtId="0" fontId="39" fillId="0" borderId="13" xfId="0" applyFont="1" applyBorder="1" applyAlignment="1">
      <alignment horizontal="center"/>
    </xf>
    <xf numFmtId="0" fontId="39" fillId="0" borderId="7" xfId="0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39" fillId="0" borderId="68" xfId="0" applyFont="1" applyBorder="1" applyAlignment="1">
      <alignment horizontal="center"/>
    </xf>
    <xf numFmtId="0" fontId="39" fillId="0" borderId="51" xfId="0" applyFont="1" applyBorder="1" applyAlignment="1">
      <alignment horizontal="center"/>
    </xf>
    <xf numFmtId="164" fontId="39" fillId="0" borderId="0" xfId="0" applyNumberFormat="1" applyFont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9" xfId="0" applyFill="1" applyBorder="1" applyAlignment="1">
      <alignment horizontal="center" wrapText="1"/>
    </xf>
    <xf numFmtId="0" fontId="41" fillId="0" borderId="6" xfId="0" applyFont="1" applyBorder="1" applyAlignment="1">
      <alignment horizontal="center"/>
    </xf>
    <xf numFmtId="0" fontId="41" fillId="0" borderId="7" xfId="0" applyFont="1" applyBorder="1" applyAlignment="1">
      <alignment horizontal="center"/>
    </xf>
    <xf numFmtId="0" fontId="0" fillId="0" borderId="0" xfId="0" applyBorder="1" applyAlignment="1">
      <alignment wrapText="1"/>
    </xf>
    <xf numFmtId="0" fontId="39" fillId="0" borderId="6" xfId="0" applyFont="1" applyFill="1" applyBorder="1" applyAlignment="1">
      <alignment horizontal="center"/>
    </xf>
    <xf numFmtId="164" fontId="35" fillId="0" borderId="0" xfId="0" applyNumberFormat="1" applyFont="1" applyBorder="1" applyAlignment="1">
      <alignment horizontal="center"/>
    </xf>
    <xf numFmtId="0" fontId="35" fillId="0" borderId="0" xfId="0" applyFont="1" applyBorder="1" applyAlignment="1">
      <alignment horizontal="center"/>
    </xf>
    <xf numFmtId="0" fontId="35" fillId="0" borderId="9" xfId="0" applyFont="1" applyBorder="1" applyAlignment="1">
      <alignment horizontal="center"/>
    </xf>
    <xf numFmtId="0" fontId="35" fillId="0" borderId="15" xfId="0" applyFont="1" applyBorder="1" applyAlignment="1">
      <alignment horizontal="center"/>
    </xf>
    <xf numFmtId="164" fontId="35" fillId="0" borderId="9" xfId="0" applyNumberFormat="1" applyFont="1" applyBorder="1" applyAlignment="1">
      <alignment horizontal="center"/>
    </xf>
    <xf numFmtId="169" fontId="39" fillId="0" borderId="6" xfId="0" applyNumberFormat="1" applyFont="1" applyFill="1" applyBorder="1" applyAlignment="1">
      <alignment horizontal="center"/>
    </xf>
    <xf numFmtId="1" fontId="39" fillId="0" borderId="6" xfId="0" applyNumberFormat="1" applyFont="1" applyFill="1" applyBorder="1" applyAlignment="1">
      <alignment horizontal="center"/>
    </xf>
    <xf numFmtId="0" fontId="39" fillId="0" borderId="0" xfId="0" applyFont="1" applyFill="1" applyAlignment="1">
      <alignment horizontal="center"/>
    </xf>
    <xf numFmtId="2" fontId="39" fillId="0" borderId="6" xfId="0" applyNumberFormat="1" applyFont="1" applyFill="1" applyBorder="1" applyAlignment="1">
      <alignment horizontal="center"/>
    </xf>
    <xf numFmtId="2" fontId="33" fillId="0" borderId="6" xfId="0" applyNumberFormat="1" applyFont="1" applyBorder="1" applyAlignment="1">
      <alignment horizontal="center"/>
    </xf>
    <xf numFmtId="2" fontId="21" fillId="0" borderId="6" xfId="0" applyNumberFormat="1" applyFont="1" applyBorder="1" applyAlignment="1">
      <alignment horizontal="center"/>
    </xf>
    <xf numFmtId="2" fontId="39" fillId="0" borderId="6" xfId="0" applyNumberFormat="1" applyFont="1" applyBorder="1" applyAlignment="1">
      <alignment horizontal="center"/>
    </xf>
    <xf numFmtId="169" fontId="39" fillId="0" borderId="6" xfId="0" applyNumberFormat="1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9" fontId="39" fillId="0" borderId="7" xfId="0" applyNumberFormat="1" applyFont="1" applyBorder="1" applyAlignment="1">
      <alignment horizontal="center"/>
    </xf>
    <xf numFmtId="1" fontId="39" fillId="0" borderId="7" xfId="0" applyNumberFormat="1" applyFont="1" applyBorder="1" applyAlignment="1">
      <alignment horizontal="center"/>
    </xf>
    <xf numFmtId="0" fontId="42" fillId="9" borderId="6" xfId="0" applyFont="1" applyFill="1" applyBorder="1"/>
    <xf numFmtId="0" fontId="0" fillId="4" borderId="0" xfId="0" applyFill="1"/>
    <xf numFmtId="49" fontId="43" fillId="10" borderId="0" xfId="0" applyNumberFormat="1" applyFont="1" applyFill="1" applyAlignment="1">
      <alignment horizontal="center"/>
    </xf>
    <xf numFmtId="0" fontId="39" fillId="11" borderId="33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34" xfId="0" applyFont="1" applyFill="1" applyBorder="1" applyAlignment="1">
      <alignment horizontal="center"/>
    </xf>
    <xf numFmtId="0" fontId="5" fillId="6" borderId="34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29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5" borderId="34" xfId="0" applyFont="1" applyFill="1" applyBorder="1" applyAlignment="1">
      <alignment horizontal="center"/>
    </xf>
    <xf numFmtId="0" fontId="29" fillId="0" borderId="34" xfId="0" applyFont="1" applyBorder="1" applyAlignment="1">
      <alignment horizontal="center"/>
    </xf>
    <xf numFmtId="164" fontId="29" fillId="0" borderId="34" xfId="0" applyNumberFormat="1" applyFont="1" applyBorder="1" applyAlignment="1">
      <alignment horizontal="center"/>
    </xf>
    <xf numFmtId="0" fontId="29" fillId="5" borderId="6" xfId="0" applyFont="1" applyFill="1" applyBorder="1" applyAlignment="1">
      <alignment horizontal="center"/>
    </xf>
    <xf numFmtId="164" fontId="29" fillId="0" borderId="6" xfId="0" applyNumberFormat="1" applyFont="1" applyBorder="1" applyAlignment="1">
      <alignment horizontal="center"/>
    </xf>
    <xf numFmtId="0" fontId="29" fillId="0" borderId="29" xfId="0" applyFont="1" applyBorder="1" applyAlignment="1">
      <alignment horizontal="center"/>
    </xf>
    <xf numFmtId="0" fontId="29" fillId="4" borderId="34" xfId="0" applyFont="1" applyFill="1" applyBorder="1" applyAlignment="1">
      <alignment horizontal="center"/>
    </xf>
    <xf numFmtId="0" fontId="29" fillId="0" borderId="5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29" fillId="6" borderId="34" xfId="0" applyFont="1" applyFill="1" applyBorder="1" applyAlignment="1">
      <alignment horizontal="center"/>
    </xf>
    <xf numFmtId="0" fontId="29" fillId="6" borderId="6" xfId="0" applyFont="1" applyFill="1" applyBorder="1" applyAlignment="1">
      <alignment horizontal="center"/>
    </xf>
    <xf numFmtId="0" fontId="29" fillId="12" borderId="38" xfId="0" applyFont="1" applyFill="1" applyBorder="1" applyAlignment="1">
      <alignment horizontal="center"/>
    </xf>
    <xf numFmtId="164" fontId="5" fillId="0" borderId="34" xfId="0" applyNumberFormat="1" applyFont="1" applyFill="1" applyBorder="1" applyAlignment="1">
      <alignment horizontal="center"/>
    </xf>
    <xf numFmtId="0" fontId="5" fillId="0" borderId="35" xfId="0" applyFont="1" applyFill="1" applyBorder="1" applyAlignment="1">
      <alignment horizontal="center"/>
    </xf>
    <xf numFmtId="0" fontId="5" fillId="0" borderId="40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164" fontId="5" fillId="0" borderId="29" xfId="0" applyNumberFormat="1" applyFont="1" applyFill="1" applyBorder="1" applyAlignment="1">
      <alignment horizontal="center"/>
    </xf>
    <xf numFmtId="164" fontId="29" fillId="0" borderId="29" xfId="0" applyNumberFormat="1" applyFont="1" applyBorder="1" applyAlignment="1">
      <alignment horizontal="center"/>
    </xf>
    <xf numFmtId="0" fontId="5" fillId="5" borderId="36" xfId="0" applyFont="1" applyFill="1" applyBorder="1" applyAlignment="1">
      <alignment horizontal="center"/>
    </xf>
    <xf numFmtId="0" fontId="29" fillId="5" borderId="36" xfId="0" applyFont="1" applyFill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14" xfId="0" applyFont="1" applyBorder="1" applyAlignment="1">
      <alignment horizontal="center"/>
    </xf>
    <xf numFmtId="0" fontId="29" fillId="0" borderId="44" xfId="0" applyFont="1" applyFill="1" applyBorder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2" fontId="29" fillId="0" borderId="8" xfId="0" applyNumberFormat="1" applyFont="1" applyBorder="1" applyAlignment="1">
      <alignment horizontal="center"/>
    </xf>
    <xf numFmtId="0" fontId="29" fillId="0" borderId="8" xfId="0" applyFont="1" applyFill="1" applyBorder="1" applyAlignment="1">
      <alignment horizontal="center"/>
    </xf>
    <xf numFmtId="2" fontId="29" fillId="0" borderId="14" xfId="0" applyNumberFormat="1" applyFont="1" applyFill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5" borderId="29" xfId="0" applyFont="1" applyFill="1" applyBorder="1" applyAlignment="1">
      <alignment horizontal="center"/>
    </xf>
    <xf numFmtId="0" fontId="0" fillId="0" borderId="33" xfId="0" applyFill="1" applyBorder="1"/>
    <xf numFmtId="0" fontId="4" fillId="0" borderId="0" xfId="0" applyFont="1" applyFill="1"/>
    <xf numFmtId="0" fontId="29" fillId="0" borderId="0" xfId="0" applyFont="1" applyAlignment="1">
      <alignment horizontal="center"/>
    </xf>
    <xf numFmtId="0" fontId="18" fillId="0" borderId="6" xfId="0" applyFont="1" applyFill="1" applyBorder="1" applyAlignment="1">
      <alignment horizontal="center"/>
    </xf>
    <xf numFmtId="3" fontId="29" fillId="0" borderId="6" xfId="0" applyNumberFormat="1" applyFont="1" applyBorder="1" applyAlignment="1">
      <alignment horizontal="center"/>
    </xf>
    <xf numFmtId="0" fontId="18" fillId="0" borderId="19" xfId="0" applyFont="1" applyFill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5" fillId="5" borderId="6" xfId="0" applyFont="1" applyFill="1" applyBorder="1" applyAlignment="1">
      <alignment horizontal="center" wrapText="1"/>
    </xf>
    <xf numFmtId="2" fontId="29" fillId="0" borderId="6" xfId="0" applyNumberFormat="1" applyFont="1" applyFill="1" applyBorder="1" applyAlignment="1">
      <alignment horizontal="center"/>
    </xf>
    <xf numFmtId="0" fontId="44" fillId="5" borderId="6" xfId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0" applyFont="1" applyFill="1" applyAlignment="1">
      <alignment horizontal="center"/>
    </xf>
    <xf numFmtId="0" fontId="18" fillId="0" borderId="5" xfId="0" applyFont="1" applyFill="1" applyBorder="1" applyAlignment="1">
      <alignment horizontal="center"/>
    </xf>
    <xf numFmtId="0" fontId="18" fillId="0" borderId="5" xfId="0" applyFont="1" applyBorder="1"/>
    <xf numFmtId="0" fontId="0" fillId="0" borderId="5" xfId="0" applyFill="1" applyBorder="1" applyAlignment="1">
      <alignment horizontal="center"/>
    </xf>
    <xf numFmtId="0" fontId="18" fillId="0" borderId="5" xfId="0" applyFont="1" applyFill="1" applyBorder="1"/>
    <xf numFmtId="0" fontId="18" fillId="0" borderId="1" xfId="0" applyFont="1" applyFill="1" applyBorder="1"/>
    <xf numFmtId="0" fontId="18" fillId="0" borderId="5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34" xfId="0" applyFill="1" applyBorder="1"/>
    <xf numFmtId="0" fontId="0" fillId="0" borderId="34" xfId="0" applyFill="1" applyBorder="1" applyAlignment="1">
      <alignment horizontal="center"/>
    </xf>
    <xf numFmtId="0" fontId="3" fillId="4" borderId="34" xfId="0" applyFont="1" applyFill="1" applyBorder="1" applyAlignment="1">
      <alignment horizontal="center"/>
    </xf>
    <xf numFmtId="0" fontId="4" fillId="0" borderId="34" xfId="0" applyFont="1" applyBorder="1" applyAlignment="1">
      <alignment horizontal="center"/>
    </xf>
    <xf numFmtId="164" fontId="4" fillId="0" borderId="34" xfId="0" applyNumberFormat="1" applyFont="1" applyBorder="1" applyAlignment="1">
      <alignment horizontal="center"/>
    </xf>
    <xf numFmtId="2" fontId="4" fillId="0" borderId="35" xfId="0" applyNumberFormat="1" applyFont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5" borderId="34" xfId="0" applyFont="1" applyFill="1" applyBorder="1" applyAlignment="1">
      <alignment horizontal="center"/>
    </xf>
    <xf numFmtId="0" fontId="4" fillId="8" borderId="34" xfId="0" applyFont="1" applyFill="1" applyBorder="1" applyAlignment="1">
      <alignment horizontal="center"/>
    </xf>
    <xf numFmtId="0" fontId="4" fillId="8" borderId="15" xfId="0" applyFont="1" applyFill="1" applyBorder="1" applyAlignment="1">
      <alignment horizontal="center"/>
    </xf>
    <xf numFmtId="164" fontId="4" fillId="0" borderId="6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164" fontId="4" fillId="0" borderId="6" xfId="0" applyNumberFormat="1" applyFont="1" applyFill="1" applyBorder="1" applyAlignment="1">
      <alignment horizontal="center"/>
    </xf>
    <xf numFmtId="2" fontId="4" fillId="0" borderId="8" xfId="0" applyNumberFormat="1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0" fontId="4" fillId="0" borderId="36" xfId="0" applyFont="1" applyFill="1" applyBorder="1" applyAlignment="1">
      <alignment horizontal="center"/>
    </xf>
    <xf numFmtId="0" fontId="18" fillId="0" borderId="34" xfId="0" applyFont="1" applyFill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6" borderId="34" xfId="0" applyFont="1" applyFill="1" applyBorder="1" applyAlignment="1">
      <alignment horizontal="center"/>
    </xf>
    <xf numFmtId="1" fontId="4" fillId="0" borderId="34" xfId="0" applyNumberFormat="1" applyFont="1" applyFill="1" applyBorder="1" applyAlignment="1">
      <alignment horizontal="center"/>
    </xf>
    <xf numFmtId="164" fontId="4" fillId="0" borderId="34" xfId="0" applyNumberFormat="1" applyFont="1" applyFill="1" applyBorder="1" applyAlignment="1">
      <alignment horizontal="center"/>
    </xf>
    <xf numFmtId="0" fontId="4" fillId="0" borderId="35" xfId="0" applyFont="1" applyFill="1" applyBorder="1" applyAlignment="1">
      <alignment horizontal="center"/>
    </xf>
    <xf numFmtId="1" fontId="4" fillId="0" borderId="29" xfId="0" applyNumberFormat="1" applyFont="1" applyBorder="1" applyAlignment="1">
      <alignment horizontal="center"/>
    </xf>
    <xf numFmtId="1" fontId="4" fillId="0" borderId="36" xfId="0" applyNumberFormat="1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4" fillId="3" borderId="34" xfId="0" applyFont="1" applyFill="1" applyBorder="1" applyAlignment="1">
      <alignment horizontal="center"/>
    </xf>
    <xf numFmtId="0" fontId="4" fillId="0" borderId="35" xfId="0" applyFont="1" applyBorder="1" applyAlignment="1">
      <alignment horizontal="center"/>
    </xf>
    <xf numFmtId="2" fontId="5" fillId="0" borderId="8" xfId="0" applyNumberFormat="1" applyFont="1" applyFill="1" applyBorder="1" applyAlignment="1">
      <alignment horizontal="center"/>
    </xf>
    <xf numFmtId="1" fontId="4" fillId="0" borderId="6" xfId="0" applyNumberFormat="1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5" fillId="0" borderId="36" xfId="0" applyFont="1" applyFill="1" applyBorder="1" applyAlignment="1">
      <alignment horizontal="center"/>
    </xf>
    <xf numFmtId="0" fontId="4" fillId="7" borderId="34" xfId="0" applyFont="1" applyFill="1" applyBorder="1" applyAlignment="1">
      <alignment horizontal="center"/>
    </xf>
    <xf numFmtId="2" fontId="5" fillId="0" borderId="35" xfId="0" applyNumberFormat="1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44" fillId="5" borderId="9" xfId="1" applyFill="1" applyBorder="1" applyAlignment="1">
      <alignment horizontal="center"/>
    </xf>
    <xf numFmtId="2" fontId="4" fillId="0" borderId="43" xfId="0" applyNumberFormat="1" applyFont="1" applyFill="1" applyBorder="1" applyAlignment="1">
      <alignment horizontal="center"/>
    </xf>
    <xf numFmtId="2" fontId="5" fillId="0" borderId="34" xfId="0" applyNumberFormat="1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2" fontId="4" fillId="0" borderId="6" xfId="0" applyNumberFormat="1" applyFont="1" applyFill="1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54" xfId="0" applyFont="1" applyFill="1" applyBorder="1" applyAlignment="1">
      <alignment horizontal="center"/>
    </xf>
    <xf numFmtId="0" fontId="4" fillId="0" borderId="41" xfId="0" applyFont="1" applyFill="1" applyBorder="1" applyAlignment="1">
      <alignment horizontal="center"/>
    </xf>
    <xf numFmtId="0" fontId="5" fillId="0" borderId="15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/>
    </xf>
    <xf numFmtId="0" fontId="4" fillId="0" borderId="15" xfId="0" applyFont="1" applyFill="1" applyBorder="1" applyAlignment="1">
      <alignment horizontal="center"/>
    </xf>
    <xf numFmtId="2" fontId="4" fillId="0" borderId="7" xfId="0" applyNumberFormat="1" applyFont="1" applyFill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51" xfId="0" applyFont="1" applyFill="1" applyBorder="1" applyAlignment="1">
      <alignment horizontal="center"/>
    </xf>
    <xf numFmtId="2" fontId="4" fillId="0" borderId="68" xfId="0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2" fontId="5" fillId="0" borderId="14" xfId="0" applyNumberFormat="1" applyFont="1" applyFill="1" applyBorder="1" applyAlignment="1">
      <alignment horizontal="center"/>
    </xf>
    <xf numFmtId="2" fontId="5" fillId="0" borderId="6" xfId="0" applyNumberFormat="1" applyFont="1" applyFill="1" applyBorder="1" applyAlignment="1">
      <alignment horizontal="center"/>
    </xf>
    <xf numFmtId="1" fontId="5" fillId="4" borderId="6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164" fontId="5" fillId="5" borderId="9" xfId="0" applyNumberFormat="1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164" fontId="5" fillId="5" borderId="15" xfId="0" applyNumberFormat="1" applyFont="1" applyFill="1" applyBorder="1" applyAlignment="1">
      <alignment horizontal="center"/>
    </xf>
    <xf numFmtId="0" fontId="0" fillId="11" borderId="33" xfId="0" applyFill="1" applyBorder="1"/>
    <xf numFmtId="1" fontId="29" fillId="0" borderId="6" xfId="0" applyNumberFormat="1" applyFont="1" applyFill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49" fontId="43" fillId="0" borderId="0" xfId="0" applyNumberFormat="1" applyFont="1" applyFill="1" applyAlignment="1">
      <alignment horizontal="center"/>
    </xf>
    <xf numFmtId="0" fontId="39" fillId="0" borderId="33" xfId="0" applyFont="1" applyFill="1" applyBorder="1" applyAlignment="1">
      <alignment horizontal="center"/>
    </xf>
    <xf numFmtId="2" fontId="0" fillId="0" borderId="6" xfId="0" applyNumberFormat="1" applyFill="1" applyBorder="1"/>
    <xf numFmtId="0" fontId="39" fillId="11" borderId="0" xfId="0" applyFont="1" applyFill="1" applyBorder="1" applyAlignment="1">
      <alignment horizontal="center"/>
    </xf>
    <xf numFmtId="0" fontId="29" fillId="12" borderId="9" xfId="0" applyFont="1" applyFill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29" fillId="0" borderId="39" xfId="0" applyFont="1" applyBorder="1" applyAlignment="1">
      <alignment horizontal="center"/>
    </xf>
    <xf numFmtId="0" fontId="29" fillId="0" borderId="64" xfId="0" applyFont="1" applyFill="1" applyBorder="1" applyAlignment="1">
      <alignment horizontal="center"/>
    </xf>
    <xf numFmtId="0" fontId="29" fillId="0" borderId="19" xfId="0" applyFont="1" applyBorder="1" applyAlignment="1">
      <alignment horizontal="center"/>
    </xf>
    <xf numFmtId="0" fontId="29" fillId="0" borderId="57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29" fillId="5" borderId="38" xfId="0" applyFont="1" applyFill="1" applyBorder="1" applyAlignment="1">
      <alignment horizontal="center"/>
    </xf>
    <xf numFmtId="0" fontId="29" fillId="0" borderId="38" xfId="0" applyFont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29" fillId="6" borderId="38" xfId="0" applyFont="1" applyFill="1" applyBorder="1" applyAlignment="1">
      <alignment horizontal="center"/>
    </xf>
    <xf numFmtId="0" fontId="29" fillId="6" borderId="9" xfId="0" applyFont="1" applyFill="1" applyBorder="1" applyAlignment="1">
      <alignment horizontal="center"/>
    </xf>
    <xf numFmtId="0" fontId="29" fillId="6" borderId="19" xfId="0" applyFont="1" applyFill="1" applyBorder="1" applyAlignment="1">
      <alignment horizontal="center"/>
    </xf>
    <xf numFmtId="164" fontId="29" fillId="0" borderId="9" xfId="0" applyNumberFormat="1" applyFont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164" fontId="29" fillId="5" borderId="9" xfId="0" applyNumberFormat="1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1" fontId="18" fillId="0" borderId="9" xfId="0" applyNumberFormat="1" applyFont="1" applyBorder="1" applyAlignment="1">
      <alignment horizontal="center"/>
    </xf>
    <xf numFmtId="1" fontId="42" fillId="9" borderId="6" xfId="0" applyNumberFormat="1" applyFont="1" applyFill="1" applyBorder="1" applyAlignment="1">
      <alignment horizontal="center"/>
    </xf>
    <xf numFmtId="164" fontId="42" fillId="9" borderId="6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4" fontId="1" fillId="0" borderId="35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36" xfId="0" applyNumberFormat="1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1" fontId="29" fillId="0" borderId="32" xfId="0" applyNumberFormat="1" applyFont="1" applyBorder="1"/>
    <xf numFmtId="164" fontId="29" fillId="0" borderId="37" xfId="0" applyNumberFormat="1" applyFont="1" applyBorder="1"/>
    <xf numFmtId="0" fontId="29" fillId="0" borderId="32" xfId="0" applyFont="1" applyBorder="1"/>
    <xf numFmtId="0" fontId="3" fillId="0" borderId="0" xfId="0" applyFont="1" applyFill="1" applyBorder="1" applyAlignment="1"/>
    <xf numFmtId="2" fontId="3" fillId="0" borderId="0" xfId="0" applyNumberFormat="1" applyFont="1" applyFill="1" applyBorder="1" applyAlignment="1">
      <alignment horizontal="center"/>
    </xf>
    <xf numFmtId="2" fontId="29" fillId="0" borderId="6" xfId="0" applyNumberFormat="1" applyFont="1" applyBorder="1" applyAlignment="1">
      <alignment horizontal="center"/>
    </xf>
    <xf numFmtId="1" fontId="29" fillId="0" borderId="8" xfId="0" applyNumberFormat="1" applyFont="1" applyBorder="1" applyAlignment="1">
      <alignment horizontal="center"/>
    </xf>
    <xf numFmtId="164" fontId="29" fillId="0" borderId="38" xfId="0" applyNumberFormat="1" applyFont="1" applyBorder="1" applyAlignment="1">
      <alignment horizontal="center"/>
    </xf>
    <xf numFmtId="2" fontId="29" fillId="0" borderId="56" xfId="0" applyNumberFormat="1" applyFont="1" applyBorder="1" applyAlignment="1">
      <alignment horizontal="center"/>
    </xf>
    <xf numFmtId="0" fontId="29" fillId="0" borderId="42" xfId="0" applyFont="1" applyBorder="1" applyAlignment="1">
      <alignment horizontal="center"/>
    </xf>
    <xf numFmtId="2" fontId="29" fillId="0" borderId="48" xfId="0" applyNumberFormat="1" applyFont="1" applyBorder="1" applyAlignment="1">
      <alignment horizontal="center"/>
    </xf>
    <xf numFmtId="0" fontId="29" fillId="0" borderId="48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164" fontId="29" fillId="12" borderId="29" xfId="0" applyNumberFormat="1" applyFont="1" applyFill="1" applyBorder="1" applyAlignment="1">
      <alignment horizontal="center"/>
    </xf>
    <xf numFmtId="2" fontId="29" fillId="0" borderId="42" xfId="0" applyNumberFormat="1" applyFont="1" applyBorder="1" applyAlignment="1">
      <alignment horizontal="center"/>
    </xf>
    <xf numFmtId="164" fontId="29" fillId="0" borderId="15" xfId="0" applyNumberFormat="1" applyFont="1" applyBorder="1" applyAlignment="1">
      <alignment horizontal="center"/>
    </xf>
    <xf numFmtId="164" fontId="29" fillId="0" borderId="19" xfId="0" applyNumberFormat="1" applyFont="1" applyBorder="1" applyAlignment="1">
      <alignment horizontal="center"/>
    </xf>
    <xf numFmtId="2" fontId="29" fillId="0" borderId="19" xfId="0" applyNumberFormat="1" applyFont="1" applyBorder="1" applyAlignment="1">
      <alignment horizontal="center"/>
    </xf>
    <xf numFmtId="2" fontId="29" fillId="5" borderId="9" xfId="0" applyNumberFormat="1" applyFont="1" applyFill="1" applyBorder="1" applyAlignment="1">
      <alignment horizontal="center"/>
    </xf>
    <xf numFmtId="164" fontId="29" fillId="5" borderId="6" xfId="0" applyNumberFormat="1" applyFont="1" applyFill="1" applyBorder="1" applyAlignment="1">
      <alignment horizontal="center"/>
    </xf>
    <xf numFmtId="2" fontId="29" fillId="0" borderId="9" xfId="0" applyNumberFormat="1" applyFont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2" fontId="42" fillId="0" borderId="57" xfId="0" applyNumberFormat="1" applyFont="1" applyFill="1" applyBorder="1" applyAlignment="1">
      <alignment horizontal="center"/>
    </xf>
    <xf numFmtId="164" fontId="42" fillId="9" borderId="10" xfId="0" applyNumberFormat="1" applyFont="1" applyFill="1" applyBorder="1" applyAlignment="1">
      <alignment horizontal="center"/>
    </xf>
    <xf numFmtId="164" fontId="42" fillId="9" borderId="0" xfId="0" applyNumberFormat="1" applyFont="1" applyFill="1" applyBorder="1" applyAlignment="1">
      <alignment horizontal="center"/>
    </xf>
    <xf numFmtId="164" fontId="45" fillId="8" borderId="6" xfId="0" applyNumberFormat="1" applyFont="1" applyFill="1" applyBorder="1" applyAlignment="1">
      <alignment horizontal="center" vertical="center"/>
    </xf>
    <xf numFmtId="2" fontId="45" fillId="8" borderId="57" xfId="0" applyNumberFormat="1" applyFont="1" applyFill="1" applyBorder="1" applyAlignment="1">
      <alignment horizontal="center" vertical="center"/>
    </xf>
    <xf numFmtId="0" fontId="26" fillId="0" borderId="6" xfId="0" applyFont="1" applyFill="1" applyBorder="1" applyAlignment="1">
      <alignment horizontal="center"/>
    </xf>
    <xf numFmtId="2" fontId="32" fillId="0" borderId="6" xfId="0" applyNumberFormat="1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2" fontId="32" fillId="0" borderId="0" xfId="0" applyNumberFormat="1" applyFont="1" applyFill="1" applyBorder="1" applyAlignment="1">
      <alignment horizontal="center"/>
    </xf>
    <xf numFmtId="2" fontId="26" fillId="0" borderId="6" xfId="0" applyNumberFormat="1" applyFont="1" applyFill="1" applyBorder="1" applyAlignment="1">
      <alignment horizontal="center"/>
    </xf>
    <xf numFmtId="2" fontId="26" fillId="5" borderId="6" xfId="0" applyNumberFormat="1" applyFont="1" applyFill="1" applyBorder="1" applyAlignment="1">
      <alignment horizontal="center"/>
    </xf>
    <xf numFmtId="1" fontId="25" fillId="5" borderId="6" xfId="0" applyNumberFormat="1" applyFont="1" applyFill="1" applyBorder="1" applyAlignment="1">
      <alignment horizontal="center"/>
    </xf>
    <xf numFmtId="2" fontId="1" fillId="3" borderId="6" xfId="0" applyNumberFormat="1" applyFont="1" applyFill="1" applyBorder="1" applyAlignment="1">
      <alignment horizontal="center"/>
    </xf>
    <xf numFmtId="1" fontId="25" fillId="3" borderId="6" xfId="0" applyNumberFormat="1" applyFont="1" applyFill="1" applyBorder="1" applyAlignment="1">
      <alignment horizontal="center"/>
    </xf>
    <xf numFmtId="0" fontId="32" fillId="4" borderId="6" xfId="0" applyFont="1" applyFill="1" applyBorder="1"/>
    <xf numFmtId="1" fontId="32" fillId="4" borderId="6" xfId="0" applyNumberFormat="1" applyFont="1" applyFill="1" applyBorder="1" applyAlignment="1">
      <alignment horizontal="center"/>
    </xf>
    <xf numFmtId="0" fontId="32" fillId="0" borderId="6" xfId="0" applyFont="1" applyFill="1" applyBorder="1"/>
    <xf numFmtId="0" fontId="46" fillId="8" borderId="6" xfId="0" applyFont="1" applyFill="1" applyBorder="1"/>
    <xf numFmtId="169" fontId="46" fillId="8" borderId="6" xfId="0" applyNumberFormat="1" applyFont="1" applyFill="1" applyBorder="1" applyAlignment="1">
      <alignment horizontal="center"/>
    </xf>
    <xf numFmtId="1" fontId="46" fillId="8" borderId="6" xfId="0" applyNumberFormat="1" applyFont="1" applyFill="1" applyBorder="1" applyAlignment="1">
      <alignment horizontal="center"/>
    </xf>
    <xf numFmtId="0" fontId="0" fillId="0" borderId="42" xfId="0" applyFill="1" applyBorder="1"/>
    <xf numFmtId="2" fontId="45" fillId="8" borderId="64" xfId="0" applyNumberFormat="1" applyFont="1" applyFill="1" applyBorder="1" applyAlignment="1">
      <alignment horizontal="center" vertical="center"/>
    </xf>
    <xf numFmtId="0" fontId="42" fillId="0" borderId="14" xfId="0" applyFont="1" applyFill="1" applyBorder="1"/>
    <xf numFmtId="1" fontId="25" fillId="5" borderId="0" xfId="0" applyNumberFormat="1" applyFont="1" applyFill="1" applyBorder="1" applyAlignment="1">
      <alignment horizontal="center"/>
    </xf>
    <xf numFmtId="2" fontId="25" fillId="0" borderId="0" xfId="0" applyNumberFormat="1" applyFont="1" applyFill="1" applyBorder="1" applyAlignment="1">
      <alignment horizontal="center"/>
    </xf>
    <xf numFmtId="1" fontId="25" fillId="3" borderId="0" xfId="0" applyNumberFormat="1" applyFont="1" applyFill="1" applyBorder="1" applyAlignment="1">
      <alignment horizontal="center"/>
    </xf>
    <xf numFmtId="1" fontId="32" fillId="4" borderId="0" xfId="0" applyNumberFormat="1" applyFont="1" applyFill="1" applyBorder="1" applyAlignment="1">
      <alignment horizontal="center"/>
    </xf>
    <xf numFmtId="164" fontId="32" fillId="0" borderId="0" xfId="0" applyNumberFormat="1" applyFont="1" applyFill="1" applyBorder="1" applyAlignment="1">
      <alignment horizontal="center"/>
    </xf>
    <xf numFmtId="2" fontId="46" fillId="0" borderId="0" xfId="0" applyNumberFormat="1" applyFont="1" applyFill="1" applyBorder="1" applyAlignment="1">
      <alignment horizontal="center"/>
    </xf>
    <xf numFmtId="164" fontId="42" fillId="8" borderId="57" xfId="0" applyNumberFormat="1" applyFont="1" applyFill="1" applyBorder="1" applyAlignment="1">
      <alignment horizontal="center"/>
    </xf>
    <xf numFmtId="2" fontId="42" fillId="8" borderId="57" xfId="0" applyNumberFormat="1" applyFont="1" applyFill="1" applyBorder="1" applyAlignment="1">
      <alignment horizontal="center"/>
    </xf>
    <xf numFmtId="2" fontId="0" fillId="0" borderId="0" xfId="0" applyNumberFormat="1" applyFill="1"/>
    <xf numFmtId="0" fontId="18" fillId="0" borderId="1" xfId="0" applyFont="1" applyBorder="1"/>
    <xf numFmtId="0" fontId="4" fillId="0" borderId="3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3" fillId="0" borderId="0" xfId="0" applyFont="1" applyBorder="1"/>
    <xf numFmtId="0" fontId="42" fillId="0" borderId="6" xfId="0" applyFont="1" applyFill="1" applyBorder="1"/>
    <xf numFmtId="2" fontId="0" fillId="0" borderId="0" xfId="0" applyNumberFormat="1"/>
    <xf numFmtId="9" fontId="0" fillId="0" borderId="0" xfId="0" applyNumberFormat="1" applyFill="1"/>
    <xf numFmtId="0" fontId="4" fillId="0" borderId="48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6" borderId="32" xfId="0" applyFont="1" applyFill="1" applyBorder="1" applyAlignment="1">
      <alignment horizontal="center"/>
    </xf>
    <xf numFmtId="1" fontId="5" fillId="6" borderId="32" xfId="0" applyNumberFormat="1" applyFont="1" applyFill="1" applyBorder="1" applyAlignment="1">
      <alignment horizontal="center"/>
    </xf>
    <xf numFmtId="0" fontId="0" fillId="0" borderId="34" xfId="0" applyBorder="1"/>
    <xf numFmtId="0" fontId="27" fillId="6" borderId="6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1" fontId="42" fillId="8" borderId="6" xfId="0" applyNumberFormat="1" applyFont="1" applyFill="1" applyBorder="1" applyAlignment="1">
      <alignment horizontal="center"/>
    </xf>
    <xf numFmtId="0" fontId="0" fillId="0" borderId="10" xfId="0" applyBorder="1"/>
    <xf numFmtId="2" fontId="42" fillId="8" borderId="6" xfId="0" applyNumberFormat="1" applyFont="1" applyFill="1" applyBorder="1" applyAlignment="1">
      <alignment horizontal="center"/>
    </xf>
    <xf numFmtId="0" fontId="0" fillId="4" borderId="9" xfId="0" applyFill="1" applyBorder="1"/>
    <xf numFmtId="1" fontId="42" fillId="4" borderId="6" xfId="0" applyNumberFormat="1" applyFont="1" applyFill="1" applyBorder="1" applyAlignment="1">
      <alignment horizontal="center"/>
    </xf>
    <xf numFmtId="164" fontId="42" fillId="5" borderId="6" xfId="0" applyNumberFormat="1" applyFont="1" applyFill="1" applyBorder="1" applyAlignment="1">
      <alignment horizontal="center"/>
    </xf>
    <xf numFmtId="0" fontId="0" fillId="4" borderId="42" xfId="0" applyFill="1" applyBorder="1"/>
    <xf numFmtId="0" fontId="42" fillId="4" borderId="6" xfId="0" applyFont="1" applyFill="1" applyBorder="1"/>
    <xf numFmtId="164" fontId="4" fillId="0" borderId="9" xfId="0" applyNumberFormat="1" applyFont="1" applyBorder="1" applyAlignment="1">
      <alignment horizontal="center"/>
    </xf>
    <xf numFmtId="164" fontId="0" fillId="0" borderId="9" xfId="0" applyNumberFormat="1" applyBorder="1"/>
    <xf numFmtId="164" fontId="42" fillId="8" borderId="6" xfId="0" applyNumberFormat="1" applyFont="1" applyFill="1" applyBorder="1" applyAlignment="1">
      <alignment horizontal="center"/>
    </xf>
    <xf numFmtId="2" fontId="42" fillId="9" borderId="6" xfId="0" applyNumberFormat="1" applyFont="1" applyFill="1" applyBorder="1" applyAlignment="1">
      <alignment horizontal="center"/>
    </xf>
    <xf numFmtId="0" fontId="0" fillId="7" borderId="6" xfId="0" applyFill="1" applyBorder="1"/>
    <xf numFmtId="164" fontId="0" fillId="7" borderId="6" xfId="0" applyNumberFormat="1" applyFill="1" applyBorder="1"/>
    <xf numFmtId="0" fontId="27" fillId="0" borderId="0" xfId="0" applyFont="1"/>
    <xf numFmtId="164" fontId="21" fillId="0" borderId="6" xfId="0" applyNumberFormat="1" applyFont="1" applyFill="1" applyBorder="1" applyAlignment="1">
      <alignment horizontal="center"/>
    </xf>
    <xf numFmtId="0" fontId="21" fillId="0" borderId="6" xfId="0" applyFont="1" applyFill="1" applyBorder="1" applyAlignment="1">
      <alignment horizontal="center"/>
    </xf>
    <xf numFmtId="164" fontId="27" fillId="6" borderId="6" xfId="0" applyNumberFormat="1" applyFont="1" applyFill="1" applyBorder="1" applyAlignment="1">
      <alignment horizontal="center"/>
    </xf>
    <xf numFmtId="164" fontId="27" fillId="0" borderId="0" xfId="0" applyNumberFormat="1" applyFont="1"/>
    <xf numFmtId="0" fontId="5" fillId="0" borderId="6" xfId="0" applyFont="1" applyBorder="1" applyAlignment="1">
      <alignment horizontal="center" wrapText="1"/>
    </xf>
    <xf numFmtId="164" fontId="0" fillId="0" borderId="0" xfId="0" applyNumberFormat="1" applyAlignment="1">
      <alignment horizontal="center"/>
    </xf>
    <xf numFmtId="1" fontId="5" fillId="0" borderId="6" xfId="0" applyNumberFormat="1" applyFont="1" applyBorder="1" applyAlignment="1">
      <alignment horizontal="center"/>
    </xf>
    <xf numFmtId="1" fontId="27" fillId="6" borderId="6" xfId="0" applyNumberFormat="1" applyFont="1" applyFill="1" applyBorder="1" applyAlignment="1">
      <alignment horizontal="center"/>
    </xf>
    <xf numFmtId="164" fontId="27" fillId="0" borderId="6" xfId="0" applyNumberFormat="1" applyFont="1" applyBorder="1" applyAlignment="1">
      <alignment horizontal="center"/>
    </xf>
    <xf numFmtId="1" fontId="5" fillId="0" borderId="6" xfId="0" applyNumberFormat="1" applyFont="1" applyFill="1" applyBorder="1" applyAlignment="1">
      <alignment horizontal="center"/>
    </xf>
    <xf numFmtId="164" fontId="0" fillId="3" borderId="26" xfId="0" applyNumberFormat="1" applyFill="1" applyBorder="1" applyAlignment="1">
      <alignment horizontal="center"/>
    </xf>
    <xf numFmtId="164" fontId="0" fillId="4" borderId="6" xfId="0" applyNumberFormat="1" applyFill="1" applyBorder="1" applyAlignment="1">
      <alignment horizontal="center"/>
    </xf>
    <xf numFmtId="164" fontId="0" fillId="5" borderId="6" xfId="0" applyNumberFormat="1" applyFill="1" applyBorder="1" applyAlignment="1">
      <alignment horizontal="center"/>
    </xf>
    <xf numFmtId="164" fontId="0" fillId="8" borderId="6" xfId="0" applyNumberFormat="1" applyFill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0" fontId="35" fillId="0" borderId="50" xfId="0" applyFont="1" applyFill="1" applyBorder="1" applyAlignment="1">
      <alignment horizontal="center" wrapText="1"/>
    </xf>
    <xf numFmtId="164" fontId="35" fillId="0" borderId="0" xfId="0" applyNumberFormat="1" applyFont="1" applyFill="1" applyBorder="1" applyAlignment="1">
      <alignment horizontal="center" wrapText="1"/>
    </xf>
    <xf numFmtId="164" fontId="35" fillId="0" borderId="41" xfId="0" applyNumberFormat="1" applyFont="1" applyFill="1" applyBorder="1" applyAlignment="1">
      <alignment horizontal="center" wrapText="1"/>
    </xf>
    <xf numFmtId="0" fontId="19" fillId="5" borderId="19" xfId="0" applyFont="1" applyFill="1" applyBorder="1" applyAlignment="1">
      <alignment horizontal="center" wrapText="1"/>
    </xf>
    <xf numFmtId="0" fontId="19" fillId="0" borderId="19" xfId="0" applyFont="1" applyFill="1" applyBorder="1" applyAlignment="1">
      <alignment horizontal="center" wrapText="1"/>
    </xf>
    <xf numFmtId="0" fontId="35" fillId="0" borderId="19" xfId="0" applyFont="1" applyFill="1" applyBorder="1" applyAlignment="1">
      <alignment horizontal="center" wrapText="1"/>
    </xf>
    <xf numFmtId="164" fontId="35" fillId="0" borderId="19" xfId="0" applyNumberFormat="1" applyFont="1" applyFill="1" applyBorder="1" applyAlignment="1">
      <alignment horizontal="center" wrapText="1"/>
    </xf>
    <xf numFmtId="164" fontId="35" fillId="0" borderId="32" xfId="0" applyNumberFormat="1" applyFont="1" applyFill="1" applyBorder="1" applyAlignment="1">
      <alignment horizontal="center" wrapText="1"/>
    </xf>
    <xf numFmtId="164" fontId="35" fillId="0" borderId="37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51" fillId="0" borderId="6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/>
    </xf>
    <xf numFmtId="0" fontId="53" fillId="0" borderId="5" xfId="0" applyFont="1" applyBorder="1" applyAlignment="1">
      <alignment horizontal="center"/>
    </xf>
    <xf numFmtId="0" fontId="53" fillId="0" borderId="6" xfId="0" applyFont="1" applyBorder="1" applyAlignment="1">
      <alignment horizontal="center"/>
    </xf>
    <xf numFmtId="0" fontId="53" fillId="0" borderId="7" xfId="0" applyFont="1" applyBorder="1" applyAlignment="1">
      <alignment horizontal="center"/>
    </xf>
    <xf numFmtId="0" fontId="53" fillId="0" borderId="8" xfId="0" applyFont="1" applyBorder="1" applyAlignment="1">
      <alignment horizontal="center"/>
    </xf>
    <xf numFmtId="164" fontId="53" fillId="0" borderId="6" xfId="0" applyNumberFormat="1" applyFont="1" applyBorder="1" applyAlignment="1">
      <alignment horizontal="center"/>
    </xf>
    <xf numFmtId="1" fontId="53" fillId="0" borderId="8" xfId="0" applyNumberFormat="1" applyFont="1" applyBorder="1" applyAlignment="1">
      <alignment horizontal="center"/>
    </xf>
    <xf numFmtId="0" fontId="53" fillId="0" borderId="0" xfId="0" applyFont="1" applyFill="1" applyBorder="1" applyAlignment="1">
      <alignment horizontal="center"/>
    </xf>
    <xf numFmtId="0" fontId="55" fillId="0" borderId="0" xfId="0" applyFont="1" applyFill="1" applyBorder="1" applyAlignment="1">
      <alignment horizontal="left"/>
    </xf>
    <xf numFmtId="0" fontId="53" fillId="0" borderId="9" xfId="0" applyFont="1" applyBorder="1" applyAlignment="1">
      <alignment horizontal="center"/>
    </xf>
    <xf numFmtId="164" fontId="53" fillId="0" borderId="9" xfId="0" applyNumberFormat="1" applyFont="1" applyBorder="1" applyAlignment="1">
      <alignment horizontal="center"/>
    </xf>
    <xf numFmtId="0" fontId="53" fillId="0" borderId="10" xfId="0" applyFont="1" applyBorder="1" applyAlignment="1">
      <alignment horizontal="center"/>
    </xf>
    <xf numFmtId="0" fontId="53" fillId="0" borderId="11" xfId="0" applyFont="1" applyBorder="1" applyAlignment="1">
      <alignment horizontal="center"/>
    </xf>
    <xf numFmtId="1" fontId="54" fillId="0" borderId="6" xfId="0" applyNumberFormat="1" applyFont="1" applyBorder="1" applyAlignment="1">
      <alignment horizontal="center"/>
    </xf>
    <xf numFmtId="0" fontId="54" fillId="0" borderId="15" xfId="0" applyFont="1" applyBorder="1" applyAlignment="1">
      <alignment horizontal="center"/>
    </xf>
    <xf numFmtId="1" fontId="54" fillId="0" borderId="15" xfId="0" applyNumberFormat="1" applyFont="1" applyBorder="1" applyAlignment="1">
      <alignment horizontal="center"/>
    </xf>
    <xf numFmtId="0" fontId="50" fillId="0" borderId="0" xfId="0" applyFont="1" applyBorder="1" applyAlignment="1">
      <alignment horizontal="center"/>
    </xf>
    <xf numFmtId="0" fontId="50" fillId="0" borderId="16" xfId="0" applyFont="1" applyBorder="1" applyAlignment="1">
      <alignment horizontal="center"/>
    </xf>
    <xf numFmtId="0" fontId="54" fillId="0" borderId="6" xfId="0" applyFont="1" applyBorder="1" applyAlignment="1">
      <alignment horizontal="center"/>
    </xf>
    <xf numFmtId="0" fontId="50" fillId="0" borderId="17" xfId="0" applyFont="1" applyBorder="1" applyAlignment="1">
      <alignment horizontal="center"/>
    </xf>
    <xf numFmtId="0" fontId="50" fillId="0" borderId="18" xfId="0" applyFont="1" applyBorder="1" applyAlignment="1">
      <alignment horizontal="center"/>
    </xf>
    <xf numFmtId="0" fontId="34" fillId="0" borderId="51" xfId="0" applyFont="1" applyFill="1" applyBorder="1" applyAlignment="1">
      <alignment horizontal="center" wrapText="1"/>
    </xf>
    <xf numFmtId="164" fontId="18" fillId="0" borderId="19" xfId="0" applyNumberFormat="1" applyFont="1" applyFill="1" applyBorder="1" applyAlignment="1">
      <alignment horizontal="center" wrapText="1"/>
    </xf>
    <xf numFmtId="164" fontId="35" fillId="5" borderId="19" xfId="0" applyNumberFormat="1" applyFont="1" applyFill="1" applyBorder="1" applyAlignment="1">
      <alignment horizontal="center" wrapText="1"/>
    </xf>
    <xf numFmtId="1" fontId="35" fillId="0" borderId="19" xfId="0" applyNumberFormat="1" applyFont="1" applyFill="1" applyBorder="1" applyAlignment="1">
      <alignment horizontal="center" wrapText="1"/>
    </xf>
    <xf numFmtId="164" fontId="35" fillId="0" borderId="68" xfId="0" applyNumberFormat="1" applyFont="1" applyFill="1" applyBorder="1" applyAlignment="1">
      <alignment horizontal="center" wrapText="1"/>
    </xf>
    <xf numFmtId="1" fontId="5" fillId="0" borderId="41" xfId="0" applyNumberFormat="1" applyFont="1" applyBorder="1" applyAlignment="1">
      <alignment horizontal="center"/>
    </xf>
    <xf numFmtId="164" fontId="19" fillId="0" borderId="15" xfId="0" applyNumberFormat="1" applyFont="1" applyFill="1" applyBorder="1" applyAlignment="1">
      <alignment horizontal="center" wrapText="1"/>
    </xf>
    <xf numFmtId="0" fontId="29" fillId="4" borderId="0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 wrapText="1"/>
    </xf>
    <xf numFmtId="164" fontId="5" fillId="4" borderId="6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6" xfId="0" applyNumberForma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0" fillId="0" borderId="15" xfId="0" applyBorder="1" applyAlignment="1">
      <alignment horizontal="center"/>
    </xf>
    <xf numFmtId="17" fontId="0" fillId="0" borderId="0" xfId="0" applyNumberFormat="1"/>
    <xf numFmtId="0" fontId="5" fillId="5" borderId="5" xfId="0" applyFont="1" applyFill="1" applyBorder="1" applyAlignment="1">
      <alignment horizontal="center"/>
    </xf>
    <xf numFmtId="1" fontId="3" fillId="5" borderId="15" xfId="0" applyNumberFormat="1" applyFont="1" applyFill="1" applyBorder="1" applyAlignment="1">
      <alignment horizontal="center"/>
    </xf>
    <xf numFmtId="164" fontId="3" fillId="5" borderId="15" xfId="0" applyNumberFormat="1" applyFont="1" applyFill="1" applyBorder="1" applyAlignment="1">
      <alignment horizontal="center"/>
    </xf>
    <xf numFmtId="1" fontId="5" fillId="5" borderId="15" xfId="0" applyNumberFormat="1" applyFont="1" applyFill="1" applyBorder="1" applyAlignment="1">
      <alignment horizontal="center"/>
    </xf>
    <xf numFmtId="0" fontId="50" fillId="0" borderId="6" xfId="0" applyFont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21" fillId="5" borderId="9" xfId="0" applyFont="1" applyFill="1" applyBorder="1" applyAlignment="1">
      <alignment horizontal="center" wrapText="1"/>
    </xf>
    <xf numFmtId="0" fontId="21" fillId="5" borderId="15" xfId="0" applyFont="1" applyFill="1" applyBorder="1" applyAlignment="1">
      <alignment horizontal="center" wrapText="1"/>
    </xf>
    <xf numFmtId="0" fontId="21" fillId="5" borderId="38" xfId="0" applyFont="1" applyFill="1" applyBorder="1" applyAlignment="1">
      <alignment horizontal="center" wrapText="1"/>
    </xf>
    <xf numFmtId="0" fontId="21" fillId="5" borderId="19" xfId="0" applyFont="1" applyFill="1" applyBorder="1" applyAlignment="1">
      <alignment horizontal="center" wrapText="1"/>
    </xf>
    <xf numFmtId="0" fontId="0" fillId="3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23" fillId="4" borderId="25" xfId="0" applyFont="1" applyFill="1" applyBorder="1" applyAlignment="1">
      <alignment horizontal="center"/>
    </xf>
    <xf numFmtId="0" fontId="23" fillId="4" borderId="33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20" fillId="2" borderId="21" xfId="0" applyFont="1" applyFill="1" applyBorder="1" applyAlignment="1">
      <alignment horizontal="center"/>
    </xf>
    <xf numFmtId="0" fontId="20" fillId="2" borderId="22" xfId="0" applyFont="1" applyFill="1" applyBorder="1" applyAlignment="1">
      <alignment horizontal="center"/>
    </xf>
    <xf numFmtId="0" fontId="21" fillId="3" borderId="23" xfId="0" applyFont="1" applyFill="1" applyBorder="1" applyAlignment="1">
      <alignment horizontal="center"/>
    </xf>
    <xf numFmtId="0" fontId="21" fillId="3" borderId="0" xfId="0" applyFont="1" applyFill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5" fillId="5" borderId="38" xfId="0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164" fontId="0" fillId="0" borderId="6" xfId="0" applyNumberFormat="1" applyBorder="1" applyAlignment="1">
      <alignment horizontal="left"/>
    </xf>
    <xf numFmtId="0" fontId="0" fillId="0" borderId="25" xfId="0" applyFill="1" applyBorder="1" applyAlignment="1">
      <alignment horizontal="center"/>
    </xf>
    <xf numFmtId="0" fontId="0" fillId="0" borderId="33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2" fontId="3" fillId="0" borderId="25" xfId="0" applyNumberFormat="1" applyFont="1" applyFill="1" applyBorder="1" applyAlignment="1">
      <alignment horizontal="center"/>
    </xf>
    <xf numFmtId="2" fontId="3" fillId="0" borderId="33" xfId="0" applyNumberFormat="1" applyFont="1" applyFill="1" applyBorder="1" applyAlignment="1">
      <alignment horizontal="center"/>
    </xf>
    <xf numFmtId="2" fontId="3" fillId="0" borderId="26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34" xfId="0" applyFon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2" fontId="3" fillId="0" borderId="5" xfId="0" applyNumberFormat="1" applyFont="1" applyFill="1" applyBorder="1" applyAlignment="1">
      <alignment horizontal="center"/>
    </xf>
    <xf numFmtId="2" fontId="3" fillId="0" borderId="6" xfId="0" applyNumberFormat="1" applyFont="1" applyFill="1" applyBorder="1" applyAlignment="1">
      <alignment horizontal="center"/>
    </xf>
    <xf numFmtId="0" fontId="3" fillId="0" borderId="28" xfId="0" applyFont="1" applyFill="1" applyBorder="1" applyAlignment="1">
      <alignment horizontal="center"/>
    </xf>
    <xf numFmtId="0" fontId="3" fillId="0" borderId="29" xfId="0" applyFont="1" applyFill="1" applyBorder="1" applyAlignment="1">
      <alignment horizontal="center"/>
    </xf>
    <xf numFmtId="0" fontId="42" fillId="9" borderId="6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29" fillId="0" borderId="65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54" xfId="0" applyFont="1" applyFill="1" applyBorder="1" applyAlignment="1">
      <alignment horizontal="center"/>
    </xf>
    <xf numFmtId="0" fontId="29" fillId="0" borderId="24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0" fontId="29" fillId="0" borderId="63" xfId="0" applyFont="1" applyBorder="1" applyAlignment="1">
      <alignment horizontal="center"/>
    </xf>
    <xf numFmtId="0" fontId="18" fillId="0" borderId="65" xfId="0" applyFont="1" applyFill="1" applyBorder="1" applyAlignment="1">
      <alignment horizontal="center"/>
    </xf>
    <xf numFmtId="0" fontId="18" fillId="0" borderId="53" xfId="0" applyFont="1" applyFill="1" applyBorder="1" applyAlignment="1">
      <alignment horizontal="center"/>
    </xf>
    <xf numFmtId="0" fontId="18" fillId="0" borderId="54" xfId="0" applyFont="1" applyFill="1" applyBorder="1" applyAlignment="1">
      <alignment horizontal="center"/>
    </xf>
    <xf numFmtId="0" fontId="4" fillId="0" borderId="65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29" fillId="0" borderId="6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29" fillId="0" borderId="24" xfId="0" applyFont="1" applyFill="1" applyBorder="1" applyAlignment="1">
      <alignment horizontal="center"/>
    </xf>
    <xf numFmtId="0" fontId="29" fillId="0" borderId="17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65" xfId="0" applyFont="1" applyFill="1" applyBorder="1" applyAlignment="1">
      <alignment horizontal="center"/>
    </xf>
    <xf numFmtId="0" fontId="5" fillId="0" borderId="53" xfId="0" applyFont="1" applyFill="1" applyBorder="1" applyAlignment="1">
      <alignment horizontal="center"/>
    </xf>
    <xf numFmtId="0" fontId="5" fillId="0" borderId="54" xfId="0" applyFont="1" applyFill="1" applyBorder="1" applyAlignment="1">
      <alignment horizontal="center"/>
    </xf>
    <xf numFmtId="0" fontId="18" fillId="0" borderId="28" xfId="0" applyFont="1" applyFill="1" applyBorder="1" applyAlignment="1">
      <alignment horizontal="center"/>
    </xf>
    <xf numFmtId="0" fontId="18" fillId="0" borderId="29" xfId="0" applyFont="1" applyFill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39" fillId="11" borderId="33" xfId="0" applyFont="1" applyFill="1" applyBorder="1" applyAlignment="1">
      <alignment horizontal="center"/>
    </xf>
    <xf numFmtId="0" fontId="39" fillId="11" borderId="26" xfId="0" applyFont="1" applyFill="1" applyBorder="1" applyAlignment="1">
      <alignment horizontal="center"/>
    </xf>
    <xf numFmtId="49" fontId="43" fillId="10" borderId="0" xfId="0" applyNumberFormat="1" applyFont="1" applyFill="1" applyAlignment="1">
      <alignment horizontal="center"/>
    </xf>
    <xf numFmtId="0" fontId="39" fillId="11" borderId="25" xfId="0" applyFont="1" applyFill="1" applyBorder="1" applyAlignment="1">
      <alignment horizontal="center"/>
    </xf>
    <xf numFmtId="0" fontId="35" fillId="0" borderId="9" xfId="0" applyFont="1" applyBorder="1" applyAlignment="1">
      <alignment horizontal="center"/>
    </xf>
    <xf numFmtId="0" fontId="35" fillId="0" borderId="15" xfId="0" applyFont="1" applyBorder="1" applyAlignment="1">
      <alignment horizontal="center"/>
    </xf>
    <xf numFmtId="164" fontId="39" fillId="0" borderId="7" xfId="0" applyNumberFormat="1" applyFont="1" applyBorder="1" applyAlignment="1">
      <alignment horizontal="center"/>
    </xf>
    <xf numFmtId="164" fontId="39" fillId="0" borderId="14" xfId="0" applyNumberFormat="1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164" fontId="21" fillId="0" borderId="9" xfId="0" applyNumberFormat="1" applyFont="1" applyBorder="1" applyAlignment="1">
      <alignment horizontal="center"/>
    </xf>
    <xf numFmtId="164" fontId="21" fillId="0" borderId="15" xfId="0" applyNumberFormat="1" applyFont="1" applyBorder="1" applyAlignment="1">
      <alignment horizontal="center"/>
    </xf>
    <xf numFmtId="0" fontId="41" fillId="0" borderId="25" xfId="0" applyFont="1" applyBorder="1" applyAlignment="1">
      <alignment horizontal="center"/>
    </xf>
    <xf numFmtId="0" fontId="41" fillId="0" borderId="26" xfId="0" applyFont="1" applyBorder="1" applyAlignment="1">
      <alignment horizontal="center"/>
    </xf>
    <xf numFmtId="164" fontId="35" fillId="0" borderId="32" xfId="0" applyNumberFormat="1" applyFont="1" applyFill="1" applyBorder="1" applyAlignment="1">
      <alignment horizontal="center" wrapText="1"/>
    </xf>
    <xf numFmtId="0" fontId="26" fillId="0" borderId="0" xfId="0" applyFont="1" applyFill="1" applyBorder="1" applyAlignment="1">
      <alignment horizontal="center"/>
    </xf>
    <xf numFmtId="0" fontId="34" fillId="0" borderId="60" xfId="0" applyFont="1" applyFill="1" applyBorder="1" applyAlignment="1">
      <alignment horizontal="center" wrapText="1"/>
    </xf>
    <xf numFmtId="0" fontId="34" fillId="0" borderId="61" xfId="0" applyFont="1" applyFill="1" applyBorder="1" applyAlignment="1">
      <alignment horizontal="center" wrapText="1"/>
    </xf>
    <xf numFmtId="0" fontId="35" fillId="0" borderId="57" xfId="0" applyFont="1" applyFill="1" applyBorder="1" applyAlignment="1">
      <alignment horizontal="center" textRotation="30"/>
    </xf>
    <xf numFmtId="0" fontId="35" fillId="0" borderId="64" xfId="0" applyFont="1" applyFill="1" applyBorder="1" applyAlignment="1">
      <alignment horizontal="center" textRotation="30"/>
    </xf>
    <xf numFmtId="0" fontId="35" fillId="0" borderId="21" xfId="0" applyFont="1" applyFill="1" applyBorder="1" applyAlignment="1">
      <alignment horizontal="center" vertical="center"/>
    </xf>
    <xf numFmtId="0" fontId="35" fillId="0" borderId="55" xfId="0" applyFont="1" applyFill="1" applyBorder="1" applyAlignment="1">
      <alignment horizontal="center" vertical="center"/>
    </xf>
    <xf numFmtId="0" fontId="35" fillId="0" borderId="24" xfId="0" applyFont="1" applyFill="1" applyBorder="1" applyAlignment="1">
      <alignment horizontal="center" vertical="center"/>
    </xf>
    <xf numFmtId="0" fontId="35" fillId="0" borderId="63" xfId="0" applyFont="1" applyFill="1" applyBorder="1" applyAlignment="1">
      <alignment horizontal="center" vertical="center"/>
    </xf>
    <xf numFmtId="0" fontId="49" fillId="0" borderId="30" xfId="0" applyFont="1" applyFill="1" applyBorder="1" applyAlignment="1">
      <alignment horizontal="right" wrapText="1"/>
    </xf>
    <xf numFmtId="0" fontId="49" fillId="0" borderId="32" xfId="0" applyFont="1" applyFill="1" applyBorder="1" applyAlignment="1">
      <alignment horizontal="right" wrapText="1"/>
    </xf>
    <xf numFmtId="0" fontId="35" fillId="0" borderId="65" xfId="0" applyFont="1" applyFill="1" applyBorder="1" applyAlignment="1">
      <alignment horizontal="center"/>
    </xf>
    <xf numFmtId="0" fontId="35" fillId="0" borderId="54" xfId="0" applyFont="1" applyFill="1" applyBorder="1" applyAlignment="1">
      <alignment horizontal="center"/>
    </xf>
    <xf numFmtId="0" fontId="33" fillId="0" borderId="6" xfId="0" applyFont="1" applyFill="1" applyBorder="1" applyAlignment="1">
      <alignment horizontal="center"/>
    </xf>
    <xf numFmtId="0" fontId="35" fillId="0" borderId="52" xfId="0" applyFont="1" applyFill="1" applyBorder="1" applyAlignment="1">
      <alignment horizontal="center"/>
    </xf>
    <xf numFmtId="0" fontId="34" fillId="0" borderId="20" xfId="0" applyFont="1" applyFill="1" applyBorder="1" applyAlignment="1">
      <alignment horizontal="center" wrapText="1"/>
    </xf>
    <xf numFmtId="0" fontId="34" fillId="0" borderId="50" xfId="0" applyFont="1" applyFill="1" applyBorder="1" applyAlignment="1">
      <alignment horizontal="center" wrapText="1"/>
    </xf>
    <xf numFmtId="0" fontId="34" fillId="0" borderId="0" xfId="0" applyFont="1" applyFill="1" applyBorder="1" applyAlignment="1">
      <alignment horizontal="center" wrapText="1"/>
    </xf>
    <xf numFmtId="0" fontId="34" fillId="0" borderId="41" xfId="0" applyFont="1" applyFill="1" applyBorder="1" applyAlignment="1">
      <alignment horizontal="center" wrapText="1"/>
    </xf>
    <xf numFmtId="0" fontId="19" fillId="0" borderId="10" xfId="0" applyFont="1" applyFill="1" applyBorder="1" applyAlignment="1">
      <alignment horizontal="center" wrapText="1"/>
    </xf>
    <xf numFmtId="0" fontId="19" fillId="0" borderId="59" xfId="0" applyFont="1" applyFill="1" applyBorder="1" applyAlignment="1">
      <alignment horizontal="center" wrapText="1"/>
    </xf>
    <xf numFmtId="164" fontId="35" fillId="0" borderId="21" xfId="0" applyNumberFormat="1" applyFont="1" applyFill="1" applyBorder="1" applyAlignment="1">
      <alignment horizontal="center"/>
    </xf>
    <xf numFmtId="164" fontId="35" fillId="0" borderId="27" xfId="0" applyNumberFormat="1" applyFont="1" applyFill="1" applyBorder="1" applyAlignment="1">
      <alignment horizontal="center"/>
    </xf>
    <xf numFmtId="0" fontId="19" fillId="0" borderId="25" xfId="0" applyFont="1" applyFill="1" applyBorder="1" applyAlignment="1">
      <alignment horizontal="center"/>
    </xf>
    <xf numFmtId="0" fontId="19" fillId="0" borderId="33" xfId="0" applyFont="1" applyFill="1" applyBorder="1" applyAlignment="1">
      <alignment horizontal="center"/>
    </xf>
    <xf numFmtId="164" fontId="35" fillId="0" borderId="25" xfId="0" applyNumberFormat="1" applyFont="1" applyFill="1" applyBorder="1" applyAlignment="1">
      <alignment horizontal="center"/>
    </xf>
    <xf numFmtId="164" fontId="35" fillId="0" borderId="26" xfId="0" applyNumberFormat="1" applyFont="1" applyFill="1" applyBorder="1" applyAlignment="1">
      <alignment horizontal="center"/>
    </xf>
    <xf numFmtId="0" fontId="26" fillId="0" borderId="21" xfId="0" applyFont="1" applyFill="1" applyBorder="1" applyAlignment="1">
      <alignment horizontal="center" vertical="top" wrapText="1"/>
    </xf>
    <xf numFmtId="0" fontId="26" fillId="0" borderId="22" xfId="0" applyFont="1" applyFill="1" applyBorder="1" applyAlignment="1">
      <alignment horizontal="center" vertical="top" wrapText="1"/>
    </xf>
    <xf numFmtId="0" fontId="26" fillId="0" borderId="27" xfId="0" applyFont="1" applyFill="1" applyBorder="1" applyAlignment="1">
      <alignment horizontal="center" vertical="top" wrapText="1"/>
    </xf>
    <xf numFmtId="0" fontId="26" fillId="0" borderId="24" xfId="0" applyFont="1" applyFill="1" applyBorder="1" applyAlignment="1">
      <alignment horizontal="center" vertical="top" wrapText="1"/>
    </xf>
    <xf numFmtId="0" fontId="26" fillId="0" borderId="17" xfId="0" applyFont="1" applyFill="1" applyBorder="1" applyAlignment="1">
      <alignment horizontal="center" vertical="top" wrapText="1"/>
    </xf>
    <xf numFmtId="0" fontId="26" fillId="0" borderId="18" xfId="0" applyFont="1" applyFill="1" applyBorder="1" applyAlignment="1">
      <alignment horizontal="center" vertical="top" wrapText="1"/>
    </xf>
    <xf numFmtId="0" fontId="34" fillId="0" borderId="6" xfId="0" applyFont="1" applyFill="1" applyBorder="1" applyAlignment="1">
      <alignment horizontal="center" wrapText="1"/>
    </xf>
    <xf numFmtId="0" fontId="34" fillId="0" borderId="7" xfId="0" applyFont="1" applyFill="1" applyBorder="1" applyAlignment="1">
      <alignment horizontal="center" wrapText="1"/>
    </xf>
    <xf numFmtId="0" fontId="29" fillId="0" borderId="0" xfId="0" applyFont="1" applyFill="1" applyAlignment="1">
      <alignment horizontal="center" wrapText="1"/>
    </xf>
    <xf numFmtId="0" fontId="33" fillId="0" borderId="13" xfId="0" applyFont="1" applyFill="1" applyBorder="1" applyAlignment="1">
      <alignment horizontal="center" wrapText="1"/>
    </xf>
    <xf numFmtId="0" fontId="33" fillId="0" borderId="14" xfId="0" applyFont="1" applyFill="1" applyBorder="1" applyAlignment="1">
      <alignment horizontal="center" wrapText="1"/>
    </xf>
    <xf numFmtId="0" fontId="33" fillId="0" borderId="7" xfId="0" applyFont="1" applyFill="1" applyBorder="1" applyAlignment="1">
      <alignment horizontal="center" wrapText="1"/>
    </xf>
    <xf numFmtId="0" fontId="33" fillId="0" borderId="25" xfId="0" applyFont="1" applyFill="1" applyBorder="1" applyAlignment="1">
      <alignment horizontal="center" wrapText="1"/>
    </xf>
    <xf numFmtId="0" fontId="33" fillId="0" borderId="33" xfId="0" applyFont="1" applyFill="1" applyBorder="1" applyAlignment="1">
      <alignment horizontal="center" wrapText="1"/>
    </xf>
    <xf numFmtId="0" fontId="33" fillId="0" borderId="26" xfId="0" applyFont="1" applyFill="1" applyBorder="1" applyAlignment="1">
      <alignment horizontal="center" wrapText="1"/>
    </xf>
    <xf numFmtId="0" fontId="29" fillId="8" borderId="6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26" fillId="0" borderId="24" xfId="0" applyFont="1" applyFill="1" applyBorder="1" applyAlignment="1">
      <alignment horizontal="center" wrapText="1"/>
    </xf>
    <xf numFmtId="0" fontId="26" fillId="0" borderId="17" xfId="0" applyFont="1" applyFill="1" applyBorder="1" applyAlignment="1">
      <alignment horizontal="center" wrapText="1"/>
    </xf>
    <xf numFmtId="0" fontId="29" fillId="8" borderId="25" xfId="0" applyFont="1" applyFill="1" applyBorder="1" applyAlignment="1">
      <alignment horizontal="center" vertical="center" wrapText="1"/>
    </xf>
    <xf numFmtId="0" fontId="29" fillId="8" borderId="33" xfId="0" applyFont="1" applyFill="1" applyBorder="1" applyAlignment="1">
      <alignment horizontal="center" vertical="center" wrapText="1"/>
    </xf>
    <xf numFmtId="0" fontId="29" fillId="3" borderId="62" xfId="0" applyFont="1" applyFill="1" applyBorder="1" applyAlignment="1">
      <alignment horizontal="center" vertical="center" wrapText="1"/>
    </xf>
    <xf numFmtId="0" fontId="29" fillId="3" borderId="45" xfId="0" applyFont="1" applyFill="1" applyBorder="1" applyAlignment="1">
      <alignment horizontal="center" vertical="center" wrapText="1"/>
    </xf>
    <xf numFmtId="0" fontId="34" fillId="0" borderId="23" xfId="0" applyFont="1" applyFill="1" applyBorder="1" applyAlignment="1">
      <alignment horizontal="center" wrapText="1"/>
    </xf>
    <xf numFmtId="0" fontId="18" fillId="7" borderId="6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wrapText="1"/>
    </xf>
    <xf numFmtId="0" fontId="29" fillId="0" borderId="25" xfId="0" applyFont="1" applyBorder="1" applyAlignment="1">
      <alignment horizontal="center"/>
    </xf>
    <xf numFmtId="0" fontId="29" fillId="0" borderId="33" xfId="0" applyFont="1" applyBorder="1" applyAlignment="1">
      <alignment horizontal="center"/>
    </xf>
    <xf numFmtId="0" fontId="29" fillId="0" borderId="26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2" fillId="0" borderId="14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55" xfId="0" applyFont="1" applyBorder="1" applyAlignment="1">
      <alignment horizontal="center"/>
    </xf>
    <xf numFmtId="0" fontId="21" fillId="0" borderId="58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21" fillId="0" borderId="25" xfId="0" applyFont="1" applyBorder="1" applyAlignment="1">
      <alignment horizontal="center"/>
    </xf>
    <xf numFmtId="0" fontId="21" fillId="0" borderId="33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52" xfId="0" applyFont="1" applyBorder="1" applyAlignment="1">
      <alignment horizontal="center"/>
    </xf>
    <xf numFmtId="0" fontId="21" fillId="0" borderId="53" xfId="0" applyFont="1" applyBorder="1" applyAlignment="1">
      <alignment horizontal="center"/>
    </xf>
    <xf numFmtId="0" fontId="21" fillId="0" borderId="54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24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5" fillId="0" borderId="45" xfId="0" applyFont="1" applyBorder="1" applyAlignment="1">
      <alignment horizontal="center" wrapText="1"/>
    </xf>
    <xf numFmtId="0" fontId="5" fillId="0" borderId="44" xfId="0" applyFont="1" applyBorder="1" applyAlignment="1">
      <alignment horizontal="center" wrapText="1"/>
    </xf>
    <xf numFmtId="0" fontId="5" fillId="0" borderId="46" xfId="0" applyFont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0" fontId="5" fillId="0" borderId="23" xfId="0" applyFont="1" applyBorder="1" applyAlignment="1">
      <alignment horizontal="center" wrapText="1"/>
    </xf>
    <xf numFmtId="0" fontId="5" fillId="0" borderId="24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26" fillId="0" borderId="0" xfId="0" applyFont="1" applyFill="1" applyBorder="1" applyAlignment="1">
      <alignment horizontal="center" vertical="top" wrapText="1"/>
    </xf>
    <xf numFmtId="0" fontId="5" fillId="0" borderId="2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22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3" fillId="0" borderId="4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5" fillId="0" borderId="25" xfId="0" applyFont="1" applyFill="1" applyBorder="1" applyAlignment="1">
      <alignment horizontal="center"/>
    </xf>
    <xf numFmtId="0" fontId="5" fillId="0" borderId="33" xfId="0" applyFont="1" applyFill="1" applyBorder="1" applyAlignment="1">
      <alignment horizontal="center"/>
    </xf>
    <xf numFmtId="0" fontId="5" fillId="0" borderId="26" xfId="0" applyFont="1" applyFill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Fill="1" applyBorder="1" applyAlignment="1">
      <alignment horizontal="center"/>
    </xf>
    <xf numFmtId="0" fontId="3" fillId="0" borderId="33" xfId="0" applyFont="1" applyFill="1" applyBorder="1" applyAlignment="1">
      <alignment horizontal="center"/>
    </xf>
    <xf numFmtId="0" fontId="3" fillId="0" borderId="26" xfId="0" applyFont="1" applyFill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2" fillId="0" borderId="6" xfId="2" applyFont="1" applyBorder="1" applyAlignment="1">
      <alignment horizontal="center"/>
    </xf>
    <xf numFmtId="0" fontId="52" fillId="0" borderId="6" xfId="2" applyFont="1" applyBorder="1" applyAlignment="1">
      <alignment horizontal="center"/>
    </xf>
    <xf numFmtId="0" fontId="14" fillId="0" borderId="6" xfId="2" applyFont="1" applyBorder="1" applyAlignment="1">
      <alignment horizontal="center"/>
    </xf>
    <xf numFmtId="0" fontId="50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13" fillId="0" borderId="5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0" fontId="14" fillId="0" borderId="21" xfId="2" applyFont="1" applyBorder="1" applyAlignment="1">
      <alignment horizontal="center"/>
    </xf>
    <xf numFmtId="0" fontId="14" fillId="0" borderId="22" xfId="2" applyFont="1" applyBorder="1" applyAlignment="1">
      <alignment horizontal="center"/>
    </xf>
    <xf numFmtId="0" fontId="14" fillId="0" borderId="27" xfId="2" applyFont="1" applyBorder="1" applyAlignment="1">
      <alignment horizontal="center"/>
    </xf>
    <xf numFmtId="0" fontId="13" fillId="0" borderId="8" xfId="2" applyFont="1" applyBorder="1" applyAlignment="1">
      <alignment horizontal="center" vertical="center"/>
    </xf>
    <xf numFmtId="0" fontId="12" fillId="0" borderId="21" xfId="2" applyFont="1" applyBorder="1" applyAlignment="1">
      <alignment horizontal="center"/>
    </xf>
    <xf numFmtId="0" fontId="12" fillId="0" borderId="22" xfId="2" applyFont="1" applyBorder="1" applyAlignment="1">
      <alignment horizontal="center"/>
    </xf>
    <xf numFmtId="0" fontId="12" fillId="0" borderId="27" xfId="2" applyFont="1" applyBorder="1" applyAlignment="1">
      <alignment horizontal="center"/>
    </xf>
    <xf numFmtId="0" fontId="14" fillId="0" borderId="23" xfId="2" applyFont="1" applyBorder="1" applyAlignment="1">
      <alignment horizontal="center"/>
    </xf>
    <xf numFmtId="0" fontId="14" fillId="0" borderId="0" xfId="2" applyFont="1" applyBorder="1" applyAlignment="1">
      <alignment horizontal="center"/>
    </xf>
    <xf numFmtId="0" fontId="14" fillId="0" borderId="16" xfId="2" applyFon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54" fillId="0" borderId="2" xfId="0" applyFont="1" applyBorder="1" applyAlignment="1">
      <alignment horizontal="center"/>
    </xf>
    <xf numFmtId="0" fontId="54" fillId="0" borderId="3" xfId="0" applyFont="1" applyBorder="1" applyAlignment="1">
      <alignment horizontal="center"/>
    </xf>
    <xf numFmtId="0" fontId="54" fillId="0" borderId="4" xfId="0" applyFont="1" applyBorder="1" applyAlignment="1">
      <alignment horizontal="center"/>
    </xf>
    <xf numFmtId="0" fontId="54" fillId="0" borderId="12" xfId="0" applyFont="1" applyBorder="1" applyAlignment="1">
      <alignment horizontal="center"/>
    </xf>
    <xf numFmtId="0" fontId="54" fillId="0" borderId="13" xfId="0" applyFont="1" applyBorder="1" applyAlignment="1">
      <alignment horizontal="center"/>
    </xf>
    <xf numFmtId="0" fontId="54" fillId="0" borderId="14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3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9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4.xml"/><Relationship Id="rId50" Type="http://schemas.openxmlformats.org/officeDocument/2006/relationships/externalLink" Target="externalLinks/externalLink7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2.xml"/><Relationship Id="rId53" Type="http://schemas.openxmlformats.org/officeDocument/2006/relationships/externalLink" Target="externalLinks/externalLink10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5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3.xml"/><Relationship Id="rId59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6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52" Type="http://schemas.openxmlformats.org/officeDocument/2006/relationships/externalLink" Target="externalLinks/externalLink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-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Y-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JUNE-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JULY-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-2025%20-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EPTEMBER-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OCTOBER-2025%20-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OVEMBER-2025%20-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9-6-OZ"/>
      <sheetName val="20 X10 "/>
      <sheetName val="38-8.12-OZ "/>
      <sheetName val="44-8.12 OZ (2)"/>
      <sheetName val="44-8.12 OZ"/>
      <sheetName val="40-4.5-OZ"/>
      <sheetName val="36-4.05 OZ"/>
      <sheetName val="34-9.82"/>
      <sheetName val="44-5 OZ (2)"/>
      <sheetName val="44-5 OZ"/>
      <sheetName val="54-6.5"/>
      <sheetName val="44-7.15 "/>
      <sheetName val="48-8.4-OZ  "/>
      <sheetName val="40-6.5"/>
      <sheetName val="51-11.36-OZ "/>
      <sheetName val="48-7.80 EXP"/>
      <sheetName val="40-5-OZ-EXP"/>
      <sheetName val="EXPORT "/>
      <sheetName val="48-6 EXPORT"/>
      <sheetName val="TYPE A GOV"/>
      <sheetName val="TYPE B GOV "/>
      <sheetName val="EXCISE SALES DETAILS"/>
      <sheetName val="JCIR"/>
      <sheetName val="GROSS"/>
      <sheetName val="DSA HESS"/>
      <sheetName val="DSA SKG"/>
      <sheetName val="PRD"/>
      <sheetName val="MTOY"/>
      <sheetName val="YEARLY"/>
      <sheetName val="51 X51 LENO"/>
      <sheetName val="EXPORT 100FT"/>
      <sheetName val="EXPORT 30 FT)"/>
      <sheetName val="JUTE LENO"/>
      <sheetName val="JUCO"/>
      <sheetName val="BLEACH"/>
      <sheetName val="YARN"/>
      <sheetName val="MONTHLY "/>
      <sheetName val="YEARLY WISE"/>
      <sheetName val="yearly sum"/>
      <sheetName val="DATASHEET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94">
          <cell r="AT94">
            <v>0</v>
          </cell>
        </row>
      </sheetData>
      <sheetData sheetId="22"/>
      <sheetData sheetId="23">
        <row r="9">
          <cell r="H9">
            <v>0</v>
          </cell>
          <cell r="K9">
            <v>3</v>
          </cell>
        </row>
        <row r="24">
          <cell r="H24">
            <v>284</v>
          </cell>
          <cell r="J24">
            <v>108.738715</v>
          </cell>
          <cell r="K24">
            <v>404</v>
          </cell>
          <cell r="M24">
            <v>153.187555</v>
          </cell>
        </row>
        <row r="36">
          <cell r="H36">
            <v>1279</v>
          </cell>
          <cell r="K36">
            <v>1110</v>
          </cell>
        </row>
        <row r="44">
          <cell r="K44">
            <v>0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9-6-OZ"/>
      <sheetName val="20 X10 "/>
      <sheetName val="38-8.12-OZ "/>
      <sheetName val="44-8.12 OZ (2)"/>
      <sheetName val="44-8.12 OZ"/>
      <sheetName val="40-4.5-OZ"/>
      <sheetName val="36-4.05 OZ"/>
      <sheetName val="34-9.82"/>
      <sheetName val="44-5 OZ (2)"/>
      <sheetName val="44-5 OZ"/>
      <sheetName val="54-6.5"/>
      <sheetName val="44-7.15 "/>
      <sheetName val="48-8.4-OZ  "/>
      <sheetName val="40-6.5"/>
      <sheetName val="51-11.36-OZ "/>
      <sheetName val="48-7.80 EXP"/>
      <sheetName val="40-5-OZ-EXP"/>
      <sheetName val="EXPORT "/>
      <sheetName val="48-6 EXPORT"/>
      <sheetName val="TYPE A GOV"/>
      <sheetName val="TYPE B GOV "/>
      <sheetName val="EXCISE SALES DETAILS"/>
      <sheetName val="JCIR"/>
      <sheetName val="GROSS"/>
      <sheetName val="DSA HESS"/>
      <sheetName val="DSA SKG"/>
      <sheetName val="PRD"/>
      <sheetName val="MTOY"/>
      <sheetName val="YEARLY"/>
      <sheetName val="51 X51 LENO"/>
      <sheetName val="EXPORT 100FT"/>
      <sheetName val="EXPORT 30 FT)"/>
      <sheetName val="JUTE LENO"/>
      <sheetName val="JUCO"/>
      <sheetName val="BLEACH"/>
      <sheetName val="YARN"/>
      <sheetName val="MONTHLY "/>
      <sheetName val="YEARLY WISE"/>
      <sheetName val="yearly sum"/>
      <sheetName val="DATASHEET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5">
          <cell r="H25">
            <v>246</v>
          </cell>
          <cell r="J25">
            <v>95.555898999999997</v>
          </cell>
          <cell r="K25">
            <v>208</v>
          </cell>
          <cell r="M25">
            <v>80.672938000000002</v>
          </cell>
        </row>
        <row r="37">
          <cell r="H37">
            <v>1344</v>
          </cell>
          <cell r="K37">
            <v>1418</v>
          </cell>
        </row>
        <row r="41">
          <cell r="I41">
            <v>0</v>
          </cell>
        </row>
        <row r="55">
          <cell r="C55">
            <v>180</v>
          </cell>
          <cell r="E55">
            <v>52.2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9-6-OZ"/>
      <sheetName val="20 X10 "/>
      <sheetName val="38-8.12-OZ "/>
      <sheetName val="44-8.12 OZ (2)"/>
      <sheetName val="44-8.12 OZ"/>
      <sheetName val="40-4.5-OZ"/>
      <sheetName val="36-4.05 OZ"/>
      <sheetName val="34-9.82"/>
      <sheetName val="44-5 OZ (2)"/>
      <sheetName val="44-5 OZ"/>
      <sheetName val="54-6.5"/>
      <sheetName val="44-7.15 "/>
      <sheetName val="48-8.4-OZ  "/>
      <sheetName val="40-6.5"/>
      <sheetName val="51-11.36-OZ "/>
      <sheetName val="48-7.80 EXP"/>
      <sheetName val="40-5-OZ-EXP"/>
      <sheetName val="EXPORT "/>
      <sheetName val="48-6 EXPORT"/>
      <sheetName val="TYPE A GOV"/>
      <sheetName val="TYPE B GOV "/>
      <sheetName val="EXCISE SALES DETAILS"/>
      <sheetName val="JCIR"/>
      <sheetName val="GROSS"/>
      <sheetName val="DSA HESS"/>
      <sheetName val="DSA SKG"/>
      <sheetName val="PRD"/>
      <sheetName val="MTOY"/>
      <sheetName val="YEARLY"/>
      <sheetName val="51 X51 LENO"/>
      <sheetName val="EXPORT 100FT"/>
      <sheetName val="EXPORT 30 FT)"/>
      <sheetName val="JUTE LENO"/>
      <sheetName val="JUCO"/>
      <sheetName val="BLEACH"/>
      <sheetName val="YARN"/>
      <sheetName val="MONTHLY "/>
      <sheetName val="YEARLY WISE"/>
      <sheetName val="yearly sum"/>
      <sheetName val="DATASHEET"/>
      <sheetName val="Sheet1"/>
      <sheetName val="Sheet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5">
          <cell r="H25">
            <v>342</v>
          </cell>
          <cell r="J25">
            <v>134.13016599999997</v>
          </cell>
          <cell r="K25">
            <v>242</v>
          </cell>
          <cell r="M25">
            <v>95.708765</v>
          </cell>
        </row>
        <row r="37">
          <cell r="H37">
            <v>1819</v>
          </cell>
          <cell r="K37">
            <v>1502</v>
          </cell>
        </row>
        <row r="41">
          <cell r="I41">
            <v>0.09</v>
          </cell>
        </row>
        <row r="42">
          <cell r="I42">
            <v>0</v>
          </cell>
        </row>
        <row r="45">
          <cell r="K45">
            <v>15.675999999999998</v>
          </cell>
        </row>
        <row r="49">
          <cell r="C49">
            <v>61.608000000000004</v>
          </cell>
        </row>
        <row r="55">
          <cell r="C55">
            <v>108</v>
          </cell>
          <cell r="E55">
            <v>31.32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9-6-OZ"/>
      <sheetName val="20 X10 "/>
      <sheetName val="38-8.12-OZ "/>
      <sheetName val="44-8.12 OZ (2)"/>
      <sheetName val="44-8.12 OZ"/>
      <sheetName val="40-4.5-OZ"/>
      <sheetName val="36-4.05 OZ"/>
      <sheetName val="34-9.82"/>
      <sheetName val="44-5 OZ (2)"/>
      <sheetName val="44-5 OZ"/>
      <sheetName val="54-6.5"/>
      <sheetName val="44-7.15 "/>
      <sheetName val="48-8.4-OZ  "/>
      <sheetName val="40-6.5"/>
      <sheetName val="51-11.36-OZ "/>
      <sheetName val="48-7.80 EXP"/>
      <sheetName val="40-5-OZ-EXP"/>
      <sheetName val="EXPORT "/>
      <sheetName val="48-6 EXPORT"/>
      <sheetName val="TYPE A GOV"/>
      <sheetName val="TYPE B GOV "/>
      <sheetName val="EXCISE SALES DETAILS"/>
      <sheetName val="JCIR"/>
      <sheetName val="GROSS"/>
      <sheetName val="DSA HESS"/>
      <sheetName val="DSA SKG"/>
      <sheetName val="PRD"/>
      <sheetName val="MTOY"/>
      <sheetName val="YEARLY"/>
      <sheetName val="51 X51 LENO"/>
      <sheetName val="EXPORT 100FT"/>
      <sheetName val="EXPORT 30 FT)"/>
      <sheetName val="JUTE LENO"/>
      <sheetName val="JUCO"/>
      <sheetName val="BLEACH"/>
      <sheetName val="YARN"/>
      <sheetName val="MONTHLY "/>
      <sheetName val="YEARLY WISE"/>
      <sheetName val="yearly sum"/>
      <sheetName val="DATASHEET"/>
      <sheetName val="Sheet1"/>
      <sheetName val="Sheet4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0">
          <cell r="K40">
            <v>1820</v>
          </cell>
        </row>
      </sheetData>
      <sheetData sheetId="20"/>
      <sheetData sheetId="21">
        <row r="88">
          <cell r="H88">
            <v>2.1</v>
          </cell>
        </row>
      </sheetData>
      <sheetData sheetId="22"/>
      <sheetData sheetId="23">
        <row r="25">
          <cell r="H25">
            <v>420</v>
          </cell>
          <cell r="J25">
            <v>152.5461</v>
          </cell>
          <cell r="K25">
            <v>474</v>
          </cell>
          <cell r="M25">
            <v>173.63748200000001</v>
          </cell>
        </row>
        <row r="37">
          <cell r="H37">
            <v>1839</v>
          </cell>
        </row>
        <row r="41">
          <cell r="I41">
            <v>0</v>
          </cell>
        </row>
        <row r="42">
          <cell r="I42">
            <v>0</v>
          </cell>
        </row>
        <row r="45">
          <cell r="K45">
            <v>28.831000000000003</v>
          </cell>
        </row>
        <row r="49">
          <cell r="C49">
            <v>19.59</v>
          </cell>
        </row>
        <row r="55">
          <cell r="C55">
            <v>0</v>
          </cell>
          <cell r="E55">
            <v>0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9-6-OZ"/>
      <sheetName val="20 X10 "/>
      <sheetName val="38-8.12-OZ "/>
      <sheetName val="44-8.12 OZ (2)"/>
      <sheetName val="44-8.12 OZ"/>
      <sheetName val="40-4.5-OZ"/>
      <sheetName val="36-4.05 OZ"/>
      <sheetName val="34-9.82"/>
      <sheetName val="44-5 OZ (2)"/>
      <sheetName val="44-5 OZ"/>
      <sheetName val="54-6.5"/>
      <sheetName val="44-7.15 "/>
      <sheetName val="48-8.4-OZ  "/>
      <sheetName val="40-6.5"/>
      <sheetName val="51-11.36-OZ "/>
      <sheetName val="48-7.80 EXP"/>
      <sheetName val="40-5-OZ-EXP"/>
      <sheetName val="EXPORT "/>
      <sheetName val="48-6 EXPORT"/>
      <sheetName val="TYPE A GOV"/>
      <sheetName val="TYPE B GOV "/>
      <sheetName val="EXCISE SALES DETAILS"/>
      <sheetName val="JCIR"/>
      <sheetName val="GROSS"/>
      <sheetName val="DSA HESS"/>
      <sheetName val="DSA SKG"/>
      <sheetName val="PRD"/>
      <sheetName val="MTOY"/>
      <sheetName val="YEARLY"/>
      <sheetName val="51 X51 LENO"/>
      <sheetName val="EXPORT 100FT"/>
      <sheetName val="EXPORT 30 FT)"/>
      <sheetName val="JUTE LENO"/>
      <sheetName val="JUCO"/>
      <sheetName val="BLEACH"/>
      <sheetName val="YARN"/>
      <sheetName val="MONTHLY "/>
      <sheetName val="YEARLY WISE"/>
      <sheetName val="yearly sum"/>
      <sheetName val="DATASHEET"/>
      <sheetName val="Sheet1"/>
      <sheetName val="Sheet4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0">
          <cell r="G40">
            <v>2116</v>
          </cell>
          <cell r="K40">
            <v>2114</v>
          </cell>
        </row>
      </sheetData>
      <sheetData sheetId="20"/>
      <sheetData sheetId="21"/>
      <sheetData sheetId="22"/>
      <sheetData sheetId="23">
        <row r="25">
          <cell r="H25">
            <v>312</v>
          </cell>
          <cell r="J25">
            <v>112.75724699999999</v>
          </cell>
          <cell r="K25">
            <v>369</v>
          </cell>
          <cell r="M25">
            <v>136.41986700000001</v>
          </cell>
        </row>
        <row r="41">
          <cell r="I41">
            <v>0</v>
          </cell>
        </row>
        <row r="42">
          <cell r="I42">
            <v>0</v>
          </cell>
        </row>
        <row r="45">
          <cell r="K45">
            <v>0</v>
          </cell>
        </row>
        <row r="49">
          <cell r="C49">
            <v>46.9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9-6-OZ"/>
      <sheetName val="20 X10 "/>
      <sheetName val="38-8.12-OZ "/>
      <sheetName val="44-8.12 OZ (2)"/>
      <sheetName val="44-8.12 OZ"/>
      <sheetName val="40-4.5-OZ"/>
      <sheetName val="36-4.05 OZ"/>
      <sheetName val="34-9.82"/>
      <sheetName val="44-5 OZ (2)"/>
      <sheetName val="44-5 OZ"/>
      <sheetName val="54-6.5"/>
      <sheetName val="44-7.15 "/>
      <sheetName val="48-8.4-OZ  "/>
      <sheetName val="40-6.5"/>
      <sheetName val="51-11.36-OZ "/>
      <sheetName val="48-7.80 EXP"/>
      <sheetName val="40-5-OZ-EXP"/>
      <sheetName val="EXPORT "/>
      <sheetName val="48-6 EXPORT"/>
      <sheetName val="TYPE A GOV"/>
      <sheetName val="TYPE B GOV "/>
      <sheetName val="EXCISE SALES DETAILS"/>
      <sheetName val="JCIR"/>
      <sheetName val="GROSS"/>
      <sheetName val="DSA HESS"/>
      <sheetName val="DSA SKG"/>
      <sheetName val="PRD"/>
      <sheetName val="MWYR"/>
      <sheetName val="YEARLY"/>
      <sheetName val="51 X51 LENO"/>
      <sheetName val="EXPORT 100FT"/>
      <sheetName val="EXPORT 30 FT)"/>
      <sheetName val="JUTE LENO"/>
      <sheetName val="JUCO"/>
      <sheetName val="BLEACH"/>
      <sheetName val="YARN"/>
      <sheetName val="MONTHLY "/>
      <sheetName val="YEARLY WISE"/>
      <sheetName val="yearly sum"/>
      <sheetName val="DATASHEET"/>
      <sheetName val="Sheet1"/>
      <sheetName val="Sheet4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0">
          <cell r="G40">
            <v>2082</v>
          </cell>
          <cell r="K40">
            <v>2218</v>
          </cell>
        </row>
      </sheetData>
      <sheetData sheetId="20"/>
      <sheetData sheetId="21"/>
      <sheetData sheetId="22"/>
      <sheetData sheetId="23">
        <row r="21">
          <cell r="I21"/>
        </row>
        <row r="22">
          <cell r="M22">
            <v>103.771902</v>
          </cell>
        </row>
        <row r="25">
          <cell r="H25">
            <v>325</v>
          </cell>
          <cell r="J25">
            <v>117.20719600000001</v>
          </cell>
          <cell r="K25">
            <v>288</v>
          </cell>
        </row>
        <row r="41">
          <cell r="I41">
            <v>0</v>
          </cell>
        </row>
        <row r="42">
          <cell r="I42">
            <v>0</v>
          </cell>
        </row>
        <row r="45">
          <cell r="K45">
            <v>16</v>
          </cell>
        </row>
        <row r="49">
          <cell r="C49">
            <v>44.739999999999995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9-6-OZ"/>
      <sheetName val="20 X10 "/>
      <sheetName val="38-8.12-OZ "/>
      <sheetName val="44-8.12 OZ (2)"/>
      <sheetName val="44-8.12 OZ"/>
      <sheetName val="40-4.5-OZ"/>
      <sheetName val="36-4.05 OZ"/>
      <sheetName val="34-9.82"/>
      <sheetName val="44-5 OZ (2)"/>
      <sheetName val="44-5 OZ"/>
      <sheetName val="54-6.5"/>
      <sheetName val="44-7.15 "/>
      <sheetName val="48-8.4-OZ  "/>
      <sheetName val="40-6.5"/>
      <sheetName val="51-11.36-OZ "/>
      <sheetName val="48-7.80 EXP"/>
      <sheetName val="40-5-OZ-EXP"/>
      <sheetName val="EXPORT "/>
      <sheetName val="48-6 EXPORT"/>
      <sheetName val="TYPE A GOV"/>
      <sheetName val="767 GRMS"/>
      <sheetName val="EXCISE SALES DETAILS"/>
      <sheetName val="JCIR"/>
      <sheetName val="GROSS"/>
      <sheetName val="DSA HESS"/>
      <sheetName val="DSA SKG"/>
      <sheetName val="PRD"/>
      <sheetName val="MTOY"/>
      <sheetName val="YEARLY"/>
      <sheetName val="51 X51 LENO"/>
      <sheetName val="EXPORT 100FT"/>
      <sheetName val="EXPORT 30 FT)"/>
      <sheetName val="JUTE LENO"/>
      <sheetName val="JUCO"/>
      <sheetName val="BLEACH"/>
      <sheetName val="YARN"/>
      <sheetName val="MONTHLY "/>
      <sheetName val="YEARLY WISE"/>
      <sheetName val="yearly sum"/>
      <sheetName val="DATASHEET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94">
          <cell r="AT94">
            <v>78.710999999999999</v>
          </cell>
        </row>
      </sheetData>
      <sheetData sheetId="22"/>
      <sheetData sheetId="23">
        <row r="25">
          <cell r="H25">
            <v>296</v>
          </cell>
          <cell r="J25">
            <v>108.740298</v>
          </cell>
          <cell r="K25">
            <v>287</v>
          </cell>
          <cell r="M25">
            <v>101.53780499999999</v>
          </cell>
        </row>
        <row r="37">
          <cell r="H37">
            <v>1408</v>
          </cell>
          <cell r="J37">
            <v>443.38249999999999</v>
          </cell>
          <cell r="K37">
            <v>1561</v>
          </cell>
          <cell r="M37">
            <v>487.7525</v>
          </cell>
        </row>
        <row r="49">
          <cell r="C49">
            <v>0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9-6-OZ"/>
      <sheetName val="20 X10 "/>
      <sheetName val="38-8.12-OZ "/>
      <sheetName val="44-8.12 OZ (2)"/>
      <sheetName val="44-8.12 OZ"/>
      <sheetName val="40-4.5-OZ"/>
      <sheetName val="36-4.05 OZ"/>
      <sheetName val="34-9.82"/>
      <sheetName val="44-5 OZ (2)"/>
      <sheetName val="44-5 OZ"/>
      <sheetName val="54-6.5"/>
      <sheetName val="44-7.15 "/>
      <sheetName val="48-8.4-OZ  "/>
      <sheetName val="40-6.5"/>
      <sheetName val="51-11.36-OZ "/>
      <sheetName val="48-7.80 EXP"/>
      <sheetName val="40-5-OZ-EXP"/>
      <sheetName val="EXPORT "/>
      <sheetName val="48-6 EXPORT"/>
      <sheetName val="TYPE A GOV"/>
      <sheetName val="767 GMS 500 PCS"/>
      <sheetName val="EXCISE SALES DETAILS"/>
      <sheetName val="JCIR"/>
      <sheetName val="GROSS"/>
      <sheetName val="DSA HESS"/>
      <sheetName val="DSA SKG"/>
      <sheetName val="PRD"/>
      <sheetName val="MTOY"/>
      <sheetName val="YEARLY"/>
      <sheetName val="51 X51 LENO"/>
      <sheetName val="EXPORT 100FT"/>
      <sheetName val="EXPORT 30 FT)"/>
      <sheetName val="JUTE LENO"/>
      <sheetName val="JUCO"/>
      <sheetName val="BLEACH"/>
      <sheetName val="YARN"/>
      <sheetName val="MONTHLY "/>
      <sheetName val="YEARLY WISE"/>
      <sheetName val="yearly sum"/>
      <sheetName val="DATASHEET"/>
      <sheetName val="Sheet1"/>
      <sheetName val="Sheet4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94">
          <cell r="AT94">
            <v>60.835999999999999</v>
          </cell>
        </row>
      </sheetData>
      <sheetData sheetId="22"/>
      <sheetData sheetId="23">
        <row r="25">
          <cell r="H25">
            <v>314</v>
          </cell>
          <cell r="J25">
            <v>117.64515</v>
          </cell>
          <cell r="K25">
            <v>313</v>
          </cell>
          <cell r="M25">
            <v>118.73617200000001</v>
          </cell>
        </row>
        <row r="35">
          <cell r="H35">
            <v>0</v>
          </cell>
          <cell r="K35">
            <v>0</v>
          </cell>
        </row>
        <row r="37">
          <cell r="H37">
            <v>1595</v>
          </cell>
          <cell r="K37">
            <v>1493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9-6-OZ"/>
      <sheetName val="20 X10 "/>
      <sheetName val="38-8.12-OZ "/>
      <sheetName val="44-8.12 OZ"/>
      <sheetName val="40-4.5-OZ"/>
      <sheetName val="36-4.05 OZ"/>
      <sheetName val="34-9.82"/>
      <sheetName val="54-6.5"/>
      <sheetName val="44-7.15 "/>
      <sheetName val="48-8.4-OZ  "/>
      <sheetName val="40-6.5"/>
      <sheetName val="51-11.36-OZ "/>
      <sheetName val="48-7.80 EXP"/>
      <sheetName val="40-5-OZ-EXP"/>
      <sheetName val="EXPORT "/>
      <sheetName val="48-6 EXPORT"/>
      <sheetName val="TYPE A GOV"/>
      <sheetName val="TYPE B GOV "/>
      <sheetName val="EXCISE MATERIALS DETAILS"/>
      <sheetName val="SWAPAN DA"/>
      <sheetName val="SOMA MADAM"/>
      <sheetName val="PANKAJ SIR YEARLY "/>
      <sheetName val="ARUN DA"/>
      <sheetName val="TIBALJEE"/>
      <sheetName val="DSA HESS"/>
      <sheetName val="DSA SKG"/>
      <sheetName val="51 X51 LENO"/>
      <sheetName val="EXPORT 100 FT"/>
      <sheetName val="EXPORT 30 FT)"/>
      <sheetName val="JUTE LENO"/>
      <sheetName val="JUCO"/>
      <sheetName val="BLEACH"/>
      <sheetName val="YARN"/>
      <sheetName val="MONTHLY WISE"/>
      <sheetName val="NET CALCUL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5">
          <cell r="E5">
            <v>112</v>
          </cell>
          <cell r="G5">
            <v>401</v>
          </cell>
          <cell r="J5">
            <v>506</v>
          </cell>
        </row>
        <row r="6">
          <cell r="E6">
            <v>73</v>
          </cell>
          <cell r="G6">
            <v>160</v>
          </cell>
          <cell r="J6">
            <v>221</v>
          </cell>
        </row>
        <row r="7">
          <cell r="E7">
            <v>13</v>
          </cell>
          <cell r="G7">
            <v>51</v>
          </cell>
          <cell r="J7">
            <v>24</v>
          </cell>
        </row>
        <row r="9">
          <cell r="E9">
            <v>28</v>
          </cell>
          <cell r="G9">
            <v>41</v>
          </cell>
          <cell r="J9">
            <v>67</v>
          </cell>
        </row>
        <row r="11">
          <cell r="E11">
            <v>1</v>
          </cell>
          <cell r="G11">
            <v>0</v>
          </cell>
          <cell r="J11">
            <v>1</v>
          </cell>
        </row>
        <row r="12">
          <cell r="E12">
            <v>0</v>
          </cell>
          <cell r="G12">
            <v>9</v>
          </cell>
          <cell r="J12">
            <v>0</v>
          </cell>
        </row>
        <row r="16">
          <cell r="E16">
            <v>5</v>
          </cell>
          <cell r="G16">
            <v>0</v>
          </cell>
          <cell r="J16">
            <v>0</v>
          </cell>
        </row>
        <row r="17">
          <cell r="E17">
            <v>35</v>
          </cell>
          <cell r="G17">
            <v>0</v>
          </cell>
          <cell r="J17">
            <v>35</v>
          </cell>
        </row>
        <row r="18">
          <cell r="I18">
            <v>0.35</v>
          </cell>
        </row>
        <row r="26">
          <cell r="I26">
            <v>33.725999999999999</v>
          </cell>
        </row>
        <row r="27">
          <cell r="I27">
            <v>14.859</v>
          </cell>
        </row>
        <row r="29">
          <cell r="I29">
            <v>0</v>
          </cell>
        </row>
        <row r="30">
          <cell r="I30">
            <v>0</v>
          </cell>
        </row>
        <row r="36">
          <cell r="E36">
            <v>416</v>
          </cell>
          <cell r="G36">
            <v>1108</v>
          </cell>
          <cell r="J36">
            <v>1096</v>
          </cell>
        </row>
        <row r="40">
          <cell r="I40">
            <v>0</v>
          </cell>
        </row>
        <row r="41">
          <cell r="I41">
            <v>3.2210000000000001</v>
          </cell>
        </row>
        <row r="44">
          <cell r="J44">
            <v>262.91500000000002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11">
          <cell r="F11">
            <v>11</v>
          </cell>
          <cell r="H11">
            <v>0</v>
          </cell>
        </row>
      </sheetData>
      <sheetData sheetId="3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9-6-OZ"/>
      <sheetName val="20 X10 "/>
      <sheetName val="38-8.12-OZ "/>
      <sheetName val="44-8.12 OZ"/>
      <sheetName val="40-4.5-OZ"/>
      <sheetName val="36-4.05 OZ"/>
      <sheetName val="54-6.5 (2)"/>
      <sheetName val="54-6.5"/>
      <sheetName val="44-7.15 "/>
      <sheetName val="48-8.4-OZ  "/>
      <sheetName val="40-6.5"/>
      <sheetName val="51-11.36-OZ "/>
      <sheetName val="48-7.80 EXP"/>
      <sheetName val="40-5-OZ-EXP"/>
      <sheetName val="EXPORT "/>
      <sheetName val="48-6 EXPORT"/>
      <sheetName val="TYPE A GOV"/>
      <sheetName val="TYPE B GOV "/>
      <sheetName val="EXCISE MATERIALS DETAILS"/>
      <sheetName val="SWAPAN DA"/>
      <sheetName val="SOMA MADAM"/>
      <sheetName val="PANKAJ SIR YEARLY "/>
      <sheetName val="ARUN DA"/>
      <sheetName val="TIBALJEE"/>
      <sheetName val="DSA HESS"/>
      <sheetName val="DSA SKG"/>
      <sheetName val="51 X51 LENO"/>
      <sheetName val="EXPORT 100 FT"/>
      <sheetName val="EXPORT 30 FT)"/>
      <sheetName val="JUTE LENO"/>
      <sheetName val="JUCO"/>
      <sheetName val="BLEACH"/>
      <sheetName val="YARN"/>
      <sheetName val="MONTHLY WISE"/>
      <sheetName val="NET CALCULATION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32">
          <cell r="E32">
            <v>0</v>
          </cell>
          <cell r="G32">
            <v>0</v>
          </cell>
          <cell r="J32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MABORALSAHA" refreshedDate="44351.530956249997" createdVersion="6" refreshedVersion="6" minRefreshableVersion="3" recordCount="53" xr:uid="{00000000-000A-0000-FFFF-FFFF00000000}">
  <cacheSource type="worksheet">
    <worksheetSource ref="A2:O55" sheet="DATASHEET"/>
  </cacheSource>
  <cacheFields count="15">
    <cacheField name="SL NO" numFmtId="0">
      <sharedItems containsSemiMixedTypes="0" containsNonDate="0" containsString="0"/>
    </cacheField>
    <cacheField name="Quality" numFmtId="0">
      <sharedItems count="30">
        <s v="Hessian Cloth 39-6-Oz/40 8X7 Plain I/B 2000Yds"/>
        <s v="Hessian Cloth 38-8-12-Oz 11X10  Plain I/B 2000Yds"/>
        <s v="HESSIAN CLOTH 6X6 44 &quot;"/>
        <s v="HESS.CLOTH 40-4.5-OZ/ I/B-2000 YDS"/>
        <s v="CANVASE CLOTH 40-7-OZ I/B-1500 YDS"/>
        <s v="HESS. CLOTH 48-8.4-OZ 9X8 I/B-1000 MTR"/>
        <s v="8X8 BOX STRIPE HESS. CLOTH    51-11.36-OZ I/B- 500 MTR"/>
        <s v="HESS. CLOTH -40-7.5 OZ, I/B-1500 MTR"/>
        <s v="HESS  CLOTH 40-6.5 OZ, I/B-2000 YDS"/>
        <s v="H.CLOTH 36-4.05 OZ"/>
        <s v="HESS.BAG 20 X10, 72 GMS/BAG I/B-2000 PCS"/>
        <s v="51 X51 HESS LENO SELVEDGE"/>
        <s v="48-7.80 /198 GMS"/>
        <s v="RAPIER 54&quot;-6.5 OZ I/B-1828.80MTR"/>
        <s v="H.CLOTH 54-6.5 OZ I/B-1376 YDS"/>
        <s v="H.CLOTH 44.812 OZ I/B-1000 YDS"/>
        <s v="H.CLOTH 44-7.15 I/B-2000 YDS"/>
        <s v="SMALL SHORT PCS HESS CLOTH"/>
        <s v="OLD DAMAGE MIX HESS CLOTH"/>
        <s v="CANVASE 34-8.92 I/B-1500 YDS"/>
        <s v="Sale Yarn"/>
        <s v="Jute Fiber"/>
        <s v="Juco Cloth"/>
        <s v="Hess cloth 101.50 CM/ 153GMS/sqr  (EXPORT)"/>
        <s v="Hess cloth -36&quot;-4.5 OZ/40 ( 91.5 -137GMS/SQR MTR (EXPORT)"/>
        <s v="JUTE LENO  NETTING 250/254 CMS 45 GMS/SQR MTR(EXPORT)"/>
        <s v="B.Twill Bags 37X22.5Hd 580Gm/Bag Jci Type-B"/>
        <s v="B.Twill Bags 37X22.5Hd 580Gm/Bag Jci Type-A"/>
        <s v="CANVASE 34-9.82, I/B-1500 YDS"/>
        <s v="JUTE LENO  NETTING 250 CMS 45 GMS/SQR MTR(export)"/>
      </sharedItems>
    </cacheField>
    <cacheField name="WT" numFmtId="0">
      <sharedItems containsSemiMixedTypes="0" containsNonDate="0" containsString="0"/>
    </cacheField>
    <cacheField name="B/S" numFmtId="0">
      <sharedItems containsSemiMixedTypes="0" containsNonDate="0" containsString="0"/>
    </cacheField>
    <cacheField name="Opening Weight In _x000a_Mt" numFmtId="0">
      <sharedItems containsSemiMixedTypes="0" containsNonDate="0" containsString="0"/>
    </cacheField>
    <cacheField name="B/S2" numFmtId="0">
      <sharedItems containsSemiMixedTypes="0" containsNonDate="0" containsString="0"/>
    </cacheField>
    <cacheField name="Production Weight In Mt" numFmtId="164">
      <sharedItems containsSemiMixedTypes="0" containsNonDate="0" containsString="0"/>
    </cacheField>
    <cacheField name="B/S3" numFmtId="0">
      <sharedItems containsSemiMixedTypes="0" containsNonDate="0" containsString="0"/>
    </cacheField>
    <cacheField name="Clearance Weight In Mt" numFmtId="164">
      <sharedItems containsSemiMixedTypes="0" containsNonDate="0" containsString="0"/>
    </cacheField>
    <cacheField name="B/S4" numFmtId="0">
      <sharedItems containsSemiMixedTypes="0" containsNonDate="0" containsString="0"/>
    </cacheField>
    <cacheField name="Closing Weight In Mt" numFmtId="164">
      <sharedItems containsSemiMixedTypes="0" containsNonDate="0" containsString="0"/>
    </cacheField>
    <cacheField name="PRD PCKSHED" numFmtId="164">
      <sharedItems containsSemiMixedTypes="0" containsNonDate="0" containsString="0"/>
    </cacheField>
    <cacheField name="CL/ PCK SHED" numFmtId="164">
      <sharedItems containsSemiMixedTypes="0" containsNonDate="0" containsString="0"/>
    </cacheField>
    <cacheField name="P.SHEET" numFmtId="0">
      <sharedItems containsSemiMixedTypes="0" containsNonDate="0" containsString="0"/>
    </cacheField>
    <cacheField name="MONTH" numFmtId="167">
      <sharedItems containsSemiMixedTypes="0" containsNonDate="0" containsDate="1" containsString="0" minDate="2021-04-01T00:00:00" maxDate="2021-05-01T00:00:00" count="2">
        <d v="2021-04-01T00:00:00"/>
        <d v="2021-05-0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3">
  <r>
    <n v="1"/>
    <x v="0"/>
    <n v="331.69499999999999"/>
    <n v="112"/>
    <n v="37.149839999999998"/>
    <n v="401"/>
    <n v="133.00969499999999"/>
    <n v="506"/>
    <n v="167.83766999999997"/>
    <n v="7"/>
    <n v="2.3218650000000309"/>
    <n v="1.0016980000000002"/>
    <n v="1.2639880000000001"/>
    <n v="2.4980000000000002"/>
    <x v="0"/>
  </r>
  <r>
    <n v="2"/>
    <x v="1"/>
    <n v="437.38400000000001"/>
    <n v="73"/>
    <n v="31.929031999999999"/>
    <n v="160"/>
    <n v="69.981440000000006"/>
    <n v="221"/>
    <n v="96.661864000000008"/>
    <n v="12"/>
    <n v="5.2486079999999902"/>
    <n v="0.52479999999999993"/>
    <n v="0.72487999999999997"/>
    <n v="3.28"/>
    <x v="0"/>
  </r>
  <r>
    <n v="3"/>
    <x v="2"/>
    <n v="279"/>
    <n v="0"/>
    <n v="0"/>
    <n v="0"/>
    <n v="0"/>
    <n v="0"/>
    <n v="0"/>
    <n v="0"/>
    <n v="0"/>
    <n v="0"/>
    <n v="0"/>
    <n v="2.093"/>
    <x v="0"/>
  </r>
  <r>
    <n v="4"/>
    <x v="3"/>
    <n v="255.15"/>
    <n v="0"/>
    <n v="0"/>
    <n v="9"/>
    <n v="2.2963499999999999"/>
    <n v="0"/>
    <n v="0"/>
    <n v="9"/>
    <n v="2.2963499999999999"/>
    <n v="1.7225999999999998E-2"/>
    <n v="0"/>
    <n v="1.9139999999999999"/>
    <x v="0"/>
  </r>
  <r>
    <n v="5"/>
    <x v="4"/>
    <n v="297.67500000000001"/>
    <n v="0"/>
    <n v="0"/>
    <n v="0"/>
    <n v="0"/>
    <n v="0"/>
    <n v="0"/>
    <n v="0"/>
    <n v="0"/>
    <n v="0"/>
    <n v="0"/>
    <n v="2.2330000000000001"/>
    <x v="0"/>
  </r>
  <r>
    <n v="6"/>
    <x v="5"/>
    <n v="260.43299999999999"/>
    <n v="0"/>
    <n v="0"/>
    <n v="0"/>
    <n v="0"/>
    <n v="0"/>
    <n v="0"/>
    <n v="0"/>
    <n v="0"/>
    <n v="0"/>
    <n v="0"/>
    <n v="1.9530000000000001"/>
    <x v="0"/>
  </r>
  <r>
    <n v="7"/>
    <x v="6"/>
    <n v="175.792"/>
    <n v="1"/>
    <n v="0.175792"/>
    <n v="0"/>
    <n v="0"/>
    <n v="1"/>
    <n v="0.175792"/>
    <n v="0"/>
    <n v="0"/>
    <n v="0"/>
    <n v="1.3180000000000002E-3"/>
    <n v="1.3180000000000001"/>
    <x v="0"/>
  </r>
  <r>
    <n v="8"/>
    <x v="7"/>
    <n v="0"/>
    <n v="0"/>
    <n v="0"/>
    <n v="0"/>
    <n v="0"/>
    <n v="0"/>
    <n v="0"/>
    <n v="0"/>
    <n v="0"/>
    <n v="0"/>
    <n v="0"/>
    <n v="2.6160000000000001"/>
    <x v="0"/>
  </r>
  <r>
    <n v="9"/>
    <x v="8"/>
    <n v="368.55"/>
    <n v="13"/>
    <n v="4.7911500000000009"/>
    <n v="51"/>
    <n v="18.796050000000001"/>
    <n v="24"/>
    <n v="8.8452000000000002"/>
    <n v="40"/>
    <n v="14.742000000000003"/>
    <n v="0.14096400000000001"/>
    <n v="6.6335999999999992E-2"/>
    <n v="2.7639999999999998"/>
    <x v="0"/>
  </r>
  <r>
    <n v="10"/>
    <x v="9"/>
    <n v="229.63"/>
    <n v="5"/>
    <n v="1.14815"/>
    <n v="0"/>
    <n v="0"/>
    <n v="0"/>
    <n v="0"/>
    <n v="5"/>
    <n v="1.14815"/>
    <n v="0"/>
    <n v="0"/>
    <n v="1.722"/>
    <x v="0"/>
  </r>
  <r>
    <n v="11"/>
    <x v="10"/>
    <n v="144"/>
    <n v="0"/>
    <n v="0"/>
    <n v="0"/>
    <n v="0"/>
    <n v="0"/>
    <n v="0"/>
    <n v="0"/>
    <n v="0"/>
    <n v="0"/>
    <n v="0"/>
    <n v="1.08"/>
    <x v="0"/>
  </r>
  <r>
    <n v="12"/>
    <x v="11"/>
    <n v="0"/>
    <n v="0"/>
    <n v="0"/>
    <n v="0"/>
    <n v="0.35"/>
    <n v="0"/>
    <n v="0.35"/>
    <n v="0"/>
    <n v="0"/>
    <n v="0"/>
    <n v="0"/>
    <n v="0"/>
    <x v="0"/>
  </r>
  <r>
    <n v="13"/>
    <x v="12"/>
    <n v="442.39499999999998"/>
    <n v="0"/>
    <n v="0"/>
    <n v="0"/>
    <n v="0"/>
    <n v="0"/>
    <n v="0"/>
    <n v="0"/>
    <n v="0"/>
    <n v="0"/>
    <n v="0"/>
    <n v="3.3180000000000001"/>
    <x v="0"/>
  </r>
  <r>
    <n v="14"/>
    <x v="13"/>
    <n v="497.53300000000002"/>
    <n v="0"/>
    <n v="0"/>
    <n v="0"/>
    <n v="0"/>
    <n v="0"/>
    <n v="0"/>
    <n v="0"/>
    <n v="0"/>
    <n v="0"/>
    <n v="0"/>
    <n v="3.7309999999999999"/>
    <x v="0"/>
  </r>
  <r>
    <n v="15"/>
    <x v="14"/>
    <n v="342.30900000000003"/>
    <n v="0"/>
    <n v="0"/>
    <n v="0"/>
    <n v="0"/>
    <n v="0"/>
    <n v="0"/>
    <n v="0"/>
    <n v="0"/>
    <n v="0"/>
    <n v="0"/>
    <n v="2.5670000000000002"/>
    <x v="0"/>
  </r>
  <r>
    <n v="16"/>
    <x v="15"/>
    <n v="253.22200000000001"/>
    <n v="35"/>
    <n v="8.8627700000000011"/>
    <n v="0"/>
    <n v="0"/>
    <n v="35"/>
    <n v="8.8627700000000011"/>
    <n v="0"/>
    <n v="0"/>
    <n v="0"/>
    <n v="6.646500000000001E-2"/>
    <n v="1.899"/>
    <x v="0"/>
  </r>
  <r>
    <n v="17"/>
    <x v="16"/>
    <n v="405.40499999999997"/>
    <n v="28"/>
    <n v="11.35134"/>
    <n v="41"/>
    <n v="16.621604999999999"/>
    <n v="67"/>
    <n v="27.162134999999999"/>
    <n v="2"/>
    <n v="0.81081000000000003"/>
    <n v="0.124681"/>
    <n v="0.20374699999999998"/>
    <n v="3.0409999999999999"/>
    <x v="0"/>
  </r>
  <r>
    <n v="18"/>
    <x v="17"/>
    <n v="0"/>
    <n v="0"/>
    <n v="0"/>
    <n v="0"/>
    <n v="2.57"/>
    <n v="0"/>
    <n v="2.57"/>
    <n v="0"/>
    <n v="0"/>
    <n v="0"/>
    <n v="0"/>
    <n v="0"/>
    <x v="0"/>
  </r>
  <r>
    <n v="19"/>
    <x v="18"/>
    <n v="0"/>
    <n v="0"/>
    <n v="0"/>
    <n v="0"/>
    <n v="6.23"/>
    <n v="0"/>
    <n v="6.23"/>
    <n v="0"/>
    <n v="0"/>
    <n v="0"/>
    <n v="0"/>
    <n v="0"/>
    <x v="0"/>
  </r>
  <r>
    <n v="20"/>
    <x v="19"/>
    <n v="417.59"/>
    <n v="0"/>
    <n v="0"/>
    <n v="11"/>
    <n v="4.5934900000000001"/>
    <n v="0"/>
    <n v="0"/>
    <n v="11"/>
    <n v="4.5934900000000001"/>
    <n v="3.4451999999999997E-2"/>
    <n v="0"/>
    <n v="3.1320000000000001"/>
    <x v="0"/>
  </r>
  <r>
    <n v="21"/>
    <x v="20"/>
    <n v="0"/>
    <n v="0"/>
    <n v="0"/>
    <n v="0"/>
    <n v="262.91499999999996"/>
    <n v="0"/>
    <n v="262.91499999999996"/>
    <n v="0"/>
    <n v="0"/>
    <n v="0"/>
    <n v="0"/>
    <n v="0"/>
    <x v="0"/>
  </r>
  <r>
    <n v="22"/>
    <x v="21"/>
    <n v="0"/>
    <n v="0"/>
    <n v="0"/>
    <n v="0"/>
    <n v="3.2210000000000001"/>
    <n v="0"/>
    <n v="3.2210000000000001"/>
    <n v="0"/>
    <n v="0"/>
    <n v="0"/>
    <n v="0"/>
    <n v="0"/>
    <x v="0"/>
  </r>
  <r>
    <n v="23"/>
    <x v="22"/>
    <n v="0"/>
    <n v="0"/>
    <n v="0"/>
    <n v="0"/>
    <n v="0"/>
    <n v="0"/>
    <n v="0"/>
    <n v="0"/>
    <n v="0"/>
    <n v="0"/>
    <n v="0"/>
    <n v="0"/>
    <x v="0"/>
  </r>
  <r>
    <n v="24"/>
    <x v="23"/>
    <n v="0"/>
    <n v="0"/>
    <n v="0"/>
    <n v="0"/>
    <n v="33.725999999999999"/>
    <n v="0"/>
    <n v="33.725999999999999"/>
    <n v="0"/>
    <n v="0"/>
    <n v="0"/>
    <n v="0"/>
    <n v="0"/>
    <x v="0"/>
  </r>
  <r>
    <n v="25"/>
    <x v="24"/>
    <n v="0"/>
    <n v="0"/>
    <n v="0"/>
    <n v="0"/>
    <n v="0"/>
    <n v="0"/>
    <n v="0"/>
    <n v="0"/>
    <n v="0"/>
    <n v="0"/>
    <n v="0"/>
    <n v="0"/>
    <x v="0"/>
  </r>
  <r>
    <n v="26"/>
    <x v="25"/>
    <n v="0"/>
    <n v="0"/>
    <n v="0"/>
    <n v="0"/>
    <n v="20.934000000000001"/>
    <n v="0"/>
    <n v="20.934000000000001"/>
    <n v="0"/>
    <n v="0"/>
    <n v="0"/>
    <n v="0"/>
    <n v="0"/>
    <x v="0"/>
  </r>
  <r>
    <n v="27"/>
    <x v="26"/>
    <n v="290"/>
    <n v="0"/>
    <n v="0"/>
    <n v="0"/>
    <n v="0"/>
    <n v="0"/>
    <n v="0"/>
    <n v="0"/>
    <n v="0"/>
    <n v="0"/>
    <n v="0"/>
    <n v="2.1749999999999998"/>
    <x v="0"/>
  </r>
  <r>
    <n v="28"/>
    <x v="27"/>
    <n v="290"/>
    <n v="416"/>
    <n v="120.64"/>
    <n v="1108"/>
    <n v="321.32"/>
    <n v="1096"/>
    <n v="317.83999999999997"/>
    <n v="428"/>
    <n v="124.12"/>
    <n v="2.4098999999999995"/>
    <n v="2.3837999999999999"/>
    <n v="2.1749999999999998"/>
    <x v="0"/>
  </r>
  <r>
    <n v="29"/>
    <x v="0"/>
    <n v="331.69499999999999"/>
    <n v="7"/>
    <n v="2.3218649999999998"/>
    <n v="85"/>
    <n v="28.194075000000002"/>
    <n v="92"/>
    <n v="30.515939999999997"/>
    <n v="0"/>
    <n v="0"/>
    <n v="0.21233000000000002"/>
    <n v="0.22981600000000002"/>
    <n v="2.4980000000000002"/>
    <x v="1"/>
  </r>
  <r>
    <n v="30"/>
    <x v="1"/>
    <n v="437.38400000000001"/>
    <n v="12"/>
    <n v="5.2486079999999999"/>
    <n v="72"/>
    <n v="33.241647999999998"/>
    <n v="84"/>
    <n v="38.490256000000002"/>
    <n v="0"/>
    <n v="0"/>
    <n v="0.23616000000000001"/>
    <n v="0.27551999999999999"/>
    <n v="3.28"/>
    <x v="1"/>
  </r>
  <r>
    <n v="31"/>
    <x v="28"/>
    <n v="417.59"/>
    <n v="11"/>
    <n v="4.5934900000000001"/>
    <n v="77"/>
    <n v="32.154429999999998"/>
    <n v="74"/>
    <n v="30.90166"/>
    <n v="14"/>
    <n v="5.8462600000000009"/>
    <n v="0.24116400000000002"/>
    <n v="0.231768"/>
    <n v="3.1320000000000001"/>
    <x v="1"/>
  </r>
  <r>
    <n v="32"/>
    <x v="3"/>
    <n v="255.15"/>
    <n v="9"/>
    <n v="2.2963499999999999"/>
    <n v="0"/>
    <n v="0"/>
    <n v="0"/>
    <n v="0"/>
    <n v="9"/>
    <n v="2.2963499999999999"/>
    <n v="0"/>
    <n v="0"/>
    <n v="1.9139999999999999"/>
    <x v="1"/>
  </r>
  <r>
    <n v="33"/>
    <x v="4"/>
    <n v="297.67500000000001"/>
    <n v="0"/>
    <n v="0"/>
    <n v="0"/>
    <n v="0"/>
    <n v="0"/>
    <n v="0"/>
    <n v="0"/>
    <n v="0"/>
    <n v="0"/>
    <n v="0"/>
    <n v="2.2330000000000001"/>
    <x v="1"/>
  </r>
  <r>
    <n v="34"/>
    <x v="5"/>
    <n v="260.43299999999999"/>
    <n v="0"/>
    <n v="0"/>
    <n v="0"/>
    <n v="0"/>
    <n v="0"/>
    <n v="0"/>
    <n v="0"/>
    <n v="0"/>
    <n v="0"/>
    <n v="0"/>
    <n v="1.9530000000000001"/>
    <x v="1"/>
  </r>
  <r>
    <n v="35"/>
    <x v="6"/>
    <n v="175.792"/>
    <n v="0"/>
    <n v="0"/>
    <n v="0"/>
    <n v="0"/>
    <n v="0"/>
    <n v="0"/>
    <n v="0"/>
    <n v="0"/>
    <n v="0"/>
    <n v="0"/>
    <n v="1.3180000000000001"/>
    <x v="1"/>
  </r>
  <r>
    <n v="36"/>
    <x v="7"/>
    <n v="0"/>
    <n v="0"/>
    <n v="0"/>
    <n v="0"/>
    <n v="0"/>
    <n v="0"/>
    <n v="0"/>
    <n v="0"/>
    <n v="0"/>
    <n v="0"/>
    <n v="0"/>
    <n v="2.6160000000000001"/>
    <x v="1"/>
  </r>
  <r>
    <n v="37"/>
    <x v="8"/>
    <n v="368.55"/>
    <n v="40"/>
    <n v="14.742000000000001"/>
    <n v="0"/>
    <n v="0.14799999999999999"/>
    <n v="40"/>
    <n v="14.89"/>
    <n v="0"/>
    <n v="0"/>
    <n v="0"/>
    <n v="0.11055999999999999"/>
    <n v="2.7639999999999998"/>
    <x v="1"/>
  </r>
  <r>
    <n v="38"/>
    <x v="9"/>
    <n v="229.63"/>
    <n v="5"/>
    <n v="1.14815"/>
    <n v="0"/>
    <n v="0"/>
    <n v="0"/>
    <n v="0"/>
    <n v="5"/>
    <n v="1.14815"/>
    <n v="0"/>
    <n v="0"/>
    <n v="1.722"/>
    <x v="1"/>
  </r>
  <r>
    <n v="39"/>
    <x v="10"/>
    <n v="144"/>
    <n v="0"/>
    <n v="0"/>
    <n v="0"/>
    <n v="0"/>
    <n v="0"/>
    <n v="0"/>
    <n v="0"/>
    <n v="0"/>
    <n v="0"/>
    <n v="0"/>
    <n v="1.08"/>
    <x v="1"/>
  </r>
  <r>
    <n v="40"/>
    <x v="11"/>
    <n v="0"/>
    <n v="0"/>
    <n v="0"/>
    <n v="0"/>
    <n v="0"/>
    <n v="0"/>
    <n v="0"/>
    <n v="0"/>
    <n v="0"/>
    <n v="0"/>
    <n v="0"/>
    <n v="0"/>
    <x v="1"/>
  </r>
  <r>
    <n v="41"/>
    <x v="12"/>
    <n v="442.39499999999998"/>
    <n v="0"/>
    <n v="0"/>
    <n v="0"/>
    <n v="0"/>
    <n v="0"/>
    <n v="0"/>
    <n v="0"/>
    <n v="0"/>
    <n v="0"/>
    <n v="0"/>
    <n v="3.3180000000000001"/>
    <x v="1"/>
  </r>
  <r>
    <n v="42"/>
    <x v="13"/>
    <n v="497.53300000000002"/>
    <n v="0"/>
    <n v="0"/>
    <n v="0"/>
    <n v="0"/>
    <n v="0"/>
    <n v="0"/>
    <n v="0"/>
    <n v="0"/>
    <n v="0"/>
    <n v="0"/>
    <n v="3.7309999999999999"/>
    <x v="1"/>
  </r>
  <r>
    <n v="43"/>
    <x v="14"/>
    <n v="342.30900000000003"/>
    <n v="0"/>
    <n v="0"/>
    <n v="0"/>
    <n v="0"/>
    <n v="0"/>
    <n v="0"/>
    <n v="0"/>
    <n v="0"/>
    <n v="0"/>
    <n v="0"/>
    <n v="2.5670000000000002"/>
    <x v="1"/>
  </r>
  <r>
    <n v="44"/>
    <x v="15"/>
    <n v="253.22200000000001"/>
    <n v="0"/>
    <n v="0"/>
    <n v="0"/>
    <n v="0.222"/>
    <n v="0"/>
    <n v="0.222"/>
    <n v="0"/>
    <n v="0"/>
    <n v="0"/>
    <n v="0"/>
    <n v="1.899"/>
    <x v="1"/>
  </r>
  <r>
    <n v="45"/>
    <x v="16"/>
    <n v="405.40499999999997"/>
    <n v="2"/>
    <n v="0.81080999999999992"/>
    <n v="0"/>
    <n v="0"/>
    <n v="0"/>
    <n v="0"/>
    <n v="2"/>
    <n v="0.81080999999999992"/>
    <n v="0"/>
    <n v="0"/>
    <n v="3.0409999999999999"/>
    <x v="1"/>
  </r>
  <r>
    <n v="46"/>
    <x v="20"/>
    <n v="0"/>
    <n v="0"/>
    <n v="0"/>
    <n v="0"/>
    <n v="191.27899999999997"/>
    <n v="0"/>
    <n v="191.27899999999997"/>
    <n v="0"/>
    <n v="0"/>
    <n v="0"/>
    <n v="0"/>
    <n v="0"/>
    <x v="1"/>
  </r>
  <r>
    <n v="47"/>
    <x v="21"/>
    <n v="0"/>
    <n v="0"/>
    <n v="0"/>
    <n v="0"/>
    <n v="0"/>
    <n v="0"/>
    <n v="0"/>
    <n v="0"/>
    <n v="0"/>
    <n v="0"/>
    <n v="0"/>
    <n v="0"/>
    <x v="1"/>
  </r>
  <r>
    <n v="48"/>
    <x v="22"/>
    <n v="0"/>
    <n v="0"/>
    <n v="0"/>
    <n v="0"/>
    <n v="0"/>
    <n v="0"/>
    <n v="0"/>
    <n v="0"/>
    <n v="0"/>
    <n v="0"/>
    <n v="0"/>
    <n v="0"/>
    <x v="1"/>
  </r>
  <r>
    <n v="49"/>
    <x v="23"/>
    <n v="0"/>
    <n v="0"/>
    <n v="0"/>
    <n v="0"/>
    <n v="0"/>
    <n v="0"/>
    <n v="0"/>
    <n v="0"/>
    <n v="0"/>
    <n v="0"/>
    <n v="0"/>
    <n v="0"/>
    <x v="1"/>
  </r>
  <r>
    <n v="50"/>
    <x v="24"/>
    <n v="0"/>
    <n v="0"/>
    <n v="0"/>
    <n v="0"/>
    <n v="0"/>
    <n v="0"/>
    <n v="0"/>
    <n v="0"/>
    <n v="0"/>
    <n v="0"/>
    <n v="0"/>
    <n v="0"/>
    <x v="1"/>
  </r>
  <r>
    <n v="51"/>
    <x v="29"/>
    <n v="0"/>
    <n v="0"/>
    <n v="0"/>
    <n v="0"/>
    <n v="0"/>
    <n v="0"/>
    <n v="0"/>
    <n v="0"/>
    <n v="0"/>
    <n v="0"/>
    <n v="0"/>
    <n v="0"/>
    <x v="1"/>
  </r>
  <r>
    <n v="52"/>
    <x v="26"/>
    <n v="290"/>
    <n v="0"/>
    <n v="0"/>
    <n v="0"/>
    <n v="0"/>
    <n v="0"/>
    <n v="0"/>
    <n v="0"/>
    <n v="0"/>
    <n v="0"/>
    <n v="0"/>
    <n v="2.1749999999999998"/>
    <x v="1"/>
  </r>
  <r>
    <n v="53"/>
    <x v="27"/>
    <n v="290"/>
    <n v="428"/>
    <n v="124.12"/>
    <n v="493"/>
    <n v="142.97"/>
    <n v="632"/>
    <n v="183.28"/>
    <n v="289"/>
    <n v="83.810000000000031"/>
    <n v="1.0722749999999999"/>
    <n v="1.3745999999999998"/>
    <n v="2.174999999999999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6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>
  <location ref="A3:F34" firstHeaderRow="0" firstDataRow="1" firstDataCol="1" rowPageCount="1" colPageCount="1"/>
  <pivotFields count="15">
    <pivotField showAll="0"/>
    <pivotField axis="axisRow" showAll="0">
      <items count="31">
        <item x="12"/>
        <item x="11"/>
        <item x="6"/>
        <item x="27"/>
        <item x="26"/>
        <item x="19"/>
        <item x="28"/>
        <item x="4"/>
        <item x="9"/>
        <item x="15"/>
        <item x="16"/>
        <item x="14"/>
        <item x="8"/>
        <item x="23"/>
        <item x="24"/>
        <item x="7"/>
        <item x="5"/>
        <item x="10"/>
        <item x="3"/>
        <item x="1"/>
        <item x="0"/>
        <item x="2"/>
        <item x="22"/>
        <item x="21"/>
        <item x="29"/>
        <item x="25"/>
        <item x="18"/>
        <item x="13"/>
        <item x="20"/>
        <item x="17"/>
        <item t="default"/>
      </items>
    </pivotField>
    <pivotField showAll="0"/>
    <pivotField showAll="0"/>
    <pivotField dataField="1" showAll="0"/>
    <pivotField showAll="0"/>
    <pivotField dataField="1" numFmtId="164" showAll="0"/>
    <pivotField showAll="0"/>
    <pivotField dataField="1" numFmtId="164" showAll="0"/>
    <pivotField showAll="0"/>
    <pivotField dataField="1" numFmtId="164" showAll="0"/>
    <pivotField numFmtId="164" showAll="0"/>
    <pivotField numFmtId="164" showAll="0"/>
    <pivotField dataField="1" showAll="0"/>
    <pivotField axis="axisPage" numFmtId="167" showAll="0">
      <items count="3">
        <item x="0"/>
        <item x="1"/>
        <item t="default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4" hier="0"/>
  </pageFields>
  <dataFields count="5">
    <dataField name="Sum of Opening Weight In " fld="4" baseField="1" baseItem="2" numFmtId="2"/>
    <dataField name="Sum of Production Weight In Mt" fld="6" baseField="1" baseItem="2" numFmtId="2"/>
    <dataField name="Sum of Clearance Weight In Mt" fld="8" baseField="1" baseItem="2" numFmtId="2"/>
    <dataField name="Average of Closing Weight In Mt" fld="10" subtotal="average" baseField="1" baseItem="2" numFmtId="2"/>
    <dataField name="Sum of P.SHEET" fld="13" baseField="1" baseItem="2" numFmtId="2"/>
  </dataFields>
  <formats count="30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">
      <pivotArea field="14" type="button" dataOnly="0" labelOnly="1" outline="0" fieldPosition="0"/>
    </format>
    <format dxfId="13">
      <pivotArea field="1" type="button" dataOnly="0" labelOnly="1" outline="0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grandRow="1" outline="0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1" type="button" dataOnly="0" labelOnly="1" outline="0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1"/>
          </reference>
        </references>
      </pivotArea>
    </format>
    <format dxfId="2">
      <pivotArea outline="0" fieldPosition="0">
        <references count="1">
          <reference field="4294967294" count="1">
            <x v="2"/>
          </reference>
        </references>
      </pivotArea>
    </format>
    <format dxfId="1">
      <pivotArea outline="0" fieldPosition="0">
        <references count="1">
          <reference field="4294967294" count="1">
            <x v="3"/>
          </reference>
        </references>
      </pivotArea>
    </format>
    <format dxfId="0">
      <pivotArea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mailto:SGST@2.5%25" TargetMode="External"/><Relationship Id="rId2" Type="http://schemas.openxmlformats.org/officeDocument/2006/relationships/hyperlink" Target="mailto:CGST@2.5%25" TargetMode="External"/><Relationship Id="rId1" Type="http://schemas.openxmlformats.org/officeDocument/2006/relationships/hyperlink" Target="mailto:IGST@5%25" TargetMode="External"/><Relationship Id="rId4" Type="http://schemas.openxmlformats.org/officeDocument/2006/relationships/hyperlink" Target="mailto:IGST@18%25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52"/>
  <sheetViews>
    <sheetView tabSelected="1" topLeftCell="B1" zoomScale="80" zoomScaleNormal="80" workbookViewId="0">
      <pane ySplit="8" topLeftCell="A9" activePane="bottomLeft" state="frozen"/>
      <selection pane="bottomLeft" activeCell="U16" sqref="U16"/>
    </sheetView>
  </sheetViews>
  <sheetFormatPr defaultColWidth="9" defaultRowHeight="21"/>
  <cols>
    <col min="1" max="1" width="9" hidden="1" customWidth="1"/>
    <col min="2" max="2" width="9.140625" style="831"/>
    <col min="3" max="3" width="9" hidden="1" customWidth="1"/>
    <col min="5" max="5" width="10.5703125" customWidth="1"/>
    <col min="6" max="6" width="9" hidden="1" customWidth="1"/>
    <col min="8" max="8" width="14" style="831" customWidth="1"/>
    <col min="10" max="10" width="10.42578125" customWidth="1"/>
    <col min="11" max="11" width="10.5703125" customWidth="1"/>
    <col min="12" max="12" width="10.42578125" customWidth="1"/>
    <col min="13" max="13" width="11.7109375" style="831" customWidth="1"/>
    <col min="14" max="14" width="12" customWidth="1"/>
    <col min="15" max="15" width="8.28515625" customWidth="1"/>
    <col min="16" max="17" width="10.42578125" customWidth="1"/>
    <col min="18" max="18" width="18.28515625" customWidth="1"/>
    <col min="19" max="19" width="10.85546875" customWidth="1"/>
    <col min="20" max="20" width="3" hidden="1" customWidth="1"/>
    <col min="21" max="21" width="6.5703125" customWidth="1"/>
    <col min="22" max="22" width="6.28515625" customWidth="1"/>
    <col min="23" max="23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129"/>
      <c r="S2" s="931"/>
      <c r="T2" s="931"/>
      <c r="U2" s="129" t="s">
        <v>1</v>
      </c>
      <c r="V2" s="227">
        <v>2023</v>
      </c>
      <c r="W2" s="228"/>
    </row>
    <row r="3" spans="1:23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129" t="s">
        <v>3</v>
      </c>
      <c r="S3" s="931"/>
      <c r="T3" s="931"/>
      <c r="U3" s="931"/>
      <c r="V3" s="931"/>
      <c r="W3" s="170"/>
    </row>
    <row r="4" spans="1:23">
      <c r="B4" s="939" t="s">
        <v>4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129" t="s">
        <v>5</v>
      </c>
      <c r="S4" s="931"/>
      <c r="T4" s="931"/>
      <c r="U4" s="931"/>
      <c r="V4" s="931"/>
      <c r="W4" s="170"/>
    </row>
    <row r="5" spans="1:23">
      <c r="A5" s="932" t="s">
        <v>6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933"/>
      <c r="R5" s="129" t="s">
        <v>7</v>
      </c>
      <c r="S5" s="931"/>
      <c r="T5" s="931"/>
      <c r="U5" s="931"/>
      <c r="V5" s="931"/>
      <c r="W5" s="170"/>
    </row>
    <row r="6" spans="1:23">
      <c r="B6" s="314"/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920" t="s">
        <v>12</v>
      </c>
      <c r="N6" s="215"/>
      <c r="O6" s="934" t="s">
        <v>13</v>
      </c>
      <c r="P6" s="934"/>
      <c r="Q6" s="225" t="s">
        <v>14</v>
      </c>
      <c r="R6" s="129" t="s">
        <v>15</v>
      </c>
      <c r="S6" s="927">
        <v>331.69499999999999</v>
      </c>
      <c r="T6" s="927"/>
      <c r="U6" s="927"/>
      <c r="V6" s="927"/>
      <c r="W6" s="170"/>
    </row>
    <row r="7" spans="1:23">
      <c r="B7" s="312"/>
      <c r="C7" s="216"/>
      <c r="D7" s="217" t="s">
        <v>16</v>
      </c>
      <c r="E7" s="217" t="s">
        <v>17</v>
      </c>
      <c r="F7" s="217"/>
      <c r="G7" s="217" t="s">
        <v>16</v>
      </c>
      <c r="H7" s="918" t="s">
        <v>17</v>
      </c>
      <c r="I7" s="217" t="s">
        <v>16</v>
      </c>
      <c r="J7" s="217" t="s">
        <v>17</v>
      </c>
      <c r="K7" s="217" t="s">
        <v>16</v>
      </c>
      <c r="L7" s="217" t="s">
        <v>18</v>
      </c>
      <c r="M7" s="921"/>
      <c r="N7" s="217"/>
      <c r="O7" s="217" t="s">
        <v>16</v>
      </c>
      <c r="P7" s="217" t="s">
        <v>17</v>
      </c>
      <c r="Q7" s="226"/>
      <c r="R7" s="129" t="s">
        <v>19</v>
      </c>
      <c r="S7" s="927">
        <v>2.488</v>
      </c>
      <c r="T7" s="927"/>
      <c r="U7" s="927"/>
      <c r="V7" s="927"/>
      <c r="W7" s="170"/>
    </row>
    <row r="8" spans="1:23">
      <c r="B8" s="314" t="s">
        <v>20</v>
      </c>
      <c r="C8" s="216"/>
      <c r="D8" s="217" t="s">
        <v>21</v>
      </c>
      <c r="E8" s="217" t="s">
        <v>22</v>
      </c>
      <c r="F8" s="217"/>
      <c r="G8" s="217" t="s">
        <v>21</v>
      </c>
      <c r="H8" s="919"/>
      <c r="I8" s="217" t="s">
        <v>21</v>
      </c>
      <c r="J8" s="217" t="s">
        <v>22</v>
      </c>
      <c r="K8" s="217" t="s">
        <v>21</v>
      </c>
      <c r="L8" s="217" t="s">
        <v>22</v>
      </c>
      <c r="M8" s="919"/>
      <c r="N8" s="215" t="s">
        <v>23</v>
      </c>
      <c r="O8" s="217" t="s">
        <v>21</v>
      </c>
      <c r="P8" s="217" t="s">
        <v>22</v>
      </c>
      <c r="Q8" s="226"/>
      <c r="R8" s="129" t="s">
        <v>24</v>
      </c>
      <c r="S8" s="927">
        <f>S6+S7</f>
        <v>334.18299999999999</v>
      </c>
      <c r="T8" s="927"/>
      <c r="U8" s="927"/>
      <c r="V8" s="927"/>
      <c r="W8" s="170"/>
    </row>
    <row r="9" spans="1:23">
      <c r="B9" s="312">
        <v>1</v>
      </c>
      <c r="C9" s="216"/>
      <c r="D9" s="216">
        <v>43</v>
      </c>
      <c r="E9" s="218">
        <f>$S$8*D9/1000</f>
        <v>14.369869</v>
      </c>
      <c r="F9" s="216"/>
      <c r="G9" s="216">
        <v>16</v>
      </c>
      <c r="H9" s="317">
        <f>G9*S$8/1000</f>
        <v>5.3469280000000001</v>
      </c>
      <c r="I9" s="216">
        <f>D9+G9</f>
        <v>59</v>
      </c>
      <c r="J9" s="218">
        <f>$S$8*I9/1000</f>
        <v>19.716797</v>
      </c>
      <c r="K9" s="216"/>
      <c r="L9" s="218">
        <f>K9*S$6/1000</f>
        <v>0</v>
      </c>
      <c r="M9" s="317">
        <f>K9*S$8/1000</f>
        <v>0</v>
      </c>
      <c r="N9" s="218">
        <f>K9*S$7/1000</f>
        <v>0</v>
      </c>
      <c r="O9" s="216">
        <f>I9-K9</f>
        <v>59</v>
      </c>
      <c r="P9" s="218">
        <f>$S$8*O9/1000</f>
        <v>19.716797</v>
      </c>
      <c r="Q9" s="216"/>
      <c r="W9" s="170"/>
    </row>
    <row r="10" spans="1:23">
      <c r="B10" s="312">
        <v>2</v>
      </c>
      <c r="C10" s="216"/>
      <c r="D10" s="216">
        <f>+O9</f>
        <v>59</v>
      </c>
      <c r="E10" s="218">
        <f t="shared" ref="E10:E39" si="0">$S$8*D10/1000</f>
        <v>19.716797</v>
      </c>
      <c r="F10" s="216"/>
      <c r="G10" s="216">
        <v>7</v>
      </c>
      <c r="H10" s="317">
        <f t="shared" ref="H10:H39" si="1">G10*S$8/1000</f>
        <v>2.3392810000000002</v>
      </c>
      <c r="I10" s="216">
        <f t="shared" ref="I10:I39" si="2">D10+G10</f>
        <v>66</v>
      </c>
      <c r="J10" s="218">
        <f t="shared" ref="J10:J39" si="3">$S$8*I10/1000</f>
        <v>22.056078000000003</v>
      </c>
      <c r="K10" s="216"/>
      <c r="L10" s="218">
        <f t="shared" ref="L10:L39" si="4">K10*S$6/1000</f>
        <v>0</v>
      </c>
      <c r="M10" s="317">
        <f t="shared" ref="M10:M39" si="5">K10*S$8/1000</f>
        <v>0</v>
      </c>
      <c r="N10" s="218">
        <f t="shared" ref="N10:N39" si="6">K10*S$7/1000</f>
        <v>0</v>
      </c>
      <c r="O10" s="216">
        <f t="shared" ref="O10:O39" si="7">I10-K10</f>
        <v>66</v>
      </c>
      <c r="P10" s="218">
        <f t="shared" ref="P10:P39" si="8">$S$8*O10/1000</f>
        <v>22.056078000000003</v>
      </c>
      <c r="Q10" s="216"/>
    </row>
    <row r="11" spans="1:23">
      <c r="B11" s="312">
        <v>3</v>
      </c>
      <c r="C11" s="216"/>
      <c r="D11" s="216">
        <f t="shared" ref="D11:D39" si="9">+O10</f>
        <v>66</v>
      </c>
      <c r="E11" s="218">
        <f t="shared" si="0"/>
        <v>22.056078000000003</v>
      </c>
      <c r="F11" s="216"/>
      <c r="G11" s="216">
        <v>7</v>
      </c>
      <c r="H11" s="317">
        <f t="shared" si="1"/>
        <v>2.3392810000000002</v>
      </c>
      <c r="I11" s="216">
        <f t="shared" si="2"/>
        <v>73</v>
      </c>
      <c r="J11" s="218">
        <f t="shared" si="3"/>
        <v>24.395358999999999</v>
      </c>
      <c r="K11" s="216"/>
      <c r="L11" s="218">
        <f t="shared" si="4"/>
        <v>0</v>
      </c>
      <c r="M11" s="317">
        <f t="shared" si="5"/>
        <v>0</v>
      </c>
      <c r="N11" s="218">
        <f t="shared" si="6"/>
        <v>0</v>
      </c>
      <c r="O11" s="216">
        <f t="shared" si="7"/>
        <v>73</v>
      </c>
      <c r="P11" s="218">
        <f t="shared" si="8"/>
        <v>24.395358999999999</v>
      </c>
      <c r="Q11" s="216"/>
      <c r="U11" s="151"/>
    </row>
    <row r="12" spans="1:23">
      <c r="B12" s="312">
        <v>4</v>
      </c>
      <c r="C12" s="216"/>
      <c r="D12" s="216">
        <f t="shared" si="9"/>
        <v>73</v>
      </c>
      <c r="E12" s="218">
        <f t="shared" si="0"/>
        <v>24.395358999999999</v>
      </c>
      <c r="F12" s="216"/>
      <c r="G12" s="216">
        <v>9</v>
      </c>
      <c r="H12" s="317">
        <f t="shared" si="1"/>
        <v>3.007647</v>
      </c>
      <c r="I12" s="216">
        <f t="shared" si="2"/>
        <v>82</v>
      </c>
      <c r="J12" s="218">
        <f t="shared" si="3"/>
        <v>27.403006000000001</v>
      </c>
      <c r="K12" s="216"/>
      <c r="L12" s="218">
        <f t="shared" si="4"/>
        <v>0</v>
      </c>
      <c r="M12" s="317">
        <f t="shared" si="5"/>
        <v>0</v>
      </c>
      <c r="N12" s="218">
        <f t="shared" si="6"/>
        <v>0</v>
      </c>
      <c r="O12" s="216">
        <f t="shared" si="7"/>
        <v>82</v>
      </c>
      <c r="P12" s="218">
        <f t="shared" si="8"/>
        <v>27.403006000000001</v>
      </c>
      <c r="Q12" s="216"/>
      <c r="R12" s="151"/>
      <c r="U12" s="151"/>
    </row>
    <row r="13" spans="1:23">
      <c r="B13" s="312">
        <v>5</v>
      </c>
      <c r="C13" s="216"/>
      <c r="D13" s="216">
        <f t="shared" si="9"/>
        <v>82</v>
      </c>
      <c r="E13" s="218">
        <f t="shared" si="0"/>
        <v>27.403006000000001</v>
      </c>
      <c r="F13" s="216"/>
      <c r="G13" s="216">
        <v>16</v>
      </c>
      <c r="H13" s="317">
        <f t="shared" si="1"/>
        <v>5.3469280000000001</v>
      </c>
      <c r="I13" s="216">
        <f t="shared" si="2"/>
        <v>98</v>
      </c>
      <c r="J13" s="218">
        <f t="shared" si="3"/>
        <v>32.749934000000003</v>
      </c>
      <c r="K13" s="216">
        <v>3</v>
      </c>
      <c r="L13" s="218">
        <f t="shared" si="4"/>
        <v>0.995085</v>
      </c>
      <c r="M13" s="317">
        <f t="shared" si="5"/>
        <v>1.0025489999999999</v>
      </c>
      <c r="N13" s="218">
        <f t="shared" si="6"/>
        <v>7.4640000000000001E-3</v>
      </c>
      <c r="O13" s="216">
        <f t="shared" si="7"/>
        <v>95</v>
      </c>
      <c r="P13" s="218">
        <f t="shared" si="8"/>
        <v>31.747384999999998</v>
      </c>
      <c r="Q13" s="216"/>
    </row>
    <row r="14" spans="1:23">
      <c r="B14" s="312">
        <v>6</v>
      </c>
      <c r="C14" s="216"/>
      <c r="D14" s="216">
        <f t="shared" si="9"/>
        <v>95</v>
      </c>
      <c r="E14" s="218">
        <f t="shared" si="0"/>
        <v>31.747384999999998</v>
      </c>
      <c r="F14" s="216"/>
      <c r="G14" s="216">
        <v>6</v>
      </c>
      <c r="H14" s="317">
        <f t="shared" si="1"/>
        <v>2.0050979999999998</v>
      </c>
      <c r="I14" s="216">
        <f t="shared" si="2"/>
        <v>101</v>
      </c>
      <c r="J14" s="218">
        <f t="shared" si="3"/>
        <v>33.752482999999998</v>
      </c>
      <c r="K14" s="216"/>
      <c r="L14" s="218">
        <f t="shared" si="4"/>
        <v>0</v>
      </c>
      <c r="M14" s="317">
        <f t="shared" si="5"/>
        <v>0</v>
      </c>
      <c r="N14" s="218">
        <f t="shared" si="6"/>
        <v>0</v>
      </c>
      <c r="O14" s="216">
        <f t="shared" si="7"/>
        <v>101</v>
      </c>
      <c r="P14" s="218">
        <f t="shared" si="8"/>
        <v>33.752482999999998</v>
      </c>
      <c r="Q14" s="216"/>
      <c r="R14" s="151"/>
    </row>
    <row r="15" spans="1:23">
      <c r="B15" s="312">
        <v>7</v>
      </c>
      <c r="C15" s="216"/>
      <c r="D15" s="216">
        <f t="shared" si="9"/>
        <v>101</v>
      </c>
      <c r="E15" s="218">
        <f t="shared" si="0"/>
        <v>33.752482999999998</v>
      </c>
      <c r="F15" s="216"/>
      <c r="G15" s="216">
        <v>0</v>
      </c>
      <c r="H15" s="317">
        <f t="shared" si="1"/>
        <v>0</v>
      </c>
      <c r="I15" s="216">
        <f t="shared" si="2"/>
        <v>101</v>
      </c>
      <c r="J15" s="218">
        <f t="shared" si="3"/>
        <v>33.752482999999998</v>
      </c>
      <c r="K15" s="216"/>
      <c r="L15" s="218">
        <f t="shared" si="4"/>
        <v>0</v>
      </c>
      <c r="M15" s="317">
        <f t="shared" si="5"/>
        <v>0</v>
      </c>
      <c r="N15" s="218">
        <f t="shared" si="6"/>
        <v>0</v>
      </c>
      <c r="O15" s="216">
        <f t="shared" si="7"/>
        <v>101</v>
      </c>
      <c r="P15" s="218">
        <f t="shared" si="8"/>
        <v>33.752482999999998</v>
      </c>
      <c r="Q15" s="216"/>
    </row>
    <row r="16" spans="1:23">
      <c r="B16" s="312">
        <v>8</v>
      </c>
      <c r="C16" s="216"/>
      <c r="D16" s="216">
        <f t="shared" si="9"/>
        <v>101</v>
      </c>
      <c r="E16" s="218">
        <f t="shared" si="0"/>
        <v>33.752482999999998</v>
      </c>
      <c r="F16" s="216"/>
      <c r="G16" s="216">
        <v>0</v>
      </c>
      <c r="H16" s="317">
        <f t="shared" si="1"/>
        <v>0</v>
      </c>
      <c r="I16" s="216">
        <f t="shared" si="2"/>
        <v>101</v>
      </c>
      <c r="J16" s="218">
        <f t="shared" si="3"/>
        <v>33.752482999999998</v>
      </c>
      <c r="K16" s="216"/>
      <c r="L16" s="218">
        <f t="shared" si="4"/>
        <v>0</v>
      </c>
      <c r="M16" s="317">
        <f t="shared" si="5"/>
        <v>0</v>
      </c>
      <c r="N16" s="218">
        <f t="shared" si="6"/>
        <v>0</v>
      </c>
      <c r="O16" s="216">
        <f t="shared" si="7"/>
        <v>101</v>
      </c>
      <c r="P16" s="218">
        <f t="shared" si="8"/>
        <v>33.752482999999998</v>
      </c>
      <c r="Q16" s="216"/>
    </row>
    <row r="17" spans="2:25">
      <c r="B17" s="312">
        <v>9</v>
      </c>
      <c r="C17" s="216"/>
      <c r="D17" s="216">
        <f t="shared" si="9"/>
        <v>101</v>
      </c>
      <c r="E17" s="218">
        <f t="shared" si="0"/>
        <v>33.752482999999998</v>
      </c>
      <c r="F17" s="216"/>
      <c r="G17" s="216">
        <v>8</v>
      </c>
      <c r="H17" s="317">
        <f t="shared" si="1"/>
        <v>2.6734640000000001</v>
      </c>
      <c r="I17" s="216">
        <f t="shared" si="2"/>
        <v>109</v>
      </c>
      <c r="J17" s="218">
        <f t="shared" si="3"/>
        <v>36.425947000000001</v>
      </c>
      <c r="K17" s="216"/>
      <c r="L17" s="218">
        <f t="shared" si="4"/>
        <v>0</v>
      </c>
      <c r="M17" s="317">
        <f t="shared" si="5"/>
        <v>0</v>
      </c>
      <c r="N17" s="218">
        <f t="shared" si="6"/>
        <v>0</v>
      </c>
      <c r="O17" s="216">
        <f t="shared" si="7"/>
        <v>109</v>
      </c>
      <c r="P17" s="218">
        <f t="shared" si="8"/>
        <v>36.425947000000001</v>
      </c>
      <c r="Q17" s="216"/>
    </row>
    <row r="18" spans="2:25">
      <c r="B18" s="312">
        <v>10</v>
      </c>
      <c r="C18" s="216"/>
      <c r="D18" s="216">
        <f t="shared" si="9"/>
        <v>109</v>
      </c>
      <c r="E18" s="218">
        <f t="shared" si="0"/>
        <v>36.425947000000001</v>
      </c>
      <c r="F18" s="216"/>
      <c r="G18" s="216"/>
      <c r="H18" s="317">
        <f t="shared" si="1"/>
        <v>0</v>
      </c>
      <c r="I18" s="216">
        <f t="shared" si="2"/>
        <v>109</v>
      </c>
      <c r="J18" s="218">
        <f t="shared" si="3"/>
        <v>36.425947000000001</v>
      </c>
      <c r="K18" s="216"/>
      <c r="L18" s="218">
        <f t="shared" si="4"/>
        <v>0</v>
      </c>
      <c r="M18" s="317">
        <f t="shared" si="5"/>
        <v>0</v>
      </c>
      <c r="N18" s="218">
        <f t="shared" si="6"/>
        <v>0</v>
      </c>
      <c r="O18" s="216">
        <f t="shared" si="7"/>
        <v>109</v>
      </c>
      <c r="P18" s="218">
        <f t="shared" si="8"/>
        <v>36.425947000000001</v>
      </c>
      <c r="Q18" s="216"/>
    </row>
    <row r="19" spans="2:25">
      <c r="B19" s="312">
        <v>11</v>
      </c>
      <c r="C19" s="216"/>
      <c r="D19" s="216">
        <f t="shared" si="9"/>
        <v>109</v>
      </c>
      <c r="E19" s="218">
        <f t="shared" si="0"/>
        <v>36.425947000000001</v>
      </c>
      <c r="F19" s="216"/>
      <c r="G19" s="216"/>
      <c r="H19" s="317">
        <f t="shared" si="1"/>
        <v>0</v>
      </c>
      <c r="I19" s="216">
        <f t="shared" si="2"/>
        <v>109</v>
      </c>
      <c r="J19" s="218">
        <f t="shared" si="3"/>
        <v>36.425947000000001</v>
      </c>
      <c r="K19" s="216"/>
      <c r="L19" s="218">
        <f t="shared" si="4"/>
        <v>0</v>
      </c>
      <c r="M19" s="317">
        <f t="shared" si="5"/>
        <v>0</v>
      </c>
      <c r="N19" s="218">
        <f t="shared" si="6"/>
        <v>0</v>
      </c>
      <c r="O19" s="216">
        <f t="shared" si="7"/>
        <v>109</v>
      </c>
      <c r="P19" s="218">
        <f t="shared" si="8"/>
        <v>36.425947000000001</v>
      </c>
      <c r="Q19" s="216"/>
    </row>
    <row r="20" spans="2:25">
      <c r="B20" s="312">
        <v>12</v>
      </c>
      <c r="C20" s="216"/>
      <c r="D20" s="216">
        <f t="shared" si="9"/>
        <v>109</v>
      </c>
      <c r="E20" s="218">
        <f t="shared" si="0"/>
        <v>36.425947000000001</v>
      </c>
      <c r="F20" s="216"/>
      <c r="G20" s="216">
        <v>1</v>
      </c>
      <c r="H20" s="317">
        <f t="shared" si="1"/>
        <v>0.33418300000000001</v>
      </c>
      <c r="I20" s="216">
        <f t="shared" si="2"/>
        <v>110</v>
      </c>
      <c r="J20" s="218">
        <f t="shared" si="3"/>
        <v>36.760129999999997</v>
      </c>
      <c r="K20" s="216"/>
      <c r="L20" s="218">
        <f t="shared" si="4"/>
        <v>0</v>
      </c>
      <c r="M20" s="317">
        <f t="shared" si="5"/>
        <v>0</v>
      </c>
      <c r="N20" s="218">
        <f t="shared" si="6"/>
        <v>0</v>
      </c>
      <c r="O20" s="216">
        <f t="shared" si="7"/>
        <v>110</v>
      </c>
      <c r="P20" s="218">
        <f t="shared" si="8"/>
        <v>36.760129999999997</v>
      </c>
      <c r="Q20" s="216"/>
    </row>
    <row r="21" spans="2:25">
      <c r="B21" s="312">
        <v>13</v>
      </c>
      <c r="C21" s="216"/>
      <c r="D21" s="216">
        <f t="shared" si="9"/>
        <v>110</v>
      </c>
      <c r="E21" s="218">
        <f t="shared" si="0"/>
        <v>36.760129999999997</v>
      </c>
      <c r="F21" s="216"/>
      <c r="G21" s="216"/>
      <c r="H21" s="317">
        <f t="shared" si="1"/>
        <v>0</v>
      </c>
      <c r="I21" s="216">
        <f t="shared" si="2"/>
        <v>110</v>
      </c>
      <c r="J21" s="218">
        <f t="shared" si="3"/>
        <v>36.760129999999997</v>
      </c>
      <c r="K21" s="216"/>
      <c r="L21" s="218">
        <f t="shared" si="4"/>
        <v>0</v>
      </c>
      <c r="M21" s="317">
        <f t="shared" si="5"/>
        <v>0</v>
      </c>
      <c r="N21" s="218">
        <f t="shared" si="6"/>
        <v>0</v>
      </c>
      <c r="O21" s="216">
        <f t="shared" si="7"/>
        <v>110</v>
      </c>
      <c r="P21" s="218">
        <f t="shared" si="8"/>
        <v>36.760129999999997</v>
      </c>
      <c r="Q21" s="216"/>
    </row>
    <row r="22" spans="2:25">
      <c r="B22" s="312">
        <v>14</v>
      </c>
      <c r="C22" s="216"/>
      <c r="D22" s="216">
        <f t="shared" si="9"/>
        <v>110</v>
      </c>
      <c r="E22" s="218">
        <f t="shared" si="0"/>
        <v>36.760129999999997</v>
      </c>
      <c r="F22" s="216"/>
      <c r="G22" s="216"/>
      <c r="H22" s="317">
        <f t="shared" si="1"/>
        <v>0</v>
      </c>
      <c r="I22" s="216">
        <f t="shared" si="2"/>
        <v>110</v>
      </c>
      <c r="J22" s="218">
        <f t="shared" si="3"/>
        <v>36.760129999999997</v>
      </c>
      <c r="K22" s="216"/>
      <c r="L22" s="218">
        <f t="shared" si="4"/>
        <v>0</v>
      </c>
      <c r="M22" s="317">
        <f t="shared" si="5"/>
        <v>0</v>
      </c>
      <c r="N22" s="218">
        <f t="shared" si="6"/>
        <v>0</v>
      </c>
      <c r="O22" s="216">
        <f t="shared" si="7"/>
        <v>110</v>
      </c>
      <c r="P22" s="218">
        <f t="shared" si="8"/>
        <v>36.760129999999997</v>
      </c>
      <c r="Q22" s="216"/>
      <c r="S22">
        <v>1000</v>
      </c>
    </row>
    <row r="23" spans="2:25">
      <c r="B23" s="312">
        <v>15</v>
      </c>
      <c r="C23" s="216"/>
      <c r="D23" s="216">
        <f t="shared" si="9"/>
        <v>110</v>
      </c>
      <c r="E23" s="218">
        <f t="shared" si="0"/>
        <v>36.760129999999997</v>
      </c>
      <c r="F23" s="216"/>
      <c r="G23" s="216"/>
      <c r="H23" s="317">
        <f t="shared" si="1"/>
        <v>0</v>
      </c>
      <c r="I23" s="216">
        <f t="shared" si="2"/>
        <v>110</v>
      </c>
      <c r="J23" s="218">
        <f t="shared" si="3"/>
        <v>36.760129999999997</v>
      </c>
      <c r="K23" s="216"/>
      <c r="L23" s="218">
        <f t="shared" si="4"/>
        <v>0</v>
      </c>
      <c r="M23" s="317">
        <f t="shared" si="5"/>
        <v>0</v>
      </c>
      <c r="N23" s="218">
        <f t="shared" si="6"/>
        <v>0</v>
      </c>
      <c r="O23" s="216">
        <f t="shared" si="7"/>
        <v>110</v>
      </c>
      <c r="P23" s="218">
        <f t="shared" si="8"/>
        <v>36.760129999999997</v>
      </c>
      <c r="Q23" s="216"/>
    </row>
    <row r="24" spans="2:25">
      <c r="B24" s="312">
        <v>16</v>
      </c>
      <c r="C24" s="216"/>
      <c r="D24" s="216">
        <f t="shared" si="9"/>
        <v>110</v>
      </c>
      <c r="E24" s="218">
        <f t="shared" si="0"/>
        <v>36.760129999999997</v>
      </c>
      <c r="F24" s="216"/>
      <c r="G24" s="216">
        <v>2</v>
      </c>
      <c r="H24" s="317">
        <f t="shared" si="1"/>
        <v>0.66836600000000002</v>
      </c>
      <c r="I24" s="216">
        <f t="shared" si="2"/>
        <v>112</v>
      </c>
      <c r="J24" s="218">
        <f t="shared" si="3"/>
        <v>37.428496000000003</v>
      </c>
      <c r="K24" s="216">
        <v>112</v>
      </c>
      <c r="L24" s="218">
        <f t="shared" si="4"/>
        <v>37.149839999999998</v>
      </c>
      <c r="M24" s="317">
        <f t="shared" si="5"/>
        <v>37.428496000000003</v>
      </c>
      <c r="N24" s="218">
        <f t="shared" si="6"/>
        <v>0.27865600000000001</v>
      </c>
      <c r="O24" s="216">
        <f t="shared" si="7"/>
        <v>0</v>
      </c>
      <c r="P24" s="218">
        <f t="shared" si="8"/>
        <v>0</v>
      </c>
      <c r="Q24" s="216"/>
      <c r="R24">
        <v>7.5</v>
      </c>
      <c r="S24">
        <v>39</v>
      </c>
      <c r="U24">
        <v>6</v>
      </c>
      <c r="V24">
        <v>40</v>
      </c>
      <c r="X24" s="232">
        <v>28.35</v>
      </c>
      <c r="Y24">
        <v>2000</v>
      </c>
    </row>
    <row r="25" spans="2:25">
      <c r="B25" s="312">
        <v>17</v>
      </c>
      <c r="C25" s="216"/>
      <c r="D25" s="216">
        <f t="shared" si="9"/>
        <v>0</v>
      </c>
      <c r="E25" s="218">
        <f t="shared" si="0"/>
        <v>0</v>
      </c>
      <c r="F25" s="216"/>
      <c r="G25" s="216"/>
      <c r="H25" s="317">
        <f t="shared" si="1"/>
        <v>0</v>
      </c>
      <c r="I25" s="216">
        <f t="shared" si="2"/>
        <v>0</v>
      </c>
      <c r="J25" s="218">
        <f t="shared" si="3"/>
        <v>0</v>
      </c>
      <c r="K25" s="216"/>
      <c r="L25" s="218">
        <f t="shared" si="4"/>
        <v>0</v>
      </c>
      <c r="M25" s="317">
        <f t="shared" si="5"/>
        <v>0</v>
      </c>
      <c r="N25" s="218">
        <f t="shared" si="6"/>
        <v>0</v>
      </c>
      <c r="O25" s="216">
        <f t="shared" si="7"/>
        <v>0</v>
      </c>
      <c r="P25" s="218">
        <f t="shared" si="8"/>
        <v>0</v>
      </c>
      <c r="Q25" s="216"/>
      <c r="S25">
        <f>S24*U24/V24*X24*Y24/S22</f>
        <v>331.69499999999999</v>
      </c>
    </row>
    <row r="26" spans="2:25">
      <c r="B26" s="312">
        <v>18</v>
      </c>
      <c r="C26" s="216"/>
      <c r="D26" s="216">
        <f t="shared" si="9"/>
        <v>0</v>
      </c>
      <c r="E26" s="218">
        <f t="shared" si="0"/>
        <v>0</v>
      </c>
      <c r="F26" s="216"/>
      <c r="G26" s="216"/>
      <c r="H26" s="317">
        <f t="shared" si="1"/>
        <v>0</v>
      </c>
      <c r="I26" s="216">
        <f t="shared" si="2"/>
        <v>0</v>
      </c>
      <c r="J26" s="218">
        <f t="shared" si="3"/>
        <v>0</v>
      </c>
      <c r="K26" s="216"/>
      <c r="L26" s="218">
        <f t="shared" si="4"/>
        <v>0</v>
      </c>
      <c r="M26" s="317">
        <f t="shared" si="5"/>
        <v>0</v>
      </c>
      <c r="N26" s="218">
        <f t="shared" si="6"/>
        <v>0</v>
      </c>
      <c r="O26" s="216">
        <f t="shared" si="7"/>
        <v>0</v>
      </c>
      <c r="P26" s="218">
        <f t="shared" si="8"/>
        <v>0</v>
      </c>
      <c r="Q26" s="216"/>
      <c r="S26" s="151">
        <f>S25*R24/S22</f>
        <v>2.4877125000000002</v>
      </c>
    </row>
    <row r="27" spans="2:25">
      <c r="B27" s="312">
        <v>19</v>
      </c>
      <c r="C27" s="216"/>
      <c r="D27" s="216">
        <f t="shared" si="9"/>
        <v>0</v>
      </c>
      <c r="E27" s="218">
        <f t="shared" si="0"/>
        <v>0</v>
      </c>
      <c r="F27" s="216"/>
      <c r="G27" s="216"/>
      <c r="H27" s="317">
        <f t="shared" si="1"/>
        <v>0</v>
      </c>
      <c r="I27" s="216">
        <f t="shared" si="2"/>
        <v>0</v>
      </c>
      <c r="J27" s="218">
        <f t="shared" si="3"/>
        <v>0</v>
      </c>
      <c r="K27" s="216"/>
      <c r="L27" s="218">
        <f t="shared" si="4"/>
        <v>0</v>
      </c>
      <c r="M27" s="317">
        <f t="shared" si="5"/>
        <v>0</v>
      </c>
      <c r="N27" s="218">
        <f t="shared" si="6"/>
        <v>0</v>
      </c>
      <c r="O27" s="216">
        <f t="shared" si="7"/>
        <v>0</v>
      </c>
      <c r="P27" s="218">
        <f t="shared" si="8"/>
        <v>0</v>
      </c>
      <c r="Q27" s="216"/>
      <c r="S27" s="151">
        <f>S25+S26</f>
        <v>334.18271249999998</v>
      </c>
    </row>
    <row r="28" spans="2:25">
      <c r="B28" s="312">
        <v>20</v>
      </c>
      <c r="C28" s="216"/>
      <c r="D28" s="216">
        <f t="shared" si="9"/>
        <v>0</v>
      </c>
      <c r="E28" s="218">
        <f t="shared" si="0"/>
        <v>0</v>
      </c>
      <c r="F28" s="216"/>
      <c r="G28" s="216"/>
      <c r="H28" s="317">
        <f t="shared" si="1"/>
        <v>0</v>
      </c>
      <c r="I28" s="216">
        <f t="shared" si="2"/>
        <v>0</v>
      </c>
      <c r="J28" s="218">
        <f t="shared" si="3"/>
        <v>0</v>
      </c>
      <c r="K28" s="216"/>
      <c r="L28" s="218">
        <f t="shared" si="4"/>
        <v>0</v>
      </c>
      <c r="M28" s="317">
        <f t="shared" si="5"/>
        <v>0</v>
      </c>
      <c r="N28" s="218">
        <f t="shared" si="6"/>
        <v>0</v>
      </c>
      <c r="O28" s="216">
        <f t="shared" si="7"/>
        <v>0</v>
      </c>
      <c r="P28" s="218">
        <f t="shared" si="8"/>
        <v>0</v>
      </c>
      <c r="Q28" s="216"/>
    </row>
    <row r="29" spans="2:25">
      <c r="B29" s="312">
        <v>21</v>
      </c>
      <c r="C29" s="216"/>
      <c r="D29" s="216">
        <f t="shared" si="9"/>
        <v>0</v>
      </c>
      <c r="E29" s="218">
        <f t="shared" si="0"/>
        <v>0</v>
      </c>
      <c r="F29" s="216"/>
      <c r="G29" s="216"/>
      <c r="H29" s="317">
        <f t="shared" si="1"/>
        <v>0</v>
      </c>
      <c r="I29" s="216">
        <f t="shared" si="2"/>
        <v>0</v>
      </c>
      <c r="J29" s="218">
        <f t="shared" si="3"/>
        <v>0</v>
      </c>
      <c r="K29" s="216"/>
      <c r="L29" s="218">
        <f t="shared" si="4"/>
        <v>0</v>
      </c>
      <c r="M29" s="317">
        <f t="shared" si="5"/>
        <v>0</v>
      </c>
      <c r="N29" s="218">
        <f t="shared" si="6"/>
        <v>0</v>
      </c>
      <c r="O29" s="216">
        <f t="shared" si="7"/>
        <v>0</v>
      </c>
      <c r="P29" s="218">
        <f t="shared" si="8"/>
        <v>0</v>
      </c>
      <c r="Q29" s="216"/>
    </row>
    <row r="30" spans="2:25">
      <c r="B30" s="312">
        <v>22</v>
      </c>
      <c r="C30" s="216"/>
      <c r="D30" s="216">
        <f t="shared" si="9"/>
        <v>0</v>
      </c>
      <c r="E30" s="218">
        <f t="shared" si="0"/>
        <v>0</v>
      </c>
      <c r="F30" s="216"/>
      <c r="G30" s="216">
        <v>0</v>
      </c>
      <c r="H30" s="317">
        <f t="shared" si="1"/>
        <v>0</v>
      </c>
      <c r="I30" s="216">
        <f t="shared" si="2"/>
        <v>0</v>
      </c>
      <c r="J30" s="218">
        <f t="shared" si="3"/>
        <v>0</v>
      </c>
      <c r="K30" s="216"/>
      <c r="L30" s="218">
        <f t="shared" si="4"/>
        <v>0</v>
      </c>
      <c r="M30" s="317">
        <f t="shared" si="5"/>
        <v>0</v>
      </c>
      <c r="N30" s="218">
        <f t="shared" si="6"/>
        <v>0</v>
      </c>
      <c r="O30" s="216">
        <f t="shared" si="7"/>
        <v>0</v>
      </c>
      <c r="P30" s="218">
        <f t="shared" si="8"/>
        <v>0</v>
      </c>
      <c r="Q30" s="216"/>
    </row>
    <row r="31" spans="2:25">
      <c r="B31" s="312">
        <v>23</v>
      </c>
      <c r="C31" s="216"/>
      <c r="D31" s="216">
        <f t="shared" si="9"/>
        <v>0</v>
      </c>
      <c r="E31" s="218">
        <f t="shared" si="0"/>
        <v>0</v>
      </c>
      <c r="F31" s="216"/>
      <c r="G31" s="216">
        <v>1</v>
      </c>
      <c r="H31" s="317">
        <f t="shared" si="1"/>
        <v>0.33418300000000001</v>
      </c>
      <c r="I31" s="216">
        <f t="shared" si="2"/>
        <v>1</v>
      </c>
      <c r="J31" s="218">
        <f t="shared" si="3"/>
        <v>0.33418300000000001</v>
      </c>
      <c r="K31" s="216"/>
      <c r="L31" s="218">
        <f t="shared" si="4"/>
        <v>0</v>
      </c>
      <c r="M31" s="317">
        <f t="shared" si="5"/>
        <v>0</v>
      </c>
      <c r="N31" s="218">
        <f t="shared" si="6"/>
        <v>0</v>
      </c>
      <c r="O31" s="216">
        <f t="shared" si="7"/>
        <v>1</v>
      </c>
      <c r="P31" s="218">
        <f t="shared" si="8"/>
        <v>0.33418300000000001</v>
      </c>
      <c r="Q31" s="216"/>
    </row>
    <row r="32" spans="2:25">
      <c r="B32" s="312">
        <v>24</v>
      </c>
      <c r="C32" s="216"/>
      <c r="D32" s="216">
        <f t="shared" si="9"/>
        <v>1</v>
      </c>
      <c r="E32" s="218">
        <f t="shared" si="0"/>
        <v>0.33418300000000001</v>
      </c>
      <c r="F32" s="216"/>
      <c r="G32" s="216">
        <v>1</v>
      </c>
      <c r="H32" s="317">
        <f t="shared" si="1"/>
        <v>0.33418300000000001</v>
      </c>
      <c r="I32" s="216">
        <f t="shared" si="2"/>
        <v>2</v>
      </c>
      <c r="J32" s="218">
        <f t="shared" si="3"/>
        <v>0.66836600000000002</v>
      </c>
      <c r="K32" s="216"/>
      <c r="L32" s="218">
        <f t="shared" si="4"/>
        <v>0</v>
      </c>
      <c r="M32" s="317">
        <f t="shared" si="5"/>
        <v>0</v>
      </c>
      <c r="N32" s="218">
        <f t="shared" si="6"/>
        <v>0</v>
      </c>
      <c r="O32" s="216">
        <f t="shared" si="7"/>
        <v>2</v>
      </c>
      <c r="P32" s="218">
        <f t="shared" si="8"/>
        <v>0.66836600000000002</v>
      </c>
      <c r="Q32" s="216"/>
    </row>
    <row r="33" spans="2:18">
      <c r="B33" s="312">
        <v>25</v>
      </c>
      <c r="C33" s="216"/>
      <c r="D33" s="216">
        <f t="shared" si="9"/>
        <v>2</v>
      </c>
      <c r="E33" s="218">
        <f t="shared" si="0"/>
        <v>0.66836600000000002</v>
      </c>
      <c r="F33" s="216"/>
      <c r="G33" s="216"/>
      <c r="H33" s="317">
        <f t="shared" si="1"/>
        <v>0</v>
      </c>
      <c r="I33" s="216">
        <f t="shared" si="2"/>
        <v>2</v>
      </c>
      <c r="J33" s="218">
        <f t="shared" si="3"/>
        <v>0.66836600000000002</v>
      </c>
      <c r="K33" s="216"/>
      <c r="L33" s="218">
        <f t="shared" si="4"/>
        <v>0</v>
      </c>
      <c r="M33" s="317">
        <f t="shared" si="5"/>
        <v>0</v>
      </c>
      <c r="N33" s="218">
        <f t="shared" si="6"/>
        <v>0</v>
      </c>
      <c r="O33" s="216">
        <f t="shared" si="7"/>
        <v>2</v>
      </c>
      <c r="P33" s="218">
        <f t="shared" si="8"/>
        <v>0.66836600000000002</v>
      </c>
      <c r="Q33" s="216"/>
    </row>
    <row r="34" spans="2:18">
      <c r="B34" s="312">
        <v>26</v>
      </c>
      <c r="C34" s="216"/>
      <c r="D34" s="216">
        <f t="shared" si="9"/>
        <v>2</v>
      </c>
      <c r="E34" s="218">
        <f t="shared" si="0"/>
        <v>0.66836600000000002</v>
      </c>
      <c r="F34" s="216"/>
      <c r="G34" s="216">
        <v>1</v>
      </c>
      <c r="H34" s="317">
        <f t="shared" si="1"/>
        <v>0.33418300000000001</v>
      </c>
      <c r="I34" s="216">
        <f t="shared" si="2"/>
        <v>3</v>
      </c>
      <c r="J34" s="218">
        <f t="shared" si="3"/>
        <v>1.0025489999999999</v>
      </c>
      <c r="K34" s="216"/>
      <c r="L34" s="218">
        <f t="shared" si="4"/>
        <v>0</v>
      </c>
      <c r="M34" s="317">
        <f t="shared" si="5"/>
        <v>0</v>
      </c>
      <c r="N34" s="218">
        <f t="shared" si="6"/>
        <v>0</v>
      </c>
      <c r="O34" s="216">
        <f t="shared" si="7"/>
        <v>3</v>
      </c>
      <c r="P34" s="218">
        <f t="shared" si="8"/>
        <v>1.0025489999999999</v>
      </c>
      <c r="Q34" s="216"/>
    </row>
    <row r="35" spans="2:18">
      <c r="B35" s="312">
        <v>27</v>
      </c>
      <c r="C35" s="216"/>
      <c r="D35" s="216">
        <f t="shared" si="9"/>
        <v>3</v>
      </c>
      <c r="E35" s="218">
        <f t="shared" si="0"/>
        <v>1.0025489999999999</v>
      </c>
      <c r="F35" s="216"/>
      <c r="G35" s="216">
        <v>3</v>
      </c>
      <c r="H35" s="317">
        <f t="shared" si="1"/>
        <v>1.0025489999999999</v>
      </c>
      <c r="I35" s="216">
        <f t="shared" si="2"/>
        <v>6</v>
      </c>
      <c r="J35" s="218">
        <f t="shared" si="3"/>
        <v>2.0050979999999998</v>
      </c>
      <c r="K35" s="216"/>
      <c r="L35" s="218">
        <f t="shared" si="4"/>
        <v>0</v>
      </c>
      <c r="M35" s="317">
        <f t="shared" si="5"/>
        <v>0</v>
      </c>
      <c r="N35" s="218">
        <f t="shared" si="6"/>
        <v>0</v>
      </c>
      <c r="O35" s="216">
        <f t="shared" si="7"/>
        <v>6</v>
      </c>
      <c r="P35" s="218">
        <f t="shared" si="8"/>
        <v>2.0050979999999998</v>
      </c>
      <c r="Q35" s="216"/>
    </row>
    <row r="36" spans="2:18">
      <c r="B36" s="312">
        <v>28</v>
      </c>
      <c r="C36" s="216"/>
      <c r="D36" s="216">
        <f t="shared" si="9"/>
        <v>6</v>
      </c>
      <c r="E36" s="218">
        <f t="shared" si="0"/>
        <v>2.0050979999999998</v>
      </c>
      <c r="F36" s="216"/>
      <c r="G36" s="216"/>
      <c r="H36" s="317">
        <f t="shared" si="1"/>
        <v>0</v>
      </c>
      <c r="I36" s="216">
        <f t="shared" si="2"/>
        <v>6</v>
      </c>
      <c r="J36" s="218">
        <f t="shared" si="3"/>
        <v>2.0050979999999998</v>
      </c>
      <c r="K36" s="216"/>
      <c r="L36" s="218">
        <f t="shared" si="4"/>
        <v>0</v>
      </c>
      <c r="M36" s="317">
        <f t="shared" si="5"/>
        <v>0</v>
      </c>
      <c r="N36" s="218">
        <f t="shared" si="6"/>
        <v>0</v>
      </c>
      <c r="O36" s="216">
        <f t="shared" si="7"/>
        <v>6</v>
      </c>
      <c r="P36" s="218">
        <f t="shared" si="8"/>
        <v>2.0050979999999998</v>
      </c>
      <c r="Q36" s="216"/>
    </row>
    <row r="37" spans="2:18">
      <c r="B37" s="312">
        <v>29</v>
      </c>
      <c r="C37" s="216"/>
      <c r="D37" s="216">
        <f t="shared" si="9"/>
        <v>6</v>
      </c>
      <c r="E37" s="218">
        <f t="shared" si="0"/>
        <v>2.0050979999999998</v>
      </c>
      <c r="F37" s="216"/>
      <c r="G37" s="216">
        <v>4</v>
      </c>
      <c r="H37" s="317">
        <f t="shared" si="1"/>
        <v>1.336732</v>
      </c>
      <c r="I37" s="216">
        <f t="shared" si="2"/>
        <v>10</v>
      </c>
      <c r="J37" s="218">
        <f t="shared" si="3"/>
        <v>3.3418299999999999</v>
      </c>
      <c r="K37" s="216"/>
      <c r="L37" s="218">
        <f t="shared" si="4"/>
        <v>0</v>
      </c>
      <c r="M37" s="317">
        <f t="shared" si="5"/>
        <v>0</v>
      </c>
      <c r="N37" s="218">
        <f t="shared" si="6"/>
        <v>0</v>
      </c>
      <c r="O37" s="216">
        <f t="shared" si="7"/>
        <v>10</v>
      </c>
      <c r="P37" s="218">
        <f t="shared" si="8"/>
        <v>3.3418299999999999</v>
      </c>
      <c r="Q37" s="216"/>
    </row>
    <row r="38" spans="2:18">
      <c r="B38" s="312">
        <v>30</v>
      </c>
      <c r="D38" s="216">
        <f t="shared" si="9"/>
        <v>10</v>
      </c>
      <c r="E38" s="218">
        <f t="shared" si="0"/>
        <v>3.3418299999999999</v>
      </c>
      <c r="F38" s="216"/>
      <c r="G38" s="216">
        <v>6</v>
      </c>
      <c r="H38" s="317">
        <f t="shared" si="1"/>
        <v>2.0050979999999998</v>
      </c>
      <c r="I38" s="216">
        <f t="shared" si="2"/>
        <v>16</v>
      </c>
      <c r="J38" s="218">
        <f t="shared" si="3"/>
        <v>5.3469280000000001</v>
      </c>
      <c r="K38" s="216"/>
      <c r="L38" s="218">
        <f t="shared" si="4"/>
        <v>0</v>
      </c>
      <c r="M38" s="317">
        <f t="shared" si="5"/>
        <v>0</v>
      </c>
      <c r="N38" s="218">
        <f t="shared" si="6"/>
        <v>0</v>
      </c>
      <c r="O38" s="216">
        <f t="shared" si="7"/>
        <v>16</v>
      </c>
      <c r="P38" s="218">
        <f t="shared" si="8"/>
        <v>5.3469280000000001</v>
      </c>
    </row>
    <row r="39" spans="2:18">
      <c r="B39" s="321">
        <v>31</v>
      </c>
      <c r="D39" s="216">
        <f t="shared" si="9"/>
        <v>16</v>
      </c>
      <c r="E39" s="218">
        <f t="shared" si="0"/>
        <v>5.3469280000000001</v>
      </c>
      <c r="F39" s="216"/>
      <c r="G39" s="216">
        <v>1</v>
      </c>
      <c r="H39" s="317">
        <f t="shared" si="1"/>
        <v>0.33418300000000001</v>
      </c>
      <c r="I39" s="216">
        <f t="shared" si="2"/>
        <v>17</v>
      </c>
      <c r="J39" s="218">
        <f t="shared" si="3"/>
        <v>5.6811109999999996</v>
      </c>
      <c r="K39" s="216"/>
      <c r="L39" s="218">
        <f t="shared" si="4"/>
        <v>0</v>
      </c>
      <c r="M39" s="317">
        <f t="shared" si="5"/>
        <v>0</v>
      </c>
      <c r="N39" s="218">
        <f t="shared" si="6"/>
        <v>0</v>
      </c>
      <c r="O39" s="216">
        <f t="shared" si="7"/>
        <v>17</v>
      </c>
      <c r="P39" s="218">
        <f t="shared" si="8"/>
        <v>5.6811109999999996</v>
      </c>
    </row>
    <row r="40" spans="2:18">
      <c r="B40" s="928" t="s">
        <v>10</v>
      </c>
      <c r="C40" s="929"/>
      <c r="D40" s="929"/>
      <c r="E40" s="930"/>
      <c r="F40" s="3"/>
      <c r="G40" s="839">
        <f>SUM(G9:G39)</f>
        <v>89</v>
      </c>
      <c r="H40" s="834">
        <f t="shared" ref="H40:N40" si="10">SUM(H9:H39)</f>
        <v>29.742286999999997</v>
      </c>
      <c r="I40" s="840"/>
      <c r="J40" s="840"/>
      <c r="K40" s="839">
        <f t="shared" si="10"/>
        <v>115</v>
      </c>
      <c r="L40" s="834">
        <f t="shared" si="10"/>
        <v>38.144925000000001</v>
      </c>
      <c r="M40" s="834">
        <f t="shared" si="10"/>
        <v>38.431045000000005</v>
      </c>
      <c r="N40" s="130">
        <f t="shared" si="10"/>
        <v>0.28612000000000004</v>
      </c>
      <c r="O40" s="130"/>
      <c r="P40" s="130"/>
    </row>
    <row r="42" spans="2:18">
      <c r="B42" s="931" t="s">
        <v>25</v>
      </c>
      <c r="C42" s="931"/>
      <c r="D42" s="931"/>
      <c r="E42" s="931"/>
      <c r="F42" s="3"/>
      <c r="G42" s="130">
        <f>G40*S7/1000</f>
        <v>0.22143199999999999</v>
      </c>
      <c r="H42" s="835">
        <f>+G40*S6/1000</f>
        <v>29.520855000000001</v>
      </c>
      <c r="J42" s="931" t="s">
        <v>26</v>
      </c>
      <c r="K42" s="931"/>
      <c r="L42" s="130">
        <f>+K40*S7/1000</f>
        <v>0.28611999999999999</v>
      </c>
      <c r="R42" s="151"/>
    </row>
    <row r="43" spans="2:18">
      <c r="Q43" s="151"/>
    </row>
    <row r="45" spans="2:18">
      <c r="H45" s="922" t="s">
        <v>27</v>
      </c>
      <c r="I45" s="922"/>
      <c r="J45" s="922"/>
      <c r="K45" s="842">
        <f>+G42+'20 X10 '!G42+'38-8.12-OZ '!G42+'44-8.12 OZ'!G42+'40-4.5-OZ'!G42+'36-4.05 OZ'!G42+'34-9.82'!G42+'54-6.5'!G42+'44-7.15 '!G42+'48-8.4-OZ  '!G42+'40-6.5'!G42+'48-7.80 EXP'!E42+'40-5-OZ-EXP'!E42+'48-6 EXPORT'!G42+'44-5 OZ'!G42+'44-8.12 OZ (2)'!G42</f>
        <v>0.71550262499999995</v>
      </c>
      <c r="R45" s="151"/>
    </row>
    <row r="46" spans="2:18">
      <c r="K46" s="170"/>
    </row>
    <row r="47" spans="2:18">
      <c r="H47" s="923" t="s">
        <v>28</v>
      </c>
      <c r="I47" s="923"/>
      <c r="J47" s="923"/>
      <c r="K47" s="843">
        <f>+'40-5-OZ-EXP'!E42+'EXPORT '!E42</f>
        <v>0</v>
      </c>
      <c r="L47" s="924" t="s">
        <v>29</v>
      </c>
      <c r="M47" s="925"/>
      <c r="N47" s="925"/>
      <c r="O47" s="151">
        <f>+L42+'20 X10 '!L42+'38-8.12-OZ '!L42+'44-8.12 OZ'!L42+'40-4.5-OZ'!L42+'36-4.05 OZ'!L42+'34-9.82'!L42+'54-6.5'!L42+'44-7.15 '!L42+'48-8.4-OZ  '!K42+'40-6.5'!L42+'51-11.36-OZ '!L42+'48-7.80 EXP'!L42+'40-5-OZ-EXP'!L42+'48-6 EXPORT'!L42+'44-5 OZ'!L42+'44-8.12 OZ (2)'!L42</f>
        <v>0.81918112499999995</v>
      </c>
    </row>
    <row r="48" spans="2:18">
      <c r="H48" s="926" t="s">
        <v>30</v>
      </c>
      <c r="I48" s="926"/>
      <c r="J48" s="926"/>
      <c r="K48" s="224">
        <f>K45+K47</f>
        <v>0.71550262499999995</v>
      </c>
    </row>
    <row r="49" spans="8:15">
      <c r="L49" s="924" t="s">
        <v>31</v>
      </c>
      <c r="M49" s="925"/>
      <c r="N49" s="925"/>
      <c r="O49" s="151">
        <f>+'TYPE A GOV'!L42+'767 GMS 500 PCS'!L42</f>
        <v>2.0814749999999997</v>
      </c>
    </row>
    <row r="50" spans="8:15">
      <c r="H50" s="916" t="s">
        <v>32</v>
      </c>
      <c r="I50" s="916"/>
      <c r="J50" s="916"/>
      <c r="K50" s="844">
        <f>+'TYPE A GOV'!G42+'767 GMS 500 PCS'!G42</f>
        <v>1.4224499999999998</v>
      </c>
    </row>
    <row r="52" spans="8:15">
      <c r="H52" s="917" t="s">
        <v>33</v>
      </c>
      <c r="I52" s="917"/>
      <c r="J52" s="917"/>
      <c r="K52" s="845">
        <f>K45+K47+K50</f>
        <v>2.1379526249999996</v>
      </c>
    </row>
  </sheetData>
  <mergeCells count="28">
    <mergeCell ref="B2:Q2"/>
    <mergeCell ref="S2:T2"/>
    <mergeCell ref="B3:Q3"/>
    <mergeCell ref="S3:V3"/>
    <mergeCell ref="B4:Q4"/>
    <mergeCell ref="S4:V4"/>
    <mergeCell ref="A5:Q5"/>
    <mergeCell ref="S5:V5"/>
    <mergeCell ref="D6:F6"/>
    <mergeCell ref="G6:H6"/>
    <mergeCell ref="I6:J6"/>
    <mergeCell ref="K6:L6"/>
    <mergeCell ref="O6:P6"/>
    <mergeCell ref="S6:V6"/>
    <mergeCell ref="S7:V7"/>
    <mergeCell ref="S8:V8"/>
    <mergeCell ref="B40:E40"/>
    <mergeCell ref="B42:E42"/>
    <mergeCell ref="J42:K42"/>
    <mergeCell ref="H50:J50"/>
    <mergeCell ref="H52:J52"/>
    <mergeCell ref="H7:H8"/>
    <mergeCell ref="M6:M8"/>
    <mergeCell ref="H45:J45"/>
    <mergeCell ref="H47:J47"/>
    <mergeCell ref="L47:N47"/>
    <mergeCell ref="H48:J48"/>
    <mergeCell ref="L49:N49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42"/>
  <sheetViews>
    <sheetView topLeftCell="B1" zoomScale="80" zoomScaleNormal="80" workbookViewId="0">
      <pane ySplit="8" topLeftCell="A9" activePane="bottomLeft" state="frozen"/>
      <selection pane="bottomLeft" activeCell="R2" sqref="R2:V2"/>
    </sheetView>
  </sheetViews>
  <sheetFormatPr defaultColWidth="9" defaultRowHeight="15"/>
  <cols>
    <col min="1" max="1" width="9" hidden="1" customWidth="1"/>
    <col min="3" max="3" width="9" hidden="1" customWidth="1"/>
    <col min="5" max="5" width="10.42578125" customWidth="1"/>
    <col min="6" max="6" width="9" hidden="1" customWidth="1"/>
    <col min="8" max="8" width="10.42578125" customWidth="1"/>
    <col min="10" max="10" width="10.42578125" customWidth="1"/>
    <col min="11" max="11" width="10.5703125" customWidth="1"/>
    <col min="12" max="13" width="10.42578125" customWidth="1"/>
    <col min="14" max="14" width="12" customWidth="1"/>
    <col min="15" max="15" width="8.28515625" customWidth="1"/>
    <col min="16" max="17" width="10.42578125" customWidth="1"/>
    <col min="18" max="18" width="18.28515625" customWidth="1"/>
    <col min="19" max="19" width="10.28515625" customWidth="1"/>
    <col min="20" max="20" width="3" hidden="1" customWidth="1"/>
    <col min="21" max="21" width="7" customWidth="1"/>
    <col min="22" max="22" width="7.5703125" customWidth="1"/>
    <col min="23" max="23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129"/>
      <c r="S2" s="931"/>
      <c r="T2" s="931"/>
      <c r="U2" s="129"/>
      <c r="V2" s="227"/>
      <c r="W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129" t="s">
        <v>3</v>
      </c>
      <c r="S3" s="931"/>
      <c r="T3" s="931"/>
      <c r="U3" s="931"/>
      <c r="V3" s="931"/>
      <c r="W3" s="170"/>
    </row>
    <row r="4" spans="1:23" ht="21">
      <c r="B4" s="939" t="s">
        <v>34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129" t="s">
        <v>5</v>
      </c>
      <c r="S4" s="931"/>
      <c r="T4" s="931"/>
      <c r="U4" s="931"/>
      <c r="V4" s="931"/>
      <c r="W4" s="170"/>
    </row>
    <row r="5" spans="1:23" ht="21">
      <c r="A5" s="932" t="s">
        <v>35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933"/>
      <c r="R5" s="129" t="s">
        <v>7</v>
      </c>
      <c r="S5" s="931"/>
      <c r="T5" s="931"/>
      <c r="U5" s="931"/>
      <c r="V5" s="931"/>
      <c r="W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942" t="s">
        <v>12</v>
      </c>
      <c r="N6" s="215"/>
      <c r="O6" s="934" t="s">
        <v>13</v>
      </c>
      <c r="P6" s="934"/>
      <c r="Q6" s="225" t="s">
        <v>14</v>
      </c>
      <c r="R6" s="129" t="s">
        <v>15</v>
      </c>
      <c r="S6" s="941">
        <v>144</v>
      </c>
      <c r="T6" s="941"/>
      <c r="U6" s="941"/>
      <c r="V6" s="941"/>
      <c r="W6" s="170"/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16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18</v>
      </c>
      <c r="M7" s="943"/>
      <c r="N7" s="217"/>
      <c r="O7" s="217" t="s">
        <v>16</v>
      </c>
      <c r="P7" s="217" t="s">
        <v>17</v>
      </c>
      <c r="Q7" s="226"/>
      <c r="R7" s="129" t="s">
        <v>19</v>
      </c>
      <c r="S7" s="941">
        <f>S6*0.75%</f>
        <v>1.08</v>
      </c>
      <c r="T7" s="941"/>
      <c r="U7" s="941"/>
      <c r="V7" s="941"/>
      <c r="W7" s="170"/>
    </row>
    <row r="8" spans="1:23">
      <c r="B8" s="216"/>
      <c r="C8" s="216"/>
      <c r="D8" s="217" t="s">
        <v>21</v>
      </c>
      <c r="E8" s="217" t="s">
        <v>22</v>
      </c>
      <c r="F8" s="217"/>
      <c r="G8" s="217" t="s">
        <v>21</v>
      </c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934"/>
      <c r="N8" s="217" t="s">
        <v>23</v>
      </c>
      <c r="O8" s="217" t="s">
        <v>21</v>
      </c>
      <c r="P8" s="217" t="s">
        <v>22</v>
      </c>
      <c r="Q8" s="226"/>
      <c r="R8" s="129" t="s">
        <v>24</v>
      </c>
      <c r="S8" s="941">
        <f>S6+S7</f>
        <v>145.08000000000001</v>
      </c>
      <c r="T8" s="941"/>
      <c r="U8" s="941"/>
      <c r="V8" s="941"/>
      <c r="W8" s="170"/>
    </row>
    <row r="9" spans="1:23">
      <c r="B9" s="216">
        <v>1</v>
      </c>
      <c r="C9" s="216"/>
      <c r="D9" s="13"/>
      <c r="E9" s="218">
        <f>$S$8*D9/1000</f>
        <v>0</v>
      </c>
      <c r="F9" s="13"/>
      <c r="G9" s="13"/>
      <c r="H9" s="218">
        <f>$S$8*G9/1000</f>
        <v>0</v>
      </c>
      <c r="I9" s="13">
        <f>D9+G9</f>
        <v>0</v>
      </c>
      <c r="J9" s="218">
        <f>$S$8*I9/1000</f>
        <v>0</v>
      </c>
      <c r="K9" s="13"/>
      <c r="L9" s="218">
        <f t="shared" ref="L9:L39" si="0">K9*S$6/1000</f>
        <v>0</v>
      </c>
      <c r="M9" s="218">
        <f>K9*S$8/1000</f>
        <v>0</v>
      </c>
      <c r="N9" s="218">
        <f t="shared" ref="N9:N39" si="1">K9*S$7/1000</f>
        <v>0</v>
      </c>
      <c r="O9" s="841">
        <f>I9-K9</f>
        <v>0</v>
      </c>
      <c r="P9" s="218">
        <f>$S$8*O9/1000</f>
        <v>0</v>
      </c>
      <c r="Q9" s="218">
        <f>P9*T8/1000</f>
        <v>0</v>
      </c>
      <c r="W9" s="170"/>
    </row>
    <row r="10" spans="1:23">
      <c r="B10" s="216">
        <v>2</v>
      </c>
      <c r="C10" s="216"/>
      <c r="D10" s="838">
        <f>+O9</f>
        <v>0</v>
      </c>
      <c r="E10" s="218">
        <f t="shared" ref="E10:E39" si="2">$S$8*D10/1000</f>
        <v>0</v>
      </c>
      <c r="F10" s="216"/>
      <c r="G10" s="216"/>
      <c r="H10" s="218">
        <f t="shared" ref="H10:H39" si="3">$S$8*G10/1000</f>
        <v>0</v>
      </c>
      <c r="I10" s="13">
        <f t="shared" ref="I10:I39" si="4">D10+G10</f>
        <v>0</v>
      </c>
      <c r="J10" s="218">
        <f t="shared" ref="J10:J39" si="5">$S$8*I10/1000</f>
        <v>0</v>
      </c>
      <c r="K10" s="216"/>
      <c r="L10" s="218">
        <f t="shared" si="0"/>
        <v>0</v>
      </c>
      <c r="M10" s="218">
        <f t="shared" ref="M10:M39" si="6">K10*S$8/1000</f>
        <v>0</v>
      </c>
      <c r="N10" s="218">
        <f t="shared" si="1"/>
        <v>0</v>
      </c>
      <c r="O10" s="841">
        <f t="shared" ref="O10:O39" si="7">I10-K10</f>
        <v>0</v>
      </c>
      <c r="P10" s="218">
        <f t="shared" ref="P10:P39" si="8">$S$8*O10/1000</f>
        <v>0</v>
      </c>
      <c r="Q10" s="216"/>
    </row>
    <row r="11" spans="1:23">
      <c r="B11" s="216">
        <v>3</v>
      </c>
      <c r="C11" s="216"/>
      <c r="D11" s="838">
        <f t="shared" ref="D11:D38" si="9">+O10</f>
        <v>0</v>
      </c>
      <c r="E11" s="218">
        <f t="shared" si="2"/>
        <v>0</v>
      </c>
      <c r="F11" s="216"/>
      <c r="G11" s="216"/>
      <c r="H11" s="218">
        <f t="shared" si="3"/>
        <v>0</v>
      </c>
      <c r="I11" s="13">
        <f t="shared" si="4"/>
        <v>0</v>
      </c>
      <c r="J11" s="218">
        <f t="shared" si="5"/>
        <v>0</v>
      </c>
      <c r="K11" s="216"/>
      <c r="L11" s="218">
        <f t="shared" si="0"/>
        <v>0</v>
      </c>
      <c r="M11" s="218">
        <f t="shared" si="6"/>
        <v>0</v>
      </c>
      <c r="N11" s="218">
        <f t="shared" si="1"/>
        <v>0</v>
      </c>
      <c r="O11" s="841">
        <f t="shared" si="7"/>
        <v>0</v>
      </c>
      <c r="P11" s="218">
        <f t="shared" si="8"/>
        <v>0</v>
      </c>
      <c r="Q11" s="216"/>
    </row>
    <row r="12" spans="1:23">
      <c r="B12" s="13">
        <v>4</v>
      </c>
      <c r="C12" s="13"/>
      <c r="D12" s="838">
        <f t="shared" si="9"/>
        <v>0</v>
      </c>
      <c r="E12" s="219">
        <f t="shared" si="2"/>
        <v>0</v>
      </c>
      <c r="F12" s="13"/>
      <c r="G12" s="13"/>
      <c r="H12" s="218">
        <f t="shared" si="3"/>
        <v>0</v>
      </c>
      <c r="I12" s="13">
        <f t="shared" si="4"/>
        <v>0</v>
      </c>
      <c r="J12" s="218">
        <f t="shared" si="5"/>
        <v>0</v>
      </c>
      <c r="K12" s="13"/>
      <c r="L12" s="218">
        <f t="shared" si="0"/>
        <v>0</v>
      </c>
      <c r="M12" s="218">
        <f t="shared" si="6"/>
        <v>0</v>
      </c>
      <c r="N12" s="219">
        <f t="shared" si="1"/>
        <v>0</v>
      </c>
      <c r="O12" s="841">
        <f t="shared" si="7"/>
        <v>0</v>
      </c>
      <c r="P12" s="219">
        <f t="shared" si="8"/>
        <v>0</v>
      </c>
      <c r="Q12" s="216"/>
    </row>
    <row r="13" spans="1:23">
      <c r="B13" s="216">
        <v>5</v>
      </c>
      <c r="C13" s="216"/>
      <c r="D13" s="838">
        <f t="shared" si="9"/>
        <v>0</v>
      </c>
      <c r="E13" s="218">
        <f t="shared" si="2"/>
        <v>0</v>
      </c>
      <c r="F13" s="216"/>
      <c r="G13" s="216"/>
      <c r="H13" s="218">
        <f t="shared" si="3"/>
        <v>0</v>
      </c>
      <c r="I13" s="13">
        <f t="shared" si="4"/>
        <v>0</v>
      </c>
      <c r="J13" s="218">
        <f t="shared" si="5"/>
        <v>0</v>
      </c>
      <c r="K13" s="216"/>
      <c r="L13" s="218">
        <f t="shared" si="0"/>
        <v>0</v>
      </c>
      <c r="M13" s="218">
        <f t="shared" si="6"/>
        <v>0</v>
      </c>
      <c r="N13" s="218">
        <f t="shared" si="1"/>
        <v>0</v>
      </c>
      <c r="O13" s="841">
        <f t="shared" si="7"/>
        <v>0</v>
      </c>
      <c r="P13" s="218">
        <f t="shared" si="8"/>
        <v>0</v>
      </c>
      <c r="Q13" s="216"/>
    </row>
    <row r="14" spans="1:23">
      <c r="B14" s="216">
        <v>6</v>
      </c>
      <c r="C14" s="216"/>
      <c r="D14" s="838">
        <f t="shared" si="9"/>
        <v>0</v>
      </c>
      <c r="E14" s="218">
        <f t="shared" si="2"/>
        <v>0</v>
      </c>
      <c r="F14" s="216"/>
      <c r="G14" s="216"/>
      <c r="H14" s="218">
        <f t="shared" si="3"/>
        <v>0</v>
      </c>
      <c r="I14" s="13">
        <f t="shared" si="4"/>
        <v>0</v>
      </c>
      <c r="J14" s="218">
        <f t="shared" si="5"/>
        <v>0</v>
      </c>
      <c r="K14" s="216"/>
      <c r="L14" s="218">
        <f t="shared" si="0"/>
        <v>0</v>
      </c>
      <c r="M14" s="218">
        <f t="shared" si="6"/>
        <v>0</v>
      </c>
      <c r="N14" s="218">
        <f t="shared" si="1"/>
        <v>0</v>
      </c>
      <c r="O14" s="841">
        <f t="shared" si="7"/>
        <v>0</v>
      </c>
      <c r="P14" s="218">
        <f t="shared" si="8"/>
        <v>0</v>
      </c>
      <c r="Q14" s="216"/>
    </row>
    <row r="15" spans="1:23">
      <c r="B15" s="216">
        <v>7</v>
      </c>
      <c r="C15" s="216"/>
      <c r="D15" s="838">
        <f t="shared" si="9"/>
        <v>0</v>
      </c>
      <c r="E15" s="218">
        <f t="shared" si="2"/>
        <v>0</v>
      </c>
      <c r="F15" s="216"/>
      <c r="G15" s="216"/>
      <c r="H15" s="218">
        <f t="shared" si="3"/>
        <v>0</v>
      </c>
      <c r="I15" s="13">
        <f t="shared" si="4"/>
        <v>0</v>
      </c>
      <c r="J15" s="218">
        <f t="shared" si="5"/>
        <v>0</v>
      </c>
      <c r="K15" s="216"/>
      <c r="L15" s="218">
        <f t="shared" si="0"/>
        <v>0</v>
      </c>
      <c r="M15" s="218">
        <f t="shared" si="6"/>
        <v>0</v>
      </c>
      <c r="N15" s="218">
        <f t="shared" si="1"/>
        <v>0</v>
      </c>
      <c r="O15" s="841">
        <f t="shared" si="7"/>
        <v>0</v>
      </c>
      <c r="P15" s="218">
        <f t="shared" si="8"/>
        <v>0</v>
      </c>
      <c r="Q15" s="216"/>
    </row>
    <row r="16" spans="1:23">
      <c r="B16" s="216">
        <v>8</v>
      </c>
      <c r="C16" s="216"/>
      <c r="D16" s="838">
        <f t="shared" si="9"/>
        <v>0</v>
      </c>
      <c r="E16" s="218">
        <f t="shared" si="2"/>
        <v>0</v>
      </c>
      <c r="F16" s="216"/>
      <c r="G16" s="216"/>
      <c r="H16" s="218">
        <f t="shared" si="3"/>
        <v>0</v>
      </c>
      <c r="I16" s="13">
        <f t="shared" si="4"/>
        <v>0</v>
      </c>
      <c r="J16" s="218">
        <f t="shared" si="5"/>
        <v>0</v>
      </c>
      <c r="K16" s="216"/>
      <c r="L16" s="218">
        <f t="shared" si="0"/>
        <v>0</v>
      </c>
      <c r="M16" s="218">
        <f t="shared" si="6"/>
        <v>0</v>
      </c>
      <c r="N16" s="218">
        <f t="shared" si="1"/>
        <v>0</v>
      </c>
      <c r="O16" s="841">
        <f t="shared" si="7"/>
        <v>0</v>
      </c>
      <c r="P16" s="218">
        <f t="shared" si="8"/>
        <v>0</v>
      </c>
      <c r="Q16" s="216"/>
    </row>
    <row r="17" spans="2:17">
      <c r="B17" s="216">
        <v>9</v>
      </c>
      <c r="C17" s="216"/>
      <c r="D17" s="838">
        <f t="shared" si="9"/>
        <v>0</v>
      </c>
      <c r="E17" s="218">
        <f t="shared" si="2"/>
        <v>0</v>
      </c>
      <c r="F17" s="216"/>
      <c r="G17" s="216"/>
      <c r="H17" s="218">
        <f t="shared" si="3"/>
        <v>0</v>
      </c>
      <c r="I17" s="13">
        <f t="shared" si="4"/>
        <v>0</v>
      </c>
      <c r="J17" s="218">
        <f t="shared" si="5"/>
        <v>0</v>
      </c>
      <c r="K17" s="216"/>
      <c r="L17" s="218">
        <f t="shared" si="0"/>
        <v>0</v>
      </c>
      <c r="M17" s="218">
        <f t="shared" si="6"/>
        <v>0</v>
      </c>
      <c r="N17" s="218">
        <f t="shared" si="1"/>
        <v>0</v>
      </c>
      <c r="O17" s="841">
        <f t="shared" si="7"/>
        <v>0</v>
      </c>
      <c r="P17" s="218">
        <f t="shared" si="8"/>
        <v>0</v>
      </c>
      <c r="Q17" s="216"/>
    </row>
    <row r="18" spans="2:17">
      <c r="B18" s="216">
        <v>10</v>
      </c>
      <c r="C18" s="216"/>
      <c r="D18" s="838">
        <f t="shared" si="9"/>
        <v>0</v>
      </c>
      <c r="E18" s="218">
        <f t="shared" si="2"/>
        <v>0</v>
      </c>
      <c r="F18" s="216"/>
      <c r="G18" s="216"/>
      <c r="H18" s="218">
        <f t="shared" si="3"/>
        <v>0</v>
      </c>
      <c r="I18" s="13">
        <f t="shared" si="4"/>
        <v>0</v>
      </c>
      <c r="J18" s="218">
        <f t="shared" si="5"/>
        <v>0</v>
      </c>
      <c r="K18" s="216"/>
      <c r="L18" s="218">
        <f t="shared" si="0"/>
        <v>0</v>
      </c>
      <c r="M18" s="218">
        <f t="shared" si="6"/>
        <v>0</v>
      </c>
      <c r="N18" s="218">
        <f t="shared" si="1"/>
        <v>0</v>
      </c>
      <c r="O18" s="841">
        <f t="shared" si="7"/>
        <v>0</v>
      </c>
      <c r="P18" s="218">
        <f t="shared" si="8"/>
        <v>0</v>
      </c>
      <c r="Q18" s="216"/>
    </row>
    <row r="19" spans="2:17">
      <c r="B19" s="216">
        <v>11</v>
      </c>
      <c r="C19" s="216"/>
      <c r="D19" s="838">
        <f t="shared" si="9"/>
        <v>0</v>
      </c>
      <c r="E19" s="218">
        <f t="shared" si="2"/>
        <v>0</v>
      </c>
      <c r="F19" s="216"/>
      <c r="G19" s="216"/>
      <c r="H19" s="218">
        <f t="shared" si="3"/>
        <v>0</v>
      </c>
      <c r="I19" s="13">
        <f t="shared" si="4"/>
        <v>0</v>
      </c>
      <c r="J19" s="218">
        <f t="shared" si="5"/>
        <v>0</v>
      </c>
      <c r="K19" s="216"/>
      <c r="L19" s="218">
        <f t="shared" si="0"/>
        <v>0</v>
      </c>
      <c r="M19" s="218">
        <f t="shared" si="6"/>
        <v>0</v>
      </c>
      <c r="N19" s="218">
        <f t="shared" si="1"/>
        <v>0</v>
      </c>
      <c r="O19" s="841">
        <f t="shared" si="7"/>
        <v>0</v>
      </c>
      <c r="P19" s="218">
        <f t="shared" si="8"/>
        <v>0</v>
      </c>
      <c r="Q19" s="216"/>
    </row>
    <row r="20" spans="2:17">
      <c r="B20" s="216">
        <v>12</v>
      </c>
      <c r="C20" s="216"/>
      <c r="D20" s="838">
        <f t="shared" si="9"/>
        <v>0</v>
      </c>
      <c r="E20" s="218">
        <f t="shared" si="2"/>
        <v>0</v>
      </c>
      <c r="F20" s="216"/>
      <c r="G20" s="216"/>
      <c r="H20" s="218">
        <f t="shared" si="3"/>
        <v>0</v>
      </c>
      <c r="I20" s="13">
        <f t="shared" si="4"/>
        <v>0</v>
      </c>
      <c r="J20" s="218">
        <f t="shared" si="5"/>
        <v>0</v>
      </c>
      <c r="K20" s="216"/>
      <c r="L20" s="218">
        <f t="shared" si="0"/>
        <v>0</v>
      </c>
      <c r="M20" s="218">
        <f t="shared" si="6"/>
        <v>0</v>
      </c>
      <c r="N20" s="218">
        <f t="shared" si="1"/>
        <v>0</v>
      </c>
      <c r="O20" s="841">
        <f t="shared" si="7"/>
        <v>0</v>
      </c>
      <c r="P20" s="218">
        <f t="shared" si="8"/>
        <v>0</v>
      </c>
      <c r="Q20" s="216"/>
    </row>
    <row r="21" spans="2:17">
      <c r="B21" s="216">
        <v>13</v>
      </c>
      <c r="C21" s="216"/>
      <c r="D21" s="838">
        <f t="shared" si="9"/>
        <v>0</v>
      </c>
      <c r="E21" s="218">
        <f t="shared" si="2"/>
        <v>0</v>
      </c>
      <c r="F21" s="216"/>
      <c r="G21" s="216"/>
      <c r="H21" s="218">
        <f t="shared" si="3"/>
        <v>0</v>
      </c>
      <c r="I21" s="13">
        <f t="shared" si="4"/>
        <v>0</v>
      </c>
      <c r="J21" s="218">
        <f t="shared" si="5"/>
        <v>0</v>
      </c>
      <c r="K21" s="216"/>
      <c r="L21" s="218">
        <f t="shared" si="0"/>
        <v>0</v>
      </c>
      <c r="M21" s="218">
        <f t="shared" si="6"/>
        <v>0</v>
      </c>
      <c r="N21" s="218">
        <f t="shared" si="1"/>
        <v>0</v>
      </c>
      <c r="O21" s="841">
        <f t="shared" si="7"/>
        <v>0</v>
      </c>
      <c r="P21" s="218">
        <f t="shared" si="8"/>
        <v>0</v>
      </c>
      <c r="Q21" s="216"/>
    </row>
    <row r="22" spans="2:17">
      <c r="B22" s="216">
        <v>14</v>
      </c>
      <c r="C22" s="216"/>
      <c r="D22" s="838">
        <f t="shared" si="9"/>
        <v>0</v>
      </c>
      <c r="E22" s="218">
        <f t="shared" si="2"/>
        <v>0</v>
      </c>
      <c r="F22" s="216"/>
      <c r="G22" s="216"/>
      <c r="H22" s="218">
        <f t="shared" si="3"/>
        <v>0</v>
      </c>
      <c r="I22" s="13">
        <f t="shared" si="4"/>
        <v>0</v>
      </c>
      <c r="J22" s="218">
        <f t="shared" si="5"/>
        <v>0</v>
      </c>
      <c r="K22" s="216"/>
      <c r="L22" s="218">
        <f t="shared" si="0"/>
        <v>0</v>
      </c>
      <c r="M22" s="218">
        <f t="shared" si="6"/>
        <v>0</v>
      </c>
      <c r="N22" s="218">
        <f t="shared" si="1"/>
        <v>0</v>
      </c>
      <c r="O22" s="841">
        <f t="shared" si="7"/>
        <v>0</v>
      </c>
      <c r="P22" s="218">
        <f t="shared" si="8"/>
        <v>0</v>
      </c>
      <c r="Q22" s="216"/>
    </row>
    <row r="23" spans="2:17">
      <c r="B23" s="216">
        <v>15</v>
      </c>
      <c r="C23" s="216"/>
      <c r="D23" s="838">
        <f t="shared" si="9"/>
        <v>0</v>
      </c>
      <c r="E23" s="218">
        <f t="shared" si="2"/>
        <v>0</v>
      </c>
      <c r="F23" s="216"/>
      <c r="G23" s="216"/>
      <c r="H23" s="218">
        <f t="shared" si="3"/>
        <v>0</v>
      </c>
      <c r="I23" s="13">
        <f t="shared" si="4"/>
        <v>0</v>
      </c>
      <c r="J23" s="218">
        <f t="shared" si="5"/>
        <v>0</v>
      </c>
      <c r="K23" s="216"/>
      <c r="L23" s="218">
        <f t="shared" si="0"/>
        <v>0</v>
      </c>
      <c r="M23" s="218">
        <f t="shared" si="6"/>
        <v>0</v>
      </c>
      <c r="N23" s="218">
        <f t="shared" si="1"/>
        <v>0</v>
      </c>
      <c r="O23" s="841">
        <f t="shared" si="7"/>
        <v>0</v>
      </c>
      <c r="P23" s="218">
        <f t="shared" si="8"/>
        <v>0</v>
      </c>
      <c r="Q23" s="216"/>
    </row>
    <row r="24" spans="2:17">
      <c r="B24" s="216">
        <v>16</v>
      </c>
      <c r="C24" s="216"/>
      <c r="D24" s="838">
        <f t="shared" si="9"/>
        <v>0</v>
      </c>
      <c r="E24" s="218">
        <f t="shared" si="2"/>
        <v>0</v>
      </c>
      <c r="F24" s="216"/>
      <c r="G24" s="216"/>
      <c r="H24" s="218">
        <f t="shared" si="3"/>
        <v>0</v>
      </c>
      <c r="I24" s="13">
        <f t="shared" si="4"/>
        <v>0</v>
      </c>
      <c r="J24" s="218">
        <f t="shared" si="5"/>
        <v>0</v>
      </c>
      <c r="K24" s="216"/>
      <c r="L24" s="218">
        <f t="shared" si="0"/>
        <v>0</v>
      </c>
      <c r="M24" s="218">
        <f t="shared" si="6"/>
        <v>0</v>
      </c>
      <c r="N24" s="218">
        <f t="shared" si="1"/>
        <v>0</v>
      </c>
      <c r="O24" s="841">
        <f t="shared" si="7"/>
        <v>0</v>
      </c>
      <c r="P24" s="218">
        <f t="shared" si="8"/>
        <v>0</v>
      </c>
      <c r="Q24" s="216"/>
    </row>
    <row r="25" spans="2:17">
      <c r="B25" s="216">
        <v>17</v>
      </c>
      <c r="C25" s="216"/>
      <c r="D25" s="838">
        <f t="shared" si="9"/>
        <v>0</v>
      </c>
      <c r="E25" s="218">
        <f t="shared" si="2"/>
        <v>0</v>
      </c>
      <c r="F25" s="216"/>
      <c r="G25" s="216"/>
      <c r="H25" s="218">
        <f t="shared" si="3"/>
        <v>0</v>
      </c>
      <c r="I25" s="13">
        <f t="shared" si="4"/>
        <v>0</v>
      </c>
      <c r="J25" s="218">
        <f t="shared" si="5"/>
        <v>0</v>
      </c>
      <c r="K25" s="216"/>
      <c r="L25" s="218">
        <f t="shared" si="0"/>
        <v>0</v>
      </c>
      <c r="M25" s="218">
        <f t="shared" si="6"/>
        <v>0</v>
      </c>
      <c r="N25" s="218">
        <f t="shared" si="1"/>
        <v>0</v>
      </c>
      <c r="O25" s="841">
        <f t="shared" si="7"/>
        <v>0</v>
      </c>
      <c r="P25" s="218">
        <f t="shared" si="8"/>
        <v>0</v>
      </c>
      <c r="Q25" s="216"/>
    </row>
    <row r="26" spans="2:17">
      <c r="B26" s="216">
        <v>18</v>
      </c>
      <c r="C26" s="216"/>
      <c r="D26" s="838">
        <f t="shared" si="9"/>
        <v>0</v>
      </c>
      <c r="E26" s="218">
        <f t="shared" si="2"/>
        <v>0</v>
      </c>
      <c r="F26" s="216"/>
      <c r="G26" s="216"/>
      <c r="H26" s="218">
        <f t="shared" si="3"/>
        <v>0</v>
      </c>
      <c r="I26" s="13">
        <f t="shared" si="4"/>
        <v>0</v>
      </c>
      <c r="J26" s="218">
        <f t="shared" si="5"/>
        <v>0</v>
      </c>
      <c r="K26" s="216"/>
      <c r="L26" s="218">
        <f t="shared" si="0"/>
        <v>0</v>
      </c>
      <c r="M26" s="218">
        <f t="shared" si="6"/>
        <v>0</v>
      </c>
      <c r="N26" s="218">
        <f t="shared" si="1"/>
        <v>0</v>
      </c>
      <c r="O26" s="841">
        <f t="shared" si="7"/>
        <v>0</v>
      </c>
      <c r="P26" s="218">
        <f t="shared" si="8"/>
        <v>0</v>
      </c>
      <c r="Q26" s="216"/>
    </row>
    <row r="27" spans="2:17">
      <c r="B27" s="216">
        <v>19</v>
      </c>
      <c r="C27" s="216"/>
      <c r="D27" s="838">
        <f t="shared" si="9"/>
        <v>0</v>
      </c>
      <c r="E27" s="218">
        <f t="shared" si="2"/>
        <v>0</v>
      </c>
      <c r="F27" s="216"/>
      <c r="G27" s="216"/>
      <c r="H27" s="218">
        <f t="shared" si="3"/>
        <v>0</v>
      </c>
      <c r="I27" s="13">
        <f t="shared" si="4"/>
        <v>0</v>
      </c>
      <c r="J27" s="218">
        <f t="shared" si="5"/>
        <v>0</v>
      </c>
      <c r="K27" s="216"/>
      <c r="L27" s="218">
        <f t="shared" si="0"/>
        <v>0</v>
      </c>
      <c r="M27" s="218">
        <f t="shared" si="6"/>
        <v>0</v>
      </c>
      <c r="N27" s="218">
        <f t="shared" si="1"/>
        <v>0</v>
      </c>
      <c r="O27" s="841">
        <f t="shared" si="7"/>
        <v>0</v>
      </c>
      <c r="P27" s="218">
        <f t="shared" si="8"/>
        <v>0</v>
      </c>
      <c r="Q27" s="216"/>
    </row>
    <row r="28" spans="2:17">
      <c r="B28" s="216">
        <v>20</v>
      </c>
      <c r="C28" s="216"/>
      <c r="D28" s="838">
        <f t="shared" si="9"/>
        <v>0</v>
      </c>
      <c r="E28" s="218">
        <f t="shared" si="2"/>
        <v>0</v>
      </c>
      <c r="F28" s="216"/>
      <c r="G28" s="216"/>
      <c r="H28" s="218">
        <f t="shared" si="3"/>
        <v>0</v>
      </c>
      <c r="I28" s="13">
        <f t="shared" si="4"/>
        <v>0</v>
      </c>
      <c r="J28" s="218">
        <f t="shared" si="5"/>
        <v>0</v>
      </c>
      <c r="K28" s="216"/>
      <c r="L28" s="218">
        <f t="shared" si="0"/>
        <v>0</v>
      </c>
      <c r="M28" s="218">
        <f t="shared" si="6"/>
        <v>0</v>
      </c>
      <c r="N28" s="218">
        <f t="shared" si="1"/>
        <v>0</v>
      </c>
      <c r="O28" s="841">
        <f t="shared" si="7"/>
        <v>0</v>
      </c>
      <c r="P28" s="218">
        <f t="shared" si="8"/>
        <v>0</v>
      </c>
      <c r="Q28" s="216"/>
    </row>
    <row r="29" spans="2:17">
      <c r="B29" s="216">
        <v>21</v>
      </c>
      <c r="C29" s="216"/>
      <c r="D29" s="838">
        <f t="shared" si="9"/>
        <v>0</v>
      </c>
      <c r="E29" s="218">
        <f t="shared" si="2"/>
        <v>0</v>
      </c>
      <c r="F29" s="216"/>
      <c r="G29" s="216"/>
      <c r="H29" s="218">
        <f t="shared" si="3"/>
        <v>0</v>
      </c>
      <c r="I29" s="13">
        <f t="shared" si="4"/>
        <v>0</v>
      </c>
      <c r="J29" s="218">
        <f t="shared" si="5"/>
        <v>0</v>
      </c>
      <c r="K29" s="216"/>
      <c r="L29" s="218">
        <f t="shared" si="0"/>
        <v>0</v>
      </c>
      <c r="M29" s="218">
        <f t="shared" si="6"/>
        <v>0</v>
      </c>
      <c r="N29" s="218">
        <f t="shared" si="1"/>
        <v>0</v>
      </c>
      <c r="O29" s="841">
        <f t="shared" si="7"/>
        <v>0</v>
      </c>
      <c r="P29" s="218">
        <f t="shared" si="8"/>
        <v>0</v>
      </c>
      <c r="Q29" s="216"/>
    </row>
    <row r="30" spans="2:17">
      <c r="B30" s="216">
        <v>22</v>
      </c>
      <c r="C30" s="216"/>
      <c r="D30" s="838">
        <f t="shared" si="9"/>
        <v>0</v>
      </c>
      <c r="E30" s="218">
        <f t="shared" si="2"/>
        <v>0</v>
      </c>
      <c r="F30" s="216"/>
      <c r="G30" s="216"/>
      <c r="H30" s="218">
        <f t="shared" si="3"/>
        <v>0</v>
      </c>
      <c r="I30" s="13">
        <f t="shared" si="4"/>
        <v>0</v>
      </c>
      <c r="J30" s="218">
        <f t="shared" si="5"/>
        <v>0</v>
      </c>
      <c r="K30" s="216"/>
      <c r="L30" s="218">
        <f t="shared" si="0"/>
        <v>0</v>
      </c>
      <c r="M30" s="218">
        <f t="shared" si="6"/>
        <v>0</v>
      </c>
      <c r="N30" s="218">
        <f t="shared" si="1"/>
        <v>0</v>
      </c>
      <c r="O30" s="841">
        <f t="shared" si="7"/>
        <v>0</v>
      </c>
      <c r="P30" s="218">
        <f t="shared" si="8"/>
        <v>0</v>
      </c>
      <c r="Q30" s="216"/>
    </row>
    <row r="31" spans="2:17">
      <c r="B31" s="216">
        <v>23</v>
      </c>
      <c r="C31" s="216"/>
      <c r="D31" s="838">
        <f t="shared" si="9"/>
        <v>0</v>
      </c>
      <c r="E31" s="218">
        <f t="shared" si="2"/>
        <v>0</v>
      </c>
      <c r="F31" s="216"/>
      <c r="G31" s="216"/>
      <c r="H31" s="218">
        <f t="shared" si="3"/>
        <v>0</v>
      </c>
      <c r="I31" s="13">
        <f t="shared" si="4"/>
        <v>0</v>
      </c>
      <c r="J31" s="218">
        <f t="shared" si="5"/>
        <v>0</v>
      </c>
      <c r="K31" s="216"/>
      <c r="L31" s="218">
        <f t="shared" si="0"/>
        <v>0</v>
      </c>
      <c r="M31" s="218">
        <f t="shared" si="6"/>
        <v>0</v>
      </c>
      <c r="N31" s="218">
        <f t="shared" si="1"/>
        <v>0</v>
      </c>
      <c r="O31" s="841">
        <f t="shared" si="7"/>
        <v>0</v>
      </c>
      <c r="P31" s="218">
        <f t="shared" si="8"/>
        <v>0</v>
      </c>
      <c r="Q31" s="216"/>
    </row>
    <row r="32" spans="2:17">
      <c r="B32" s="216">
        <v>24</v>
      </c>
      <c r="C32" s="216"/>
      <c r="D32" s="838">
        <f t="shared" si="9"/>
        <v>0</v>
      </c>
      <c r="E32" s="218">
        <f t="shared" si="2"/>
        <v>0</v>
      </c>
      <c r="F32" s="216"/>
      <c r="G32" s="216"/>
      <c r="H32" s="218">
        <f t="shared" si="3"/>
        <v>0</v>
      </c>
      <c r="I32" s="13">
        <f t="shared" si="4"/>
        <v>0</v>
      </c>
      <c r="J32" s="218">
        <f t="shared" si="5"/>
        <v>0</v>
      </c>
      <c r="K32" s="216"/>
      <c r="L32" s="218">
        <f t="shared" si="0"/>
        <v>0</v>
      </c>
      <c r="M32" s="218">
        <f t="shared" si="6"/>
        <v>0</v>
      </c>
      <c r="N32" s="218">
        <f t="shared" si="1"/>
        <v>0</v>
      </c>
      <c r="O32" s="841">
        <f t="shared" si="7"/>
        <v>0</v>
      </c>
      <c r="P32" s="218">
        <f t="shared" si="8"/>
        <v>0</v>
      </c>
      <c r="Q32" s="216"/>
    </row>
    <row r="33" spans="2:22">
      <c r="B33" s="216">
        <v>25</v>
      </c>
      <c r="C33" s="216"/>
      <c r="D33" s="838">
        <f t="shared" si="9"/>
        <v>0</v>
      </c>
      <c r="E33" s="218">
        <f t="shared" si="2"/>
        <v>0</v>
      </c>
      <c r="F33" s="216"/>
      <c r="G33" s="216"/>
      <c r="H33" s="218">
        <f t="shared" si="3"/>
        <v>0</v>
      </c>
      <c r="I33" s="13">
        <f t="shared" si="4"/>
        <v>0</v>
      </c>
      <c r="J33" s="218">
        <f t="shared" si="5"/>
        <v>0</v>
      </c>
      <c r="K33" s="216"/>
      <c r="L33" s="218">
        <f t="shared" si="0"/>
        <v>0</v>
      </c>
      <c r="M33" s="218">
        <f t="shared" si="6"/>
        <v>0</v>
      </c>
      <c r="N33" s="218">
        <f t="shared" si="1"/>
        <v>0</v>
      </c>
      <c r="O33" s="841">
        <f t="shared" si="7"/>
        <v>0</v>
      </c>
      <c r="P33" s="218">
        <f t="shared" si="8"/>
        <v>0</v>
      </c>
      <c r="Q33" s="216"/>
    </row>
    <row r="34" spans="2:22">
      <c r="B34" s="216">
        <v>26</v>
      </c>
      <c r="C34" s="216"/>
      <c r="D34" s="838">
        <f t="shared" si="9"/>
        <v>0</v>
      </c>
      <c r="E34" s="218">
        <f t="shared" si="2"/>
        <v>0</v>
      </c>
      <c r="F34" s="216"/>
      <c r="G34" s="216"/>
      <c r="H34" s="218">
        <f t="shared" si="3"/>
        <v>0</v>
      </c>
      <c r="I34" s="13">
        <f t="shared" si="4"/>
        <v>0</v>
      </c>
      <c r="J34" s="218">
        <f t="shared" si="5"/>
        <v>0</v>
      </c>
      <c r="K34" s="216"/>
      <c r="L34" s="218">
        <f t="shared" si="0"/>
        <v>0</v>
      </c>
      <c r="M34" s="218">
        <f t="shared" si="6"/>
        <v>0</v>
      </c>
      <c r="N34" s="218">
        <f t="shared" si="1"/>
        <v>0</v>
      </c>
      <c r="O34" s="841">
        <f t="shared" si="7"/>
        <v>0</v>
      </c>
      <c r="P34" s="218">
        <f t="shared" si="8"/>
        <v>0</v>
      </c>
      <c r="Q34" s="216"/>
    </row>
    <row r="35" spans="2:22">
      <c r="B35" s="216">
        <v>27</v>
      </c>
      <c r="C35" s="216"/>
      <c r="D35" s="838">
        <f t="shared" si="9"/>
        <v>0</v>
      </c>
      <c r="E35" s="218">
        <f t="shared" si="2"/>
        <v>0</v>
      </c>
      <c r="F35" s="216"/>
      <c r="G35" s="216"/>
      <c r="H35" s="218">
        <f t="shared" si="3"/>
        <v>0</v>
      </c>
      <c r="I35" s="13">
        <f t="shared" si="4"/>
        <v>0</v>
      </c>
      <c r="J35" s="218">
        <f t="shared" si="5"/>
        <v>0</v>
      </c>
      <c r="K35" s="216"/>
      <c r="L35" s="218">
        <f t="shared" si="0"/>
        <v>0</v>
      </c>
      <c r="M35" s="218">
        <f t="shared" si="6"/>
        <v>0</v>
      </c>
      <c r="N35" s="218">
        <f t="shared" si="1"/>
        <v>0</v>
      </c>
      <c r="O35" s="841">
        <f t="shared" si="7"/>
        <v>0</v>
      </c>
      <c r="P35" s="218">
        <f t="shared" si="8"/>
        <v>0</v>
      </c>
      <c r="Q35" s="216"/>
    </row>
    <row r="36" spans="2:22">
      <c r="B36" s="216">
        <v>28</v>
      </c>
      <c r="C36" s="216"/>
      <c r="D36" s="838">
        <f t="shared" si="9"/>
        <v>0</v>
      </c>
      <c r="E36" s="218">
        <f t="shared" si="2"/>
        <v>0</v>
      </c>
      <c r="F36" s="216"/>
      <c r="G36" s="216"/>
      <c r="H36" s="218">
        <f t="shared" si="3"/>
        <v>0</v>
      </c>
      <c r="I36" s="13">
        <f t="shared" si="4"/>
        <v>0</v>
      </c>
      <c r="J36" s="218">
        <f t="shared" si="5"/>
        <v>0</v>
      </c>
      <c r="K36" s="216"/>
      <c r="L36" s="218">
        <f t="shared" si="0"/>
        <v>0</v>
      </c>
      <c r="M36" s="218">
        <f t="shared" si="6"/>
        <v>0</v>
      </c>
      <c r="N36" s="218">
        <f t="shared" si="1"/>
        <v>0</v>
      </c>
      <c r="O36" s="841">
        <f t="shared" si="7"/>
        <v>0</v>
      </c>
      <c r="P36" s="218">
        <f t="shared" si="8"/>
        <v>0</v>
      </c>
      <c r="Q36" s="216"/>
    </row>
    <row r="37" spans="2:22">
      <c r="B37" s="216">
        <v>29</v>
      </c>
      <c r="C37" s="216"/>
      <c r="D37" s="838">
        <f t="shared" si="9"/>
        <v>0</v>
      </c>
      <c r="E37" s="218">
        <f t="shared" si="2"/>
        <v>0</v>
      </c>
      <c r="F37" s="216"/>
      <c r="G37" s="216"/>
      <c r="H37" s="218">
        <f t="shared" si="3"/>
        <v>0</v>
      </c>
      <c r="I37" s="13">
        <f t="shared" si="4"/>
        <v>0</v>
      </c>
      <c r="J37" s="218">
        <f t="shared" si="5"/>
        <v>0</v>
      </c>
      <c r="K37" s="216"/>
      <c r="L37" s="218">
        <f t="shared" si="0"/>
        <v>0</v>
      </c>
      <c r="M37" s="218">
        <f t="shared" si="6"/>
        <v>0</v>
      </c>
      <c r="N37" s="218">
        <f t="shared" si="1"/>
        <v>0</v>
      </c>
      <c r="O37" s="841">
        <f t="shared" si="7"/>
        <v>0</v>
      </c>
      <c r="P37" s="218">
        <f t="shared" si="8"/>
        <v>0</v>
      </c>
      <c r="Q37" s="216"/>
    </row>
    <row r="38" spans="2:22">
      <c r="B38" s="216">
        <v>30</v>
      </c>
      <c r="D38" s="838">
        <f t="shared" si="9"/>
        <v>0</v>
      </c>
      <c r="E38" s="218">
        <f t="shared" si="2"/>
        <v>0</v>
      </c>
      <c r="F38" s="216"/>
      <c r="G38" s="216"/>
      <c r="H38" s="218">
        <f t="shared" si="3"/>
        <v>0</v>
      </c>
      <c r="I38" s="13">
        <f t="shared" si="4"/>
        <v>0</v>
      </c>
      <c r="J38" s="218">
        <f t="shared" si="5"/>
        <v>0</v>
      </c>
      <c r="K38" s="216"/>
      <c r="L38" s="218">
        <f t="shared" si="0"/>
        <v>0</v>
      </c>
      <c r="M38" s="218">
        <f t="shared" si="6"/>
        <v>0</v>
      </c>
      <c r="N38" s="218">
        <f t="shared" si="1"/>
        <v>0</v>
      </c>
      <c r="O38" s="841">
        <f t="shared" si="7"/>
        <v>0</v>
      </c>
      <c r="P38" s="218">
        <f t="shared" si="8"/>
        <v>0</v>
      </c>
      <c r="Q38" s="216"/>
    </row>
    <row r="39" spans="2:22">
      <c r="B39" s="222">
        <v>31</v>
      </c>
      <c r="D39" s="838"/>
      <c r="E39" s="218">
        <f t="shared" si="2"/>
        <v>0</v>
      </c>
      <c r="F39" s="222"/>
      <c r="G39" s="222"/>
      <c r="H39" s="218">
        <f t="shared" si="3"/>
        <v>0</v>
      </c>
      <c r="I39" s="13">
        <f t="shared" si="4"/>
        <v>0</v>
      </c>
      <c r="J39" s="218">
        <f t="shared" si="5"/>
        <v>0</v>
      </c>
      <c r="K39" s="222"/>
      <c r="L39" s="218">
        <f t="shared" si="0"/>
        <v>0</v>
      </c>
      <c r="M39" s="218">
        <f t="shared" si="6"/>
        <v>0</v>
      </c>
      <c r="N39" s="218">
        <f t="shared" si="1"/>
        <v>0</v>
      </c>
      <c r="O39" s="841">
        <f t="shared" si="7"/>
        <v>0</v>
      </c>
      <c r="P39" s="218">
        <f t="shared" si="8"/>
        <v>0</v>
      </c>
      <c r="Q39" s="222"/>
    </row>
    <row r="40" spans="2:22">
      <c r="B40" s="928" t="s">
        <v>10</v>
      </c>
      <c r="C40" s="929"/>
      <c r="D40" s="929"/>
      <c r="E40" s="930"/>
      <c r="F40" s="130">
        <f t="shared" ref="F40:N40" si="10">SUM(F9:F39)</f>
        <v>0</v>
      </c>
      <c r="G40" s="239">
        <f t="shared" si="10"/>
        <v>0</v>
      </c>
      <c r="H40" s="224">
        <f t="shared" si="10"/>
        <v>0</v>
      </c>
      <c r="I40" s="130"/>
      <c r="J40" s="130"/>
      <c r="K40" s="239">
        <f t="shared" si="10"/>
        <v>0</v>
      </c>
      <c r="L40" s="224">
        <f t="shared" si="10"/>
        <v>0</v>
      </c>
      <c r="M40" s="224">
        <f t="shared" si="10"/>
        <v>0</v>
      </c>
      <c r="N40" s="130">
        <f t="shared" si="10"/>
        <v>0</v>
      </c>
      <c r="O40" s="130"/>
      <c r="P40" s="130"/>
      <c r="Q40" s="3"/>
      <c r="R40">
        <v>72</v>
      </c>
      <c r="S40">
        <v>2000</v>
      </c>
      <c r="U40">
        <f>R40*S40/1000</f>
        <v>144</v>
      </c>
      <c r="V40" s="151">
        <v>144</v>
      </c>
    </row>
    <row r="41" spans="2:22">
      <c r="S41">
        <v>0.75</v>
      </c>
      <c r="U41">
        <f>U40*S41/1000</f>
        <v>0.108</v>
      </c>
      <c r="V41" s="151">
        <v>0.5</v>
      </c>
    </row>
    <row r="42" spans="2:22">
      <c r="B42" s="931" t="s">
        <v>23</v>
      </c>
      <c r="C42" s="931"/>
      <c r="D42" s="931"/>
      <c r="E42" s="931"/>
      <c r="F42" s="3"/>
      <c r="G42" s="130">
        <f>G40*S7/1000</f>
        <v>0</v>
      </c>
      <c r="J42" s="931" t="s">
        <v>36</v>
      </c>
      <c r="K42" s="931"/>
      <c r="L42" s="129">
        <f>+K40*S7/1000</f>
        <v>0</v>
      </c>
      <c r="U42" t="s">
        <v>10</v>
      </c>
      <c r="V42" s="151">
        <f>V40+V41</f>
        <v>144.5</v>
      </c>
    </row>
  </sheetData>
  <mergeCells count="20">
    <mergeCell ref="B2:Q2"/>
    <mergeCell ref="S2:T2"/>
    <mergeCell ref="B3:Q3"/>
    <mergeCell ref="S3:V3"/>
    <mergeCell ref="B4:Q4"/>
    <mergeCell ref="S4:V4"/>
    <mergeCell ref="A5:Q5"/>
    <mergeCell ref="S5:V5"/>
    <mergeCell ref="D6:F6"/>
    <mergeCell ref="G6:H6"/>
    <mergeCell ref="I6:J6"/>
    <mergeCell ref="K6:L6"/>
    <mergeCell ref="O6:P6"/>
    <mergeCell ref="S6:V6"/>
    <mergeCell ref="S7:V7"/>
    <mergeCell ref="S8:V8"/>
    <mergeCell ref="B40:E40"/>
    <mergeCell ref="B42:E42"/>
    <mergeCell ref="J42:K42"/>
    <mergeCell ref="M6:M8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43"/>
  <sheetViews>
    <sheetView topLeftCell="B1" zoomScale="80" zoomScaleNormal="80" workbookViewId="0">
      <pane ySplit="8" topLeftCell="A28" activePane="bottomLeft" state="frozen"/>
      <selection pane="bottomLeft" activeCell="G40" sqref="G40"/>
    </sheetView>
  </sheetViews>
  <sheetFormatPr defaultColWidth="9" defaultRowHeight="21"/>
  <cols>
    <col min="1" max="1" width="9" hidden="1" customWidth="1"/>
    <col min="2" max="2" width="9.140625" style="831"/>
    <col min="3" max="3" width="9" hidden="1" customWidth="1"/>
    <col min="5" max="5" width="10.42578125" customWidth="1"/>
    <col min="6" max="6" width="9" hidden="1" customWidth="1"/>
    <col min="8" max="8" width="13.28515625" style="831" customWidth="1"/>
    <col min="10" max="10" width="10.42578125" customWidth="1"/>
    <col min="11" max="11" width="10.28515625" customWidth="1"/>
    <col min="12" max="12" width="10.42578125" customWidth="1"/>
    <col min="13" max="13" width="11.7109375" style="831" customWidth="1"/>
    <col min="14" max="14" width="12" customWidth="1"/>
    <col min="15" max="15" width="8.28515625" customWidth="1"/>
    <col min="16" max="17" width="10.42578125" customWidth="1"/>
    <col min="18" max="18" width="18.28515625" customWidth="1"/>
    <col min="19" max="19" width="11.28515625" customWidth="1"/>
    <col min="20" max="20" width="3" hidden="1" customWidth="1"/>
    <col min="21" max="21" width="9" customWidth="1"/>
    <col min="22" max="22" width="6.28515625" customWidth="1"/>
    <col min="23" max="23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129"/>
      <c r="S2" s="931"/>
      <c r="T2" s="931"/>
      <c r="U2" s="129"/>
      <c r="V2" s="227"/>
      <c r="W2" s="228"/>
    </row>
    <row r="3" spans="1:23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129" t="s">
        <v>3</v>
      </c>
      <c r="S3" s="931"/>
      <c r="T3" s="931"/>
      <c r="U3" s="931"/>
      <c r="V3" s="931"/>
      <c r="W3" s="170"/>
    </row>
    <row r="4" spans="1:23">
      <c r="B4" s="939" t="s">
        <v>37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129" t="s">
        <v>5</v>
      </c>
      <c r="S4" s="931"/>
      <c r="T4" s="931"/>
      <c r="U4" s="931"/>
      <c r="V4" s="931"/>
      <c r="W4" s="170"/>
    </row>
    <row r="5" spans="1:23">
      <c r="A5" s="932" t="s">
        <v>6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933"/>
      <c r="R5" s="129" t="s">
        <v>7</v>
      </c>
      <c r="S5" s="931"/>
      <c r="T5" s="931"/>
      <c r="U5" s="931"/>
      <c r="V5" s="931"/>
      <c r="W5" s="170"/>
    </row>
    <row r="6" spans="1:23">
      <c r="B6" s="3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920" t="s">
        <v>12</v>
      </c>
      <c r="N6" s="215"/>
      <c r="O6" s="934" t="s">
        <v>13</v>
      </c>
      <c r="P6" s="934"/>
      <c r="Q6" s="225" t="s">
        <v>14</v>
      </c>
      <c r="R6" s="129" t="s">
        <v>15</v>
      </c>
      <c r="S6" s="931">
        <v>437.38400000000001</v>
      </c>
      <c r="T6" s="931"/>
      <c r="U6" s="931"/>
      <c r="V6" s="931"/>
      <c r="W6" s="170"/>
    </row>
    <row r="7" spans="1:23">
      <c r="B7" s="312"/>
      <c r="C7" s="216"/>
      <c r="D7" s="217" t="s">
        <v>16</v>
      </c>
      <c r="E7" s="217" t="s">
        <v>17</v>
      </c>
      <c r="F7" s="217"/>
      <c r="G7" s="217" t="s">
        <v>16</v>
      </c>
      <c r="H7" s="918" t="s">
        <v>38</v>
      </c>
      <c r="I7" s="217" t="s">
        <v>16</v>
      </c>
      <c r="J7" s="217" t="s">
        <v>17</v>
      </c>
      <c r="K7" s="217" t="s">
        <v>16</v>
      </c>
      <c r="L7" s="217" t="s">
        <v>18</v>
      </c>
      <c r="M7" s="921"/>
      <c r="N7" s="217"/>
      <c r="O7" s="217" t="s">
        <v>16</v>
      </c>
      <c r="P7" s="217" t="s">
        <v>17</v>
      </c>
      <c r="Q7" s="226"/>
      <c r="R7" s="129" t="s">
        <v>19</v>
      </c>
      <c r="S7" s="941">
        <v>3.28</v>
      </c>
      <c r="T7" s="941"/>
      <c r="U7" s="941"/>
      <c r="V7" s="941"/>
      <c r="W7" s="170"/>
    </row>
    <row r="8" spans="1:23">
      <c r="B8" s="312"/>
      <c r="C8" s="216"/>
      <c r="D8" s="217" t="s">
        <v>21</v>
      </c>
      <c r="E8" s="217" t="s">
        <v>22</v>
      </c>
      <c r="F8" s="217"/>
      <c r="G8" s="217" t="s">
        <v>21</v>
      </c>
      <c r="H8" s="919"/>
      <c r="I8" s="217" t="s">
        <v>21</v>
      </c>
      <c r="J8" s="217" t="s">
        <v>22</v>
      </c>
      <c r="K8" s="217" t="s">
        <v>21</v>
      </c>
      <c r="L8" s="217" t="s">
        <v>22</v>
      </c>
      <c r="M8" s="919"/>
      <c r="N8" s="217" t="s">
        <v>23</v>
      </c>
      <c r="O8" s="217" t="s">
        <v>21</v>
      </c>
      <c r="P8" s="217" t="s">
        <v>22</v>
      </c>
      <c r="Q8" s="226"/>
      <c r="R8" s="129" t="s">
        <v>24</v>
      </c>
      <c r="S8" s="931">
        <f>S6+S7</f>
        <v>440.66399999999999</v>
      </c>
      <c r="T8" s="931"/>
      <c r="U8" s="931"/>
      <c r="V8" s="931"/>
      <c r="W8" s="170"/>
    </row>
    <row r="9" spans="1:23">
      <c r="B9" s="312">
        <v>1</v>
      </c>
      <c r="C9" s="216"/>
      <c r="D9" s="13">
        <v>40</v>
      </c>
      <c r="E9" s="218">
        <f>$S$8*D9/1000</f>
        <v>17.626559999999998</v>
      </c>
      <c r="F9" s="13"/>
      <c r="G9" s="13"/>
      <c r="H9" s="317">
        <f>$S$8*G9/1000</f>
        <v>0</v>
      </c>
      <c r="I9" s="13">
        <f>D9+G9</f>
        <v>40</v>
      </c>
      <c r="J9" s="218">
        <f>$S$8*I9/1000</f>
        <v>17.626559999999998</v>
      </c>
      <c r="K9" s="13">
        <v>40</v>
      </c>
      <c r="L9" s="218">
        <f>K9*S$6/1000</f>
        <v>17.495360000000002</v>
      </c>
      <c r="M9" s="317">
        <f>K9*S$8/1000</f>
        <v>17.626559999999998</v>
      </c>
      <c r="N9" s="218">
        <f>K9*S$7/1000</f>
        <v>0.13119999999999998</v>
      </c>
      <c r="O9" s="841">
        <f t="shared" ref="O9:O39" si="0">I9-K9</f>
        <v>0</v>
      </c>
      <c r="P9" s="218">
        <f>$S$8*O9/1000</f>
        <v>0</v>
      </c>
      <c r="Q9" s="218">
        <f>P9*T8/1000</f>
        <v>0</v>
      </c>
      <c r="W9" s="170"/>
    </row>
    <row r="10" spans="1:23">
      <c r="B10" s="312">
        <v>2</v>
      </c>
      <c r="C10" s="216"/>
      <c r="D10" s="838">
        <f>+O9</f>
        <v>0</v>
      </c>
      <c r="E10" s="218">
        <f t="shared" ref="E10:E39" si="1">$S$8*D10/1000</f>
        <v>0</v>
      </c>
      <c r="F10" s="216"/>
      <c r="G10" s="216">
        <v>3</v>
      </c>
      <c r="H10" s="317">
        <f t="shared" ref="H10:H39" si="2">$S$8*G10/1000</f>
        <v>1.3219920000000001</v>
      </c>
      <c r="I10" s="13">
        <f t="shared" ref="I10:I39" si="3">D10+G10</f>
        <v>3</v>
      </c>
      <c r="J10" s="218">
        <f t="shared" ref="J10:J39" si="4">$S$8*I10/1000</f>
        <v>1.3219920000000001</v>
      </c>
      <c r="K10" s="216"/>
      <c r="L10" s="218">
        <f t="shared" ref="L10:L39" si="5">K10*S$6/1000</f>
        <v>0</v>
      </c>
      <c r="M10" s="317">
        <f t="shared" ref="M10:M39" si="6">K10*S$8/1000</f>
        <v>0</v>
      </c>
      <c r="N10" s="218">
        <f t="shared" ref="N10:N39" si="7">K10*S$7/1000</f>
        <v>0</v>
      </c>
      <c r="O10" s="841">
        <f t="shared" si="0"/>
        <v>3</v>
      </c>
      <c r="P10" s="218">
        <f t="shared" ref="P10:P39" si="8">$S$8*O10/1000</f>
        <v>1.3219920000000001</v>
      </c>
      <c r="Q10" s="216"/>
    </row>
    <row r="11" spans="1:23">
      <c r="B11" s="312">
        <v>3</v>
      </c>
      <c r="C11" s="216"/>
      <c r="D11" s="838">
        <f t="shared" ref="D11:D38" si="9">+O10</f>
        <v>3</v>
      </c>
      <c r="E11" s="218">
        <f t="shared" si="1"/>
        <v>1.3219920000000001</v>
      </c>
      <c r="F11" s="216"/>
      <c r="G11" s="216">
        <v>3</v>
      </c>
      <c r="H11" s="317">
        <f t="shared" si="2"/>
        <v>1.3219920000000001</v>
      </c>
      <c r="I11" s="13">
        <f t="shared" si="3"/>
        <v>6</v>
      </c>
      <c r="J11" s="218">
        <f t="shared" si="4"/>
        <v>2.6439840000000001</v>
      </c>
      <c r="K11" s="216"/>
      <c r="L11" s="218">
        <f t="shared" si="5"/>
        <v>0</v>
      </c>
      <c r="M11" s="317">
        <f t="shared" si="6"/>
        <v>0</v>
      </c>
      <c r="N11" s="218">
        <f t="shared" si="7"/>
        <v>0</v>
      </c>
      <c r="O11" s="841">
        <f t="shared" si="0"/>
        <v>6</v>
      </c>
      <c r="P11" s="218">
        <f t="shared" si="8"/>
        <v>2.6439840000000001</v>
      </c>
      <c r="Q11" s="216"/>
    </row>
    <row r="12" spans="1:23">
      <c r="B12" s="312">
        <v>4</v>
      </c>
      <c r="C12" s="216"/>
      <c r="D12" s="838">
        <f t="shared" si="9"/>
        <v>6</v>
      </c>
      <c r="E12" s="218">
        <f t="shared" si="1"/>
        <v>2.6439840000000001</v>
      </c>
      <c r="F12" s="216"/>
      <c r="G12" s="216">
        <v>3</v>
      </c>
      <c r="H12" s="317">
        <f t="shared" si="2"/>
        <v>1.3219920000000001</v>
      </c>
      <c r="I12" s="13">
        <f t="shared" si="3"/>
        <v>9</v>
      </c>
      <c r="J12" s="218">
        <f t="shared" si="4"/>
        <v>3.9659759999999995</v>
      </c>
      <c r="K12" s="216"/>
      <c r="L12" s="218">
        <f t="shared" si="5"/>
        <v>0</v>
      </c>
      <c r="M12" s="317">
        <f t="shared" si="6"/>
        <v>0</v>
      </c>
      <c r="N12" s="218">
        <f t="shared" si="7"/>
        <v>0</v>
      </c>
      <c r="O12" s="841">
        <f t="shared" si="0"/>
        <v>9</v>
      </c>
      <c r="P12" s="218">
        <f t="shared" si="8"/>
        <v>3.9659759999999995</v>
      </c>
      <c r="Q12" s="216"/>
    </row>
    <row r="13" spans="1:23">
      <c r="B13" s="312">
        <v>5</v>
      </c>
      <c r="C13" s="216"/>
      <c r="D13" s="838">
        <f t="shared" si="9"/>
        <v>9</v>
      </c>
      <c r="E13" s="218">
        <f t="shared" si="1"/>
        <v>3.9659759999999995</v>
      </c>
      <c r="F13" s="216"/>
      <c r="G13" s="216">
        <v>8</v>
      </c>
      <c r="H13" s="317">
        <f t="shared" si="2"/>
        <v>3.525312</v>
      </c>
      <c r="I13" s="13">
        <f t="shared" si="3"/>
        <v>17</v>
      </c>
      <c r="J13" s="218">
        <f t="shared" si="4"/>
        <v>7.4912879999999999</v>
      </c>
      <c r="K13" s="216">
        <v>12</v>
      </c>
      <c r="L13" s="218">
        <f t="shared" si="5"/>
        <v>5.2486079999999999</v>
      </c>
      <c r="M13" s="317">
        <f t="shared" si="6"/>
        <v>5.2879680000000002</v>
      </c>
      <c r="N13" s="218">
        <f t="shared" si="7"/>
        <v>3.9359999999999999E-2</v>
      </c>
      <c r="O13" s="841">
        <f t="shared" si="0"/>
        <v>5</v>
      </c>
      <c r="P13" s="218">
        <f t="shared" si="8"/>
        <v>2.2033199999999997</v>
      </c>
      <c r="Q13" s="216"/>
    </row>
    <row r="14" spans="1:23">
      <c r="B14" s="312">
        <v>6</v>
      </c>
      <c r="C14" s="216"/>
      <c r="D14" s="838">
        <f t="shared" si="9"/>
        <v>5</v>
      </c>
      <c r="E14" s="218">
        <f t="shared" si="1"/>
        <v>2.2033199999999997</v>
      </c>
      <c r="F14" s="216"/>
      <c r="G14" s="216">
        <v>6</v>
      </c>
      <c r="H14" s="317">
        <f t="shared" si="2"/>
        <v>2.6439840000000001</v>
      </c>
      <c r="I14" s="13">
        <f t="shared" si="3"/>
        <v>11</v>
      </c>
      <c r="J14" s="218">
        <f t="shared" si="4"/>
        <v>4.8473040000000003</v>
      </c>
      <c r="K14" s="216"/>
      <c r="L14" s="218">
        <f t="shared" si="5"/>
        <v>0</v>
      </c>
      <c r="M14" s="317">
        <f t="shared" si="6"/>
        <v>0</v>
      </c>
      <c r="N14" s="218">
        <f t="shared" si="7"/>
        <v>0</v>
      </c>
      <c r="O14" s="841">
        <f t="shared" si="0"/>
        <v>11</v>
      </c>
      <c r="P14" s="218">
        <f t="shared" si="8"/>
        <v>4.8473040000000003</v>
      </c>
      <c r="Q14" s="216"/>
    </row>
    <row r="15" spans="1:23">
      <c r="B15" s="312">
        <v>7</v>
      </c>
      <c r="C15" s="216"/>
      <c r="D15" s="838">
        <f t="shared" si="9"/>
        <v>11</v>
      </c>
      <c r="E15" s="218">
        <f t="shared" si="1"/>
        <v>4.8473040000000003</v>
      </c>
      <c r="F15" s="216"/>
      <c r="G15" s="216">
        <v>4</v>
      </c>
      <c r="H15" s="317">
        <f t="shared" si="2"/>
        <v>1.762656</v>
      </c>
      <c r="I15" s="13">
        <f t="shared" si="3"/>
        <v>15</v>
      </c>
      <c r="J15" s="218">
        <f t="shared" si="4"/>
        <v>6.6099600000000001</v>
      </c>
      <c r="K15" s="216"/>
      <c r="L15" s="218">
        <f t="shared" si="5"/>
        <v>0</v>
      </c>
      <c r="M15" s="317">
        <f t="shared" si="6"/>
        <v>0</v>
      </c>
      <c r="N15" s="218">
        <f t="shared" si="7"/>
        <v>0</v>
      </c>
      <c r="O15" s="841">
        <f t="shared" si="0"/>
        <v>15</v>
      </c>
      <c r="P15" s="218">
        <f t="shared" si="8"/>
        <v>6.6099600000000001</v>
      </c>
      <c r="Q15" s="216"/>
    </row>
    <row r="16" spans="1:23">
      <c r="B16" s="312">
        <v>8</v>
      </c>
      <c r="C16" s="216"/>
      <c r="D16" s="838">
        <f t="shared" si="9"/>
        <v>15</v>
      </c>
      <c r="E16" s="218">
        <f t="shared" si="1"/>
        <v>6.6099600000000001</v>
      </c>
      <c r="F16" s="216"/>
      <c r="G16" s="216">
        <v>0</v>
      </c>
      <c r="H16" s="317">
        <f t="shared" si="2"/>
        <v>0</v>
      </c>
      <c r="I16" s="13">
        <f t="shared" si="3"/>
        <v>15</v>
      </c>
      <c r="J16" s="218">
        <f t="shared" si="4"/>
        <v>6.6099600000000001</v>
      </c>
      <c r="K16" s="216"/>
      <c r="L16" s="218">
        <f t="shared" si="5"/>
        <v>0</v>
      </c>
      <c r="M16" s="317">
        <f t="shared" si="6"/>
        <v>0</v>
      </c>
      <c r="N16" s="218">
        <f t="shared" si="7"/>
        <v>0</v>
      </c>
      <c r="O16" s="841">
        <f t="shared" si="0"/>
        <v>15</v>
      </c>
      <c r="P16" s="218">
        <f t="shared" si="8"/>
        <v>6.6099600000000001</v>
      </c>
      <c r="Q16" s="216"/>
      <c r="U16" s="831"/>
    </row>
    <row r="17" spans="2:17">
      <c r="B17" s="312">
        <v>9</v>
      </c>
      <c r="C17" s="216"/>
      <c r="D17" s="838">
        <f t="shared" si="9"/>
        <v>15</v>
      </c>
      <c r="E17" s="218">
        <f t="shared" si="1"/>
        <v>6.6099600000000001</v>
      </c>
      <c r="F17" s="216"/>
      <c r="G17" s="216">
        <v>7</v>
      </c>
      <c r="H17" s="317">
        <f t="shared" si="2"/>
        <v>3.0846480000000001</v>
      </c>
      <c r="I17" s="13">
        <f t="shared" si="3"/>
        <v>22</v>
      </c>
      <c r="J17" s="218">
        <f t="shared" si="4"/>
        <v>9.6946080000000006</v>
      </c>
      <c r="K17" s="216">
        <v>22</v>
      </c>
      <c r="L17" s="218">
        <f t="shared" si="5"/>
        <v>9.6224480000000003</v>
      </c>
      <c r="M17" s="317">
        <f t="shared" si="6"/>
        <v>9.6946080000000006</v>
      </c>
      <c r="N17" s="218">
        <f t="shared" si="7"/>
        <v>7.2160000000000002E-2</v>
      </c>
      <c r="O17" s="841">
        <f t="shared" si="0"/>
        <v>0</v>
      </c>
      <c r="P17" s="218">
        <f t="shared" si="8"/>
        <v>0</v>
      </c>
      <c r="Q17" s="216"/>
    </row>
    <row r="18" spans="2:17">
      <c r="B18" s="312">
        <v>10</v>
      </c>
      <c r="C18" s="216"/>
      <c r="D18" s="838">
        <f t="shared" si="9"/>
        <v>0</v>
      </c>
      <c r="E18" s="218">
        <f t="shared" si="1"/>
        <v>0</v>
      </c>
      <c r="F18" s="216"/>
      <c r="G18" s="216"/>
      <c r="H18" s="317">
        <f t="shared" si="2"/>
        <v>0</v>
      </c>
      <c r="I18" s="13">
        <f t="shared" si="3"/>
        <v>0</v>
      </c>
      <c r="J18" s="218">
        <f t="shared" si="4"/>
        <v>0</v>
      </c>
      <c r="K18" s="216"/>
      <c r="L18" s="218">
        <f t="shared" si="5"/>
        <v>0</v>
      </c>
      <c r="M18" s="317">
        <f t="shared" si="6"/>
        <v>0</v>
      </c>
      <c r="N18" s="218">
        <f t="shared" si="7"/>
        <v>0</v>
      </c>
      <c r="O18" s="841">
        <f t="shared" si="0"/>
        <v>0</v>
      </c>
      <c r="P18" s="218">
        <f t="shared" si="8"/>
        <v>0</v>
      </c>
      <c r="Q18" s="216"/>
    </row>
    <row r="19" spans="2:17">
      <c r="B19" s="312">
        <v>11</v>
      </c>
      <c r="C19" s="216"/>
      <c r="D19" s="838">
        <f t="shared" si="9"/>
        <v>0</v>
      </c>
      <c r="E19" s="218">
        <f t="shared" si="1"/>
        <v>0</v>
      </c>
      <c r="F19" s="216"/>
      <c r="G19" s="216"/>
      <c r="H19" s="317">
        <f t="shared" si="2"/>
        <v>0</v>
      </c>
      <c r="I19" s="13">
        <f t="shared" si="3"/>
        <v>0</v>
      </c>
      <c r="J19" s="218">
        <f t="shared" si="4"/>
        <v>0</v>
      </c>
      <c r="K19" s="216"/>
      <c r="L19" s="218">
        <f t="shared" si="5"/>
        <v>0</v>
      </c>
      <c r="M19" s="317">
        <f t="shared" si="6"/>
        <v>0</v>
      </c>
      <c r="N19" s="218">
        <f t="shared" si="7"/>
        <v>0</v>
      </c>
      <c r="O19" s="841">
        <f t="shared" si="0"/>
        <v>0</v>
      </c>
      <c r="P19" s="218">
        <f t="shared" si="8"/>
        <v>0</v>
      </c>
      <c r="Q19" s="216"/>
    </row>
    <row r="20" spans="2:17">
      <c r="B20" s="312">
        <v>12</v>
      </c>
      <c r="C20" s="216"/>
      <c r="D20" s="838">
        <f t="shared" si="9"/>
        <v>0</v>
      </c>
      <c r="E20" s="218">
        <f t="shared" si="1"/>
        <v>0</v>
      </c>
      <c r="F20" s="216"/>
      <c r="G20" s="216">
        <v>2</v>
      </c>
      <c r="H20" s="317">
        <f t="shared" si="2"/>
        <v>0.881328</v>
      </c>
      <c r="I20" s="13">
        <f t="shared" si="3"/>
        <v>2</v>
      </c>
      <c r="J20" s="218">
        <f t="shared" si="4"/>
        <v>0.881328</v>
      </c>
      <c r="K20" s="216"/>
      <c r="L20" s="218">
        <f t="shared" si="5"/>
        <v>0</v>
      </c>
      <c r="M20" s="317">
        <f t="shared" si="6"/>
        <v>0</v>
      </c>
      <c r="N20" s="218">
        <f t="shared" si="7"/>
        <v>0</v>
      </c>
      <c r="O20" s="841">
        <f t="shared" si="0"/>
        <v>2</v>
      </c>
      <c r="P20" s="218">
        <f t="shared" si="8"/>
        <v>0.881328</v>
      </c>
      <c r="Q20" s="216"/>
    </row>
    <row r="21" spans="2:17">
      <c r="B21" s="312">
        <v>13</v>
      </c>
      <c r="C21" s="216"/>
      <c r="D21" s="838">
        <f t="shared" si="9"/>
        <v>2</v>
      </c>
      <c r="E21" s="218">
        <f t="shared" si="1"/>
        <v>0.881328</v>
      </c>
      <c r="F21" s="216"/>
      <c r="G21" s="216"/>
      <c r="H21" s="317">
        <f t="shared" si="2"/>
        <v>0</v>
      </c>
      <c r="I21" s="13">
        <f t="shared" si="3"/>
        <v>2</v>
      </c>
      <c r="J21" s="218">
        <f t="shared" si="4"/>
        <v>0.881328</v>
      </c>
      <c r="K21" s="216"/>
      <c r="L21" s="218">
        <f t="shared" si="5"/>
        <v>0</v>
      </c>
      <c r="M21" s="317">
        <f t="shared" si="6"/>
        <v>0</v>
      </c>
      <c r="N21" s="218">
        <f t="shared" si="7"/>
        <v>0</v>
      </c>
      <c r="O21" s="841">
        <f t="shared" si="0"/>
        <v>2</v>
      </c>
      <c r="P21" s="218">
        <f t="shared" si="8"/>
        <v>0.881328</v>
      </c>
      <c r="Q21" s="216"/>
    </row>
    <row r="22" spans="2:17">
      <c r="B22" s="312">
        <v>14</v>
      </c>
      <c r="C22" s="216"/>
      <c r="D22" s="838">
        <f t="shared" si="9"/>
        <v>2</v>
      </c>
      <c r="E22" s="218">
        <f t="shared" si="1"/>
        <v>0.881328</v>
      </c>
      <c r="F22" s="216"/>
      <c r="G22" s="216"/>
      <c r="H22" s="317">
        <f t="shared" si="2"/>
        <v>0</v>
      </c>
      <c r="I22" s="13">
        <f t="shared" si="3"/>
        <v>2</v>
      </c>
      <c r="J22" s="218">
        <f t="shared" si="4"/>
        <v>0.881328</v>
      </c>
      <c r="K22" s="216"/>
      <c r="L22" s="218">
        <f t="shared" si="5"/>
        <v>0</v>
      </c>
      <c r="M22" s="317">
        <f t="shared" si="6"/>
        <v>0</v>
      </c>
      <c r="N22" s="218">
        <f t="shared" si="7"/>
        <v>0</v>
      </c>
      <c r="O22" s="841">
        <f t="shared" si="0"/>
        <v>2</v>
      </c>
      <c r="P22" s="218">
        <f t="shared" si="8"/>
        <v>0.881328</v>
      </c>
      <c r="Q22" s="216"/>
    </row>
    <row r="23" spans="2:17">
      <c r="B23" s="312">
        <v>15</v>
      </c>
      <c r="C23" s="216"/>
      <c r="D23" s="838">
        <f t="shared" si="9"/>
        <v>2</v>
      </c>
      <c r="E23" s="218">
        <f t="shared" si="1"/>
        <v>0.881328</v>
      </c>
      <c r="F23" s="216"/>
      <c r="G23" s="216"/>
      <c r="H23" s="317">
        <f t="shared" si="2"/>
        <v>0</v>
      </c>
      <c r="I23" s="13">
        <f t="shared" si="3"/>
        <v>2</v>
      </c>
      <c r="J23" s="218">
        <f t="shared" si="4"/>
        <v>0.881328</v>
      </c>
      <c r="K23" s="216"/>
      <c r="L23" s="218">
        <f t="shared" si="5"/>
        <v>0</v>
      </c>
      <c r="M23" s="317">
        <f t="shared" si="6"/>
        <v>0</v>
      </c>
      <c r="N23" s="218">
        <f t="shared" si="7"/>
        <v>0</v>
      </c>
      <c r="O23" s="841">
        <f t="shared" si="0"/>
        <v>2</v>
      </c>
      <c r="P23" s="218">
        <f t="shared" si="8"/>
        <v>0.881328</v>
      </c>
      <c r="Q23" s="216"/>
    </row>
    <row r="24" spans="2:17">
      <c r="B24" s="312">
        <v>16</v>
      </c>
      <c r="C24" s="216"/>
      <c r="D24" s="838">
        <f t="shared" si="9"/>
        <v>2</v>
      </c>
      <c r="E24" s="218">
        <f t="shared" si="1"/>
        <v>0.881328</v>
      </c>
      <c r="F24" s="216"/>
      <c r="G24" s="216">
        <v>7</v>
      </c>
      <c r="H24" s="317">
        <f t="shared" si="2"/>
        <v>3.0846480000000001</v>
      </c>
      <c r="I24" s="13">
        <f t="shared" si="3"/>
        <v>9</v>
      </c>
      <c r="J24" s="218">
        <f t="shared" si="4"/>
        <v>3.9659759999999995</v>
      </c>
      <c r="K24" s="216">
        <v>5</v>
      </c>
      <c r="L24" s="218">
        <f t="shared" si="5"/>
        <v>2.1869200000000002</v>
      </c>
      <c r="M24" s="317">
        <f t="shared" si="6"/>
        <v>2.2033199999999997</v>
      </c>
      <c r="N24" s="218">
        <f t="shared" si="7"/>
        <v>1.6399999999999998E-2</v>
      </c>
      <c r="O24" s="841">
        <f t="shared" si="0"/>
        <v>4</v>
      </c>
      <c r="P24" s="218">
        <f t="shared" si="8"/>
        <v>1.762656</v>
      </c>
      <c r="Q24" s="216"/>
    </row>
    <row r="25" spans="2:17">
      <c r="B25" s="312">
        <v>17</v>
      </c>
      <c r="C25" s="216"/>
      <c r="D25" s="838">
        <f t="shared" si="9"/>
        <v>4</v>
      </c>
      <c r="E25" s="218">
        <f t="shared" si="1"/>
        <v>1.762656</v>
      </c>
      <c r="F25" s="216"/>
      <c r="G25" s="216"/>
      <c r="H25" s="317">
        <f t="shared" si="2"/>
        <v>0</v>
      </c>
      <c r="I25" s="13">
        <f t="shared" si="3"/>
        <v>4</v>
      </c>
      <c r="J25" s="218">
        <f t="shared" si="4"/>
        <v>1.762656</v>
      </c>
      <c r="K25" s="216"/>
      <c r="L25" s="218">
        <f t="shared" si="5"/>
        <v>0</v>
      </c>
      <c r="M25" s="317">
        <f t="shared" si="6"/>
        <v>0</v>
      </c>
      <c r="N25" s="218">
        <f t="shared" si="7"/>
        <v>0</v>
      </c>
      <c r="O25" s="841">
        <f t="shared" si="0"/>
        <v>4</v>
      </c>
      <c r="P25" s="218">
        <f t="shared" si="8"/>
        <v>1.762656</v>
      </c>
      <c r="Q25" s="216"/>
    </row>
    <row r="26" spans="2:17">
      <c r="B26" s="312">
        <v>18</v>
      </c>
      <c r="C26" s="216"/>
      <c r="D26" s="838">
        <f t="shared" si="9"/>
        <v>4</v>
      </c>
      <c r="E26" s="218">
        <f t="shared" si="1"/>
        <v>1.762656</v>
      </c>
      <c r="F26" s="216"/>
      <c r="G26" s="216"/>
      <c r="H26" s="317">
        <f t="shared" si="2"/>
        <v>0</v>
      </c>
      <c r="I26" s="13">
        <f t="shared" si="3"/>
        <v>4</v>
      </c>
      <c r="J26" s="218">
        <f t="shared" si="4"/>
        <v>1.762656</v>
      </c>
      <c r="K26" s="216"/>
      <c r="L26" s="218">
        <f t="shared" si="5"/>
        <v>0</v>
      </c>
      <c r="M26" s="317">
        <f t="shared" si="6"/>
        <v>0</v>
      </c>
      <c r="N26" s="218">
        <f t="shared" si="7"/>
        <v>0</v>
      </c>
      <c r="O26" s="841">
        <f t="shared" si="0"/>
        <v>4</v>
      </c>
      <c r="P26" s="218">
        <f t="shared" si="8"/>
        <v>1.762656</v>
      </c>
      <c r="Q26" s="216"/>
    </row>
    <row r="27" spans="2:17">
      <c r="B27" s="312">
        <v>19</v>
      </c>
      <c r="C27" s="216"/>
      <c r="D27" s="838">
        <f t="shared" si="9"/>
        <v>4</v>
      </c>
      <c r="E27" s="218">
        <f t="shared" si="1"/>
        <v>1.762656</v>
      </c>
      <c r="F27" s="216"/>
      <c r="G27" s="216"/>
      <c r="H27" s="317">
        <f t="shared" si="2"/>
        <v>0</v>
      </c>
      <c r="I27" s="13">
        <f t="shared" si="3"/>
        <v>4</v>
      </c>
      <c r="J27" s="218">
        <f t="shared" si="4"/>
        <v>1.762656</v>
      </c>
      <c r="K27" s="216"/>
      <c r="L27" s="218">
        <f t="shared" si="5"/>
        <v>0</v>
      </c>
      <c r="M27" s="317">
        <f t="shared" si="6"/>
        <v>0</v>
      </c>
      <c r="N27" s="218">
        <f t="shared" si="7"/>
        <v>0</v>
      </c>
      <c r="O27" s="841">
        <f t="shared" si="0"/>
        <v>4</v>
      </c>
      <c r="P27" s="218">
        <f t="shared" si="8"/>
        <v>1.762656</v>
      </c>
      <c r="Q27" s="216"/>
    </row>
    <row r="28" spans="2:17">
      <c r="B28" s="312">
        <v>20</v>
      </c>
      <c r="C28" s="216"/>
      <c r="D28" s="838">
        <f t="shared" si="9"/>
        <v>4</v>
      </c>
      <c r="E28" s="218">
        <f t="shared" si="1"/>
        <v>1.762656</v>
      </c>
      <c r="F28" s="216"/>
      <c r="G28" s="216"/>
      <c r="H28" s="317">
        <f t="shared" si="2"/>
        <v>0</v>
      </c>
      <c r="I28" s="13">
        <f t="shared" si="3"/>
        <v>4</v>
      </c>
      <c r="J28" s="218">
        <f t="shared" si="4"/>
        <v>1.762656</v>
      </c>
      <c r="K28" s="216"/>
      <c r="L28" s="218">
        <f t="shared" si="5"/>
        <v>0</v>
      </c>
      <c r="M28" s="317">
        <f t="shared" si="6"/>
        <v>0</v>
      </c>
      <c r="N28" s="218">
        <f t="shared" si="7"/>
        <v>0</v>
      </c>
      <c r="O28" s="841">
        <f t="shared" si="0"/>
        <v>4</v>
      </c>
      <c r="P28" s="218">
        <f t="shared" si="8"/>
        <v>1.762656</v>
      </c>
      <c r="Q28" s="216"/>
    </row>
    <row r="29" spans="2:17">
      <c r="B29" s="312">
        <v>21</v>
      </c>
      <c r="C29" s="216"/>
      <c r="D29" s="838">
        <f t="shared" si="9"/>
        <v>4</v>
      </c>
      <c r="E29" s="218">
        <f t="shared" si="1"/>
        <v>1.762656</v>
      </c>
      <c r="F29" s="216"/>
      <c r="G29" s="216"/>
      <c r="H29" s="317">
        <f t="shared" si="2"/>
        <v>0</v>
      </c>
      <c r="I29" s="13">
        <f t="shared" si="3"/>
        <v>4</v>
      </c>
      <c r="J29" s="218">
        <f t="shared" si="4"/>
        <v>1.762656</v>
      </c>
      <c r="K29" s="216"/>
      <c r="L29" s="218">
        <f t="shared" si="5"/>
        <v>0</v>
      </c>
      <c r="M29" s="317">
        <f t="shared" si="6"/>
        <v>0</v>
      </c>
      <c r="N29" s="218">
        <f t="shared" si="7"/>
        <v>0</v>
      </c>
      <c r="O29" s="841">
        <f t="shared" si="0"/>
        <v>4</v>
      </c>
      <c r="P29" s="218">
        <f t="shared" si="8"/>
        <v>1.762656</v>
      </c>
      <c r="Q29" s="216"/>
    </row>
    <row r="30" spans="2:17">
      <c r="B30" s="312">
        <v>22</v>
      </c>
      <c r="C30" s="216"/>
      <c r="D30" s="838">
        <f t="shared" si="9"/>
        <v>4</v>
      </c>
      <c r="E30" s="218">
        <f t="shared" si="1"/>
        <v>1.762656</v>
      </c>
      <c r="F30" s="216"/>
      <c r="G30" s="216">
        <v>0</v>
      </c>
      <c r="H30" s="317">
        <f t="shared" si="2"/>
        <v>0</v>
      </c>
      <c r="I30" s="13">
        <f t="shared" si="3"/>
        <v>4</v>
      </c>
      <c r="J30" s="218">
        <f t="shared" si="4"/>
        <v>1.762656</v>
      </c>
      <c r="K30" s="216"/>
      <c r="L30" s="218">
        <f t="shared" si="5"/>
        <v>0</v>
      </c>
      <c r="M30" s="317">
        <f t="shared" si="6"/>
        <v>0</v>
      </c>
      <c r="N30" s="218">
        <f t="shared" si="7"/>
        <v>0</v>
      </c>
      <c r="O30" s="841">
        <f t="shared" si="0"/>
        <v>4</v>
      </c>
      <c r="P30" s="218">
        <f t="shared" si="8"/>
        <v>1.762656</v>
      </c>
      <c r="Q30" s="216"/>
    </row>
    <row r="31" spans="2:17">
      <c r="B31" s="312">
        <v>23</v>
      </c>
      <c r="C31" s="216"/>
      <c r="D31" s="838">
        <f t="shared" si="9"/>
        <v>4</v>
      </c>
      <c r="E31" s="218">
        <f t="shared" si="1"/>
        <v>1.762656</v>
      </c>
      <c r="F31" s="216"/>
      <c r="G31" s="216">
        <v>8</v>
      </c>
      <c r="H31" s="317">
        <f t="shared" si="2"/>
        <v>3.525312</v>
      </c>
      <c r="I31" s="13">
        <f t="shared" si="3"/>
        <v>12</v>
      </c>
      <c r="J31" s="218">
        <f t="shared" si="4"/>
        <v>5.2879680000000002</v>
      </c>
      <c r="K31" s="216"/>
      <c r="L31" s="218">
        <f t="shared" si="5"/>
        <v>0</v>
      </c>
      <c r="M31" s="317">
        <f t="shared" si="6"/>
        <v>0</v>
      </c>
      <c r="N31" s="218">
        <f t="shared" si="7"/>
        <v>0</v>
      </c>
      <c r="O31" s="841">
        <f t="shared" si="0"/>
        <v>12</v>
      </c>
      <c r="P31" s="218">
        <f t="shared" si="8"/>
        <v>5.2879680000000002</v>
      </c>
      <c r="Q31" s="216"/>
    </row>
    <row r="32" spans="2:17">
      <c r="B32" s="312">
        <v>24</v>
      </c>
      <c r="C32" s="216"/>
      <c r="D32" s="838">
        <f t="shared" si="9"/>
        <v>12</v>
      </c>
      <c r="E32" s="218">
        <f t="shared" si="1"/>
        <v>5.2879680000000002</v>
      </c>
      <c r="F32" s="216"/>
      <c r="G32" s="216">
        <v>5</v>
      </c>
      <c r="H32" s="317">
        <f t="shared" si="2"/>
        <v>2.2033199999999997</v>
      </c>
      <c r="I32" s="13">
        <f t="shared" si="3"/>
        <v>17</v>
      </c>
      <c r="J32" s="218">
        <f t="shared" si="4"/>
        <v>7.4912879999999999</v>
      </c>
      <c r="K32" s="216"/>
      <c r="L32" s="218">
        <f t="shared" si="5"/>
        <v>0</v>
      </c>
      <c r="M32" s="317">
        <f t="shared" si="6"/>
        <v>0</v>
      </c>
      <c r="N32" s="218">
        <f t="shared" si="7"/>
        <v>0</v>
      </c>
      <c r="O32" s="841">
        <f t="shared" si="0"/>
        <v>17</v>
      </c>
      <c r="P32" s="218">
        <f t="shared" si="8"/>
        <v>7.4912879999999999</v>
      </c>
      <c r="Q32" s="216"/>
    </row>
    <row r="33" spans="2:24">
      <c r="B33" s="312">
        <v>25</v>
      </c>
      <c r="C33" s="216"/>
      <c r="D33" s="838">
        <f t="shared" si="9"/>
        <v>17</v>
      </c>
      <c r="E33" s="218">
        <f t="shared" si="1"/>
        <v>7.4912879999999999</v>
      </c>
      <c r="F33" s="216"/>
      <c r="G33" s="216"/>
      <c r="H33" s="317">
        <f t="shared" si="2"/>
        <v>0</v>
      </c>
      <c r="I33" s="13">
        <f t="shared" si="3"/>
        <v>17</v>
      </c>
      <c r="J33" s="218">
        <f t="shared" si="4"/>
        <v>7.4912879999999999</v>
      </c>
      <c r="K33" s="216"/>
      <c r="L33" s="218">
        <f t="shared" si="5"/>
        <v>0</v>
      </c>
      <c r="M33" s="317">
        <f t="shared" si="6"/>
        <v>0</v>
      </c>
      <c r="N33" s="218">
        <f t="shared" si="7"/>
        <v>0</v>
      </c>
      <c r="O33" s="841">
        <f t="shared" si="0"/>
        <v>17</v>
      </c>
      <c r="P33" s="218">
        <f t="shared" si="8"/>
        <v>7.4912879999999999</v>
      </c>
      <c r="Q33" s="216"/>
    </row>
    <row r="34" spans="2:24">
      <c r="B34" s="312">
        <v>26</v>
      </c>
      <c r="C34" s="216"/>
      <c r="D34" s="838">
        <f t="shared" si="9"/>
        <v>17</v>
      </c>
      <c r="E34" s="218">
        <f t="shared" si="1"/>
        <v>7.4912879999999999</v>
      </c>
      <c r="F34" s="216"/>
      <c r="G34" s="216">
        <v>3</v>
      </c>
      <c r="H34" s="317">
        <f t="shared" si="2"/>
        <v>1.3219920000000001</v>
      </c>
      <c r="I34" s="13">
        <f t="shared" si="3"/>
        <v>20</v>
      </c>
      <c r="J34" s="218">
        <f t="shared" si="4"/>
        <v>8.8132799999999989</v>
      </c>
      <c r="K34" s="216"/>
      <c r="L34" s="218">
        <f t="shared" si="5"/>
        <v>0</v>
      </c>
      <c r="M34" s="317">
        <f t="shared" si="6"/>
        <v>0</v>
      </c>
      <c r="N34" s="218">
        <f t="shared" si="7"/>
        <v>0</v>
      </c>
      <c r="O34" s="841">
        <f t="shared" si="0"/>
        <v>20</v>
      </c>
      <c r="P34" s="218">
        <f t="shared" si="8"/>
        <v>8.8132799999999989</v>
      </c>
      <c r="Q34" s="216"/>
    </row>
    <row r="35" spans="2:24">
      <c r="B35" s="312">
        <v>27</v>
      </c>
      <c r="C35" s="216"/>
      <c r="D35" s="838">
        <f t="shared" si="9"/>
        <v>20</v>
      </c>
      <c r="E35" s="218">
        <f t="shared" si="1"/>
        <v>8.8132799999999989</v>
      </c>
      <c r="F35" s="216"/>
      <c r="G35" s="216">
        <v>6</v>
      </c>
      <c r="H35" s="317">
        <f t="shared" si="2"/>
        <v>2.6439840000000001</v>
      </c>
      <c r="I35" s="13">
        <f t="shared" si="3"/>
        <v>26</v>
      </c>
      <c r="J35" s="218">
        <f t="shared" si="4"/>
        <v>11.457263999999999</v>
      </c>
      <c r="K35" s="216">
        <v>22</v>
      </c>
      <c r="L35" s="218">
        <f t="shared" si="5"/>
        <v>9.6224480000000003</v>
      </c>
      <c r="M35" s="317">
        <f t="shared" si="6"/>
        <v>9.6946080000000006</v>
      </c>
      <c r="N35" s="218">
        <f t="shared" si="7"/>
        <v>7.2160000000000002E-2</v>
      </c>
      <c r="O35" s="841">
        <f t="shared" si="0"/>
        <v>4</v>
      </c>
      <c r="P35" s="218">
        <f t="shared" si="8"/>
        <v>1.762656</v>
      </c>
      <c r="Q35" s="216"/>
    </row>
    <row r="36" spans="2:24">
      <c r="B36" s="312">
        <v>28</v>
      </c>
      <c r="C36" s="216"/>
      <c r="D36" s="838">
        <f t="shared" si="9"/>
        <v>4</v>
      </c>
      <c r="E36" s="218">
        <f t="shared" si="1"/>
        <v>1.762656</v>
      </c>
      <c r="F36" s="216"/>
      <c r="G36" s="216"/>
      <c r="H36" s="317">
        <f t="shared" si="2"/>
        <v>0</v>
      </c>
      <c r="I36" s="13">
        <f t="shared" si="3"/>
        <v>4</v>
      </c>
      <c r="J36" s="218">
        <f t="shared" si="4"/>
        <v>1.762656</v>
      </c>
      <c r="K36" s="216"/>
      <c r="L36" s="218">
        <f t="shared" si="5"/>
        <v>0</v>
      </c>
      <c r="M36" s="317">
        <f t="shared" si="6"/>
        <v>0</v>
      </c>
      <c r="N36" s="218">
        <f t="shared" si="7"/>
        <v>0</v>
      </c>
      <c r="O36" s="841">
        <f t="shared" si="0"/>
        <v>4</v>
      </c>
      <c r="P36" s="218">
        <f t="shared" si="8"/>
        <v>1.762656</v>
      </c>
      <c r="Q36" s="216"/>
    </row>
    <row r="37" spans="2:24">
      <c r="B37" s="312">
        <v>29</v>
      </c>
      <c r="C37" s="216"/>
      <c r="D37" s="838">
        <f t="shared" si="9"/>
        <v>4</v>
      </c>
      <c r="E37" s="218">
        <f t="shared" si="1"/>
        <v>1.762656</v>
      </c>
      <c r="F37" s="216"/>
      <c r="G37" s="216">
        <v>2</v>
      </c>
      <c r="H37" s="317">
        <f t="shared" si="2"/>
        <v>0.881328</v>
      </c>
      <c r="I37" s="13">
        <f t="shared" si="3"/>
        <v>6</v>
      </c>
      <c r="J37" s="218">
        <f t="shared" si="4"/>
        <v>2.6439840000000001</v>
      </c>
      <c r="K37" s="216"/>
      <c r="L37" s="218">
        <f t="shared" si="5"/>
        <v>0</v>
      </c>
      <c r="M37" s="317">
        <f t="shared" si="6"/>
        <v>0</v>
      </c>
      <c r="N37" s="218">
        <f t="shared" si="7"/>
        <v>0</v>
      </c>
      <c r="O37" s="841">
        <f t="shared" si="0"/>
        <v>6</v>
      </c>
      <c r="P37" s="218">
        <f t="shared" si="8"/>
        <v>2.6439840000000001</v>
      </c>
      <c r="Q37" s="216"/>
    </row>
    <row r="38" spans="2:24">
      <c r="B38" s="312">
        <v>30</v>
      </c>
      <c r="D38" s="838">
        <f t="shared" si="9"/>
        <v>6</v>
      </c>
      <c r="E38" s="218">
        <f t="shared" si="1"/>
        <v>2.6439840000000001</v>
      </c>
      <c r="F38" s="216"/>
      <c r="G38" s="216">
        <v>9</v>
      </c>
      <c r="H38" s="317">
        <f t="shared" si="2"/>
        <v>3.9659759999999995</v>
      </c>
      <c r="I38" s="13">
        <f t="shared" si="3"/>
        <v>15</v>
      </c>
      <c r="J38" s="218">
        <f t="shared" si="4"/>
        <v>6.6099600000000001</v>
      </c>
      <c r="K38" s="216"/>
      <c r="L38" s="218">
        <f t="shared" si="5"/>
        <v>0</v>
      </c>
      <c r="M38" s="317">
        <f t="shared" si="6"/>
        <v>0</v>
      </c>
      <c r="N38" s="218">
        <f t="shared" si="7"/>
        <v>0</v>
      </c>
      <c r="O38" s="841">
        <f t="shared" si="0"/>
        <v>15</v>
      </c>
      <c r="P38" s="218">
        <f t="shared" si="8"/>
        <v>6.6099600000000001</v>
      </c>
      <c r="Q38" s="216"/>
    </row>
    <row r="39" spans="2:24">
      <c r="B39" s="321">
        <v>31</v>
      </c>
      <c r="D39" s="838">
        <f>+O38</f>
        <v>15</v>
      </c>
      <c r="E39" s="218">
        <f t="shared" si="1"/>
        <v>6.6099600000000001</v>
      </c>
      <c r="F39" s="222"/>
      <c r="G39" s="222">
        <v>3</v>
      </c>
      <c r="H39" s="317">
        <f t="shared" si="2"/>
        <v>1.3219920000000001</v>
      </c>
      <c r="I39" s="13">
        <f t="shared" si="3"/>
        <v>18</v>
      </c>
      <c r="J39" s="218">
        <f t="shared" si="4"/>
        <v>7.931951999999999</v>
      </c>
      <c r="K39" s="222"/>
      <c r="L39" s="218">
        <f t="shared" si="5"/>
        <v>0</v>
      </c>
      <c r="M39" s="317">
        <f t="shared" si="6"/>
        <v>0</v>
      </c>
      <c r="N39" s="218">
        <f t="shared" si="7"/>
        <v>0</v>
      </c>
      <c r="O39" s="841">
        <f t="shared" si="0"/>
        <v>18</v>
      </c>
      <c r="P39" s="218">
        <f t="shared" si="8"/>
        <v>7.931951999999999</v>
      </c>
      <c r="Q39" s="222"/>
    </row>
    <row r="40" spans="2:24">
      <c r="B40" s="928" t="s">
        <v>10</v>
      </c>
      <c r="C40" s="929"/>
      <c r="D40" s="929"/>
      <c r="E40" s="930"/>
      <c r="F40" s="130">
        <f t="shared" ref="F40:N40" si="10">SUM(F9:F39)</f>
        <v>0</v>
      </c>
      <c r="G40" s="839">
        <f t="shared" si="10"/>
        <v>79</v>
      </c>
      <c r="H40" s="834">
        <f t="shared" si="10"/>
        <v>34.812455999999997</v>
      </c>
      <c r="I40" s="840"/>
      <c r="J40" s="840"/>
      <c r="K40" s="839">
        <f t="shared" si="10"/>
        <v>101</v>
      </c>
      <c r="L40" s="834">
        <f t="shared" si="10"/>
        <v>44.175784</v>
      </c>
      <c r="M40" s="834">
        <f t="shared" si="10"/>
        <v>44.507064</v>
      </c>
      <c r="N40" s="130">
        <f t="shared" si="10"/>
        <v>0.33128000000000002</v>
      </c>
      <c r="O40" s="130"/>
      <c r="P40" s="130"/>
      <c r="Q40" s="3"/>
      <c r="R40">
        <v>38</v>
      </c>
      <c r="S40">
        <v>8.1199999999999992</v>
      </c>
      <c r="U40">
        <v>40</v>
      </c>
      <c r="V40">
        <v>28.35</v>
      </c>
      <c r="W40">
        <v>200</v>
      </c>
      <c r="X40">
        <v>2000</v>
      </c>
    </row>
    <row r="41" spans="2:24">
      <c r="U41" s="151">
        <f>R40*S40/U40*V40*X40/1000</f>
        <v>437.38380000000001</v>
      </c>
    </row>
    <row r="42" spans="2:24">
      <c r="B42" s="931" t="s">
        <v>23</v>
      </c>
      <c r="C42" s="931"/>
      <c r="D42" s="931"/>
      <c r="E42" s="931"/>
      <c r="F42" s="3"/>
      <c r="G42" s="130">
        <f>G40*S7/1000</f>
        <v>0.25912000000000002</v>
      </c>
      <c r="H42" s="835">
        <f>+G40*S6/1000</f>
        <v>34.553336000000002</v>
      </c>
      <c r="J42" s="3" t="s">
        <v>36</v>
      </c>
      <c r="K42" s="3"/>
      <c r="L42" s="130">
        <f>K40*S7/1000</f>
        <v>0.33127999999999996</v>
      </c>
      <c r="S42">
        <v>0.75</v>
      </c>
      <c r="U42" s="151">
        <f>U41*S42%</f>
        <v>3.2803784999999999</v>
      </c>
    </row>
    <row r="43" spans="2:24">
      <c r="U43" s="151">
        <f>U41+U42</f>
        <v>440.66417849999999</v>
      </c>
    </row>
  </sheetData>
  <mergeCells count="20">
    <mergeCell ref="B2:Q2"/>
    <mergeCell ref="S2:T2"/>
    <mergeCell ref="B3:Q3"/>
    <mergeCell ref="S3:V3"/>
    <mergeCell ref="B4:Q4"/>
    <mergeCell ref="S4:V4"/>
    <mergeCell ref="A5:Q5"/>
    <mergeCell ref="S5:V5"/>
    <mergeCell ref="D6:F6"/>
    <mergeCell ref="G6:H6"/>
    <mergeCell ref="I6:J6"/>
    <mergeCell ref="K6:L6"/>
    <mergeCell ref="O6:P6"/>
    <mergeCell ref="S6:V6"/>
    <mergeCell ref="S7:V7"/>
    <mergeCell ref="S8:V8"/>
    <mergeCell ref="B40:E40"/>
    <mergeCell ref="B42:E42"/>
    <mergeCell ref="H7:H8"/>
    <mergeCell ref="M6:M8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W43"/>
  <sheetViews>
    <sheetView topLeftCell="B1" zoomScale="80" zoomScaleNormal="80" workbookViewId="0">
      <pane ySplit="8" topLeftCell="A19" activePane="bottomLeft" state="frozen"/>
      <selection pane="bottomLeft" activeCell="G23" sqref="G23"/>
    </sheetView>
  </sheetViews>
  <sheetFormatPr defaultColWidth="9" defaultRowHeight="15"/>
  <cols>
    <col min="1" max="1" width="9" hidden="1" customWidth="1"/>
    <col min="3" max="3" width="9" hidden="1" customWidth="1"/>
    <col min="5" max="5" width="10.42578125" customWidth="1"/>
    <col min="6" max="6" width="9" hidden="1" customWidth="1"/>
    <col min="8" max="8" width="10.42578125" customWidth="1"/>
    <col min="10" max="10" width="10.42578125" customWidth="1"/>
    <col min="11" max="11" width="10.7109375" customWidth="1"/>
    <col min="12" max="13" width="10.42578125" customWidth="1"/>
    <col min="14" max="14" width="12" customWidth="1"/>
    <col min="15" max="15" width="8.28515625" customWidth="1"/>
    <col min="16" max="17" width="10.42578125" customWidth="1"/>
    <col min="18" max="18" width="18.28515625" customWidth="1"/>
    <col min="19" max="19" width="11.42578125" customWidth="1"/>
    <col min="20" max="20" width="3" hidden="1" customWidth="1"/>
    <col min="21" max="21" width="6.140625" customWidth="1"/>
    <col min="22" max="22" width="6.28515625" customWidth="1"/>
    <col min="23" max="23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129"/>
      <c r="S2" s="931"/>
      <c r="T2" s="931"/>
      <c r="U2" s="931"/>
      <c r="V2" s="931"/>
      <c r="W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129" t="s">
        <v>3</v>
      </c>
      <c r="S3" s="931"/>
      <c r="T3" s="931"/>
      <c r="U3" s="931"/>
      <c r="V3" s="931"/>
      <c r="W3" s="170"/>
    </row>
    <row r="4" spans="1:23" ht="21">
      <c r="B4" s="939" t="s">
        <v>39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129" t="s">
        <v>5</v>
      </c>
      <c r="S4" s="931"/>
      <c r="T4" s="931"/>
      <c r="U4" s="931"/>
      <c r="V4" s="931"/>
      <c r="W4" s="170"/>
    </row>
    <row r="5" spans="1:23" ht="21">
      <c r="A5" s="932" t="s">
        <v>40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933"/>
      <c r="R5" s="129" t="s">
        <v>7</v>
      </c>
      <c r="S5" s="931"/>
      <c r="T5" s="931"/>
      <c r="U5" s="931"/>
      <c r="V5" s="931"/>
      <c r="W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942" t="s">
        <v>12</v>
      </c>
      <c r="N6" s="215"/>
      <c r="O6" s="934" t="s">
        <v>13</v>
      </c>
      <c r="P6" s="934"/>
      <c r="Q6" s="225" t="s">
        <v>14</v>
      </c>
      <c r="R6" s="129" t="s">
        <v>15</v>
      </c>
      <c r="S6" s="941">
        <f>44*8.12/40*28.35*1500/1000</f>
        <v>379.83330000000001</v>
      </c>
      <c r="T6" s="941"/>
      <c r="U6" s="941"/>
      <c r="V6" s="941"/>
      <c r="W6" s="170"/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16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18</v>
      </c>
      <c r="M7" s="943"/>
      <c r="N7" s="217"/>
      <c r="O7" s="217" t="s">
        <v>16</v>
      </c>
      <c r="P7" s="217" t="s">
        <v>17</v>
      </c>
      <c r="Q7" s="226"/>
      <c r="R7" s="129" t="s">
        <v>19</v>
      </c>
      <c r="S7" s="941">
        <f>S6*0.75%</f>
        <v>2.8487497500000001</v>
      </c>
      <c r="T7" s="941"/>
      <c r="U7" s="941"/>
      <c r="V7" s="941"/>
      <c r="W7" s="170"/>
    </row>
    <row r="8" spans="1:23">
      <c r="B8" s="216"/>
      <c r="C8" s="216"/>
      <c r="D8" s="217" t="s">
        <v>21</v>
      </c>
      <c r="E8" s="217" t="s">
        <v>22</v>
      </c>
      <c r="F8" s="217"/>
      <c r="G8" s="217" t="s">
        <v>21</v>
      </c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934"/>
      <c r="N8" s="217" t="s">
        <v>23</v>
      </c>
      <c r="O8" s="217" t="s">
        <v>21</v>
      </c>
      <c r="P8" s="217" t="s">
        <v>22</v>
      </c>
      <c r="Q8" s="226"/>
      <c r="R8" s="129" t="s">
        <v>24</v>
      </c>
      <c r="S8" s="941">
        <f>S6+S7</f>
        <v>382.68204974999998</v>
      </c>
      <c r="T8" s="941"/>
      <c r="U8" s="941"/>
      <c r="V8" s="941"/>
      <c r="W8" s="170"/>
    </row>
    <row r="9" spans="1:23">
      <c r="B9" s="216">
        <v>1</v>
      </c>
      <c r="C9" s="216"/>
      <c r="D9" s="216"/>
      <c r="E9" s="218">
        <f t="shared" ref="E9:E39" si="0">$S$8*D9/1000</f>
        <v>0</v>
      </c>
      <c r="F9" s="216"/>
      <c r="G9" s="216"/>
      <c r="H9" s="218">
        <f t="shared" ref="H9:H39" si="1">$S$8*G9/1000</f>
        <v>0</v>
      </c>
      <c r="I9" s="216">
        <f>D9+G9</f>
        <v>0</v>
      </c>
      <c r="J9" s="218">
        <f t="shared" ref="J9:J39" si="2">$S$8*I9/1000</f>
        <v>0</v>
      </c>
      <c r="K9" s="216"/>
      <c r="L9" s="218">
        <f t="shared" ref="L9:L39" si="3">K9*S$6/1000</f>
        <v>0</v>
      </c>
      <c r="M9" s="218">
        <f>K9*S$8/1000</f>
        <v>0</v>
      </c>
      <c r="N9" s="218">
        <f t="shared" ref="N9:N39" si="4">K9*S$7/1000</f>
        <v>0</v>
      </c>
      <c r="O9" s="838">
        <f>I9-K9</f>
        <v>0</v>
      </c>
      <c r="P9" s="218">
        <f t="shared" ref="P9:P39" si="5">$S$8*O9/1000</f>
        <v>0</v>
      </c>
      <c r="Q9" s="218"/>
      <c r="W9" s="170"/>
    </row>
    <row r="10" spans="1:23">
      <c r="B10" s="216">
        <v>2</v>
      </c>
      <c r="C10" s="216"/>
      <c r="D10" s="838">
        <f>+O9</f>
        <v>0</v>
      </c>
      <c r="E10" s="218">
        <f t="shared" si="0"/>
        <v>0</v>
      </c>
      <c r="F10" s="216"/>
      <c r="G10" s="216"/>
      <c r="H10" s="218">
        <f t="shared" si="1"/>
        <v>0</v>
      </c>
      <c r="I10" s="216">
        <f t="shared" ref="I10:I39" si="6">D10+G10</f>
        <v>0</v>
      </c>
      <c r="J10" s="218">
        <f t="shared" si="2"/>
        <v>0</v>
      </c>
      <c r="K10" s="216"/>
      <c r="L10" s="218">
        <f t="shared" si="3"/>
        <v>0</v>
      </c>
      <c r="M10" s="218">
        <f t="shared" ref="M10:M39" si="7">K10*S$8/1000</f>
        <v>0</v>
      </c>
      <c r="N10" s="218">
        <f t="shared" si="4"/>
        <v>0</v>
      </c>
      <c r="O10" s="838">
        <f t="shared" ref="O10:O39" si="8">I10-K10</f>
        <v>0</v>
      </c>
      <c r="P10" s="218">
        <f t="shared" si="5"/>
        <v>0</v>
      </c>
      <c r="Q10" s="216"/>
    </row>
    <row r="11" spans="1:23">
      <c r="B11" s="216">
        <v>3</v>
      </c>
      <c r="C11" s="216"/>
      <c r="D11" s="838">
        <f t="shared" ref="D11:D19" si="9">+O10</f>
        <v>0</v>
      </c>
      <c r="E11" s="218">
        <f t="shared" si="0"/>
        <v>0</v>
      </c>
      <c r="F11" s="216"/>
      <c r="G11" s="216"/>
      <c r="H11" s="218">
        <f t="shared" si="1"/>
        <v>0</v>
      </c>
      <c r="I11" s="216">
        <f t="shared" si="6"/>
        <v>0</v>
      </c>
      <c r="J11" s="218">
        <f t="shared" si="2"/>
        <v>0</v>
      </c>
      <c r="K11" s="216"/>
      <c r="L11" s="218">
        <f t="shared" si="3"/>
        <v>0</v>
      </c>
      <c r="M11" s="218">
        <f t="shared" si="7"/>
        <v>0</v>
      </c>
      <c r="N11" s="218">
        <f t="shared" si="4"/>
        <v>0</v>
      </c>
      <c r="O11" s="838">
        <f t="shared" si="8"/>
        <v>0</v>
      </c>
      <c r="P11" s="218">
        <f t="shared" si="5"/>
        <v>0</v>
      </c>
      <c r="Q11" s="216"/>
    </row>
    <row r="12" spans="1:23">
      <c r="B12" s="216">
        <v>4</v>
      </c>
      <c r="C12" s="216"/>
      <c r="D12" s="838">
        <f t="shared" si="9"/>
        <v>0</v>
      </c>
      <c r="E12" s="218">
        <f t="shared" si="0"/>
        <v>0</v>
      </c>
      <c r="F12" s="216"/>
      <c r="G12" s="216"/>
      <c r="H12" s="218">
        <f t="shared" si="1"/>
        <v>0</v>
      </c>
      <c r="I12" s="216">
        <f t="shared" si="6"/>
        <v>0</v>
      </c>
      <c r="J12" s="218">
        <f t="shared" si="2"/>
        <v>0</v>
      </c>
      <c r="K12" s="216"/>
      <c r="L12" s="218">
        <f t="shared" si="3"/>
        <v>0</v>
      </c>
      <c r="M12" s="218">
        <f t="shared" si="7"/>
        <v>0</v>
      </c>
      <c r="N12" s="218">
        <f t="shared" si="4"/>
        <v>0</v>
      </c>
      <c r="O12" s="838">
        <f t="shared" si="8"/>
        <v>0</v>
      </c>
      <c r="P12" s="218">
        <f t="shared" si="5"/>
        <v>0</v>
      </c>
      <c r="Q12" s="216"/>
    </row>
    <row r="13" spans="1:23">
      <c r="B13" s="216">
        <v>5</v>
      </c>
      <c r="C13" s="216"/>
      <c r="D13" s="838">
        <f t="shared" si="9"/>
        <v>0</v>
      </c>
      <c r="E13" s="218">
        <f t="shared" si="0"/>
        <v>0</v>
      </c>
      <c r="F13" s="216"/>
      <c r="G13" s="216"/>
      <c r="H13" s="218">
        <f t="shared" si="1"/>
        <v>0</v>
      </c>
      <c r="I13" s="216">
        <f t="shared" si="6"/>
        <v>0</v>
      </c>
      <c r="J13" s="218">
        <f t="shared" si="2"/>
        <v>0</v>
      </c>
      <c r="K13" s="216"/>
      <c r="L13" s="218">
        <f t="shared" si="3"/>
        <v>0</v>
      </c>
      <c r="M13" s="218">
        <f t="shared" si="7"/>
        <v>0</v>
      </c>
      <c r="N13" s="218">
        <f t="shared" si="4"/>
        <v>0</v>
      </c>
      <c r="O13" s="838">
        <f t="shared" si="8"/>
        <v>0</v>
      </c>
      <c r="P13" s="218">
        <f t="shared" si="5"/>
        <v>0</v>
      </c>
      <c r="Q13" s="216"/>
    </row>
    <row r="14" spans="1:23">
      <c r="B14" s="216">
        <v>6</v>
      </c>
      <c r="C14" s="216"/>
      <c r="D14" s="838">
        <f t="shared" si="9"/>
        <v>0</v>
      </c>
      <c r="E14" s="218">
        <f t="shared" si="0"/>
        <v>0</v>
      </c>
      <c r="F14" s="216"/>
      <c r="G14" s="216"/>
      <c r="H14" s="218">
        <f t="shared" si="1"/>
        <v>0</v>
      </c>
      <c r="I14" s="216">
        <f t="shared" si="6"/>
        <v>0</v>
      </c>
      <c r="J14" s="218">
        <f t="shared" si="2"/>
        <v>0</v>
      </c>
      <c r="K14" s="216"/>
      <c r="L14" s="218">
        <f t="shared" si="3"/>
        <v>0</v>
      </c>
      <c r="M14" s="218">
        <f t="shared" si="7"/>
        <v>0</v>
      </c>
      <c r="N14" s="218">
        <f t="shared" si="4"/>
        <v>0</v>
      </c>
      <c r="O14" s="838">
        <f t="shared" si="8"/>
        <v>0</v>
      </c>
      <c r="P14" s="218">
        <f t="shared" si="5"/>
        <v>0</v>
      </c>
      <c r="Q14" s="216"/>
    </row>
    <row r="15" spans="1:23">
      <c r="B15" s="216">
        <v>7</v>
      </c>
      <c r="C15" s="216"/>
      <c r="D15" s="838">
        <f t="shared" si="9"/>
        <v>0</v>
      </c>
      <c r="E15" s="218">
        <f t="shared" si="0"/>
        <v>0</v>
      </c>
      <c r="F15" s="216"/>
      <c r="G15" s="216"/>
      <c r="H15" s="218">
        <f t="shared" si="1"/>
        <v>0</v>
      </c>
      <c r="I15" s="216">
        <f t="shared" si="6"/>
        <v>0</v>
      </c>
      <c r="J15" s="218">
        <f t="shared" si="2"/>
        <v>0</v>
      </c>
      <c r="K15" s="216"/>
      <c r="L15" s="218">
        <f t="shared" si="3"/>
        <v>0</v>
      </c>
      <c r="M15" s="218">
        <f t="shared" si="7"/>
        <v>0</v>
      </c>
      <c r="N15" s="218">
        <f t="shared" si="4"/>
        <v>0</v>
      </c>
      <c r="O15" s="838">
        <f t="shared" si="8"/>
        <v>0</v>
      </c>
      <c r="P15" s="218">
        <f t="shared" si="5"/>
        <v>0</v>
      </c>
      <c r="Q15" s="216"/>
    </row>
    <row r="16" spans="1:23">
      <c r="B16" s="216">
        <v>8</v>
      </c>
      <c r="C16" s="216"/>
      <c r="D16" s="838">
        <f t="shared" si="9"/>
        <v>0</v>
      </c>
      <c r="E16" s="218">
        <f t="shared" si="0"/>
        <v>0</v>
      </c>
      <c r="F16" s="216"/>
      <c r="G16" s="216"/>
      <c r="H16" s="218">
        <f t="shared" si="1"/>
        <v>0</v>
      </c>
      <c r="I16" s="216">
        <f t="shared" si="6"/>
        <v>0</v>
      </c>
      <c r="J16" s="218">
        <f t="shared" si="2"/>
        <v>0</v>
      </c>
      <c r="K16" s="216"/>
      <c r="L16" s="218">
        <f t="shared" si="3"/>
        <v>0</v>
      </c>
      <c r="M16" s="218">
        <f t="shared" si="7"/>
        <v>0</v>
      </c>
      <c r="N16" s="218">
        <f t="shared" si="4"/>
        <v>0</v>
      </c>
      <c r="O16" s="838">
        <f t="shared" si="8"/>
        <v>0</v>
      </c>
      <c r="P16" s="218">
        <f t="shared" si="5"/>
        <v>0</v>
      </c>
      <c r="Q16" s="216"/>
    </row>
    <row r="17" spans="2:17">
      <c r="B17" s="216">
        <v>9</v>
      </c>
      <c r="C17" s="216"/>
      <c r="D17" s="838">
        <f t="shared" si="9"/>
        <v>0</v>
      </c>
      <c r="E17" s="218">
        <f t="shared" si="0"/>
        <v>0</v>
      </c>
      <c r="F17" s="216"/>
      <c r="G17" s="216"/>
      <c r="H17" s="218">
        <f t="shared" si="1"/>
        <v>0</v>
      </c>
      <c r="I17" s="216">
        <f t="shared" si="6"/>
        <v>0</v>
      </c>
      <c r="J17" s="218">
        <f t="shared" si="2"/>
        <v>0</v>
      </c>
      <c r="K17" s="216"/>
      <c r="L17" s="218">
        <f t="shared" si="3"/>
        <v>0</v>
      </c>
      <c r="M17" s="218">
        <f t="shared" si="7"/>
        <v>0</v>
      </c>
      <c r="N17" s="218">
        <f t="shared" si="4"/>
        <v>0</v>
      </c>
      <c r="O17" s="838">
        <f t="shared" si="8"/>
        <v>0</v>
      </c>
      <c r="P17" s="218">
        <f t="shared" si="5"/>
        <v>0</v>
      </c>
      <c r="Q17" s="216"/>
    </row>
    <row r="18" spans="2:17">
      <c r="B18" s="216">
        <v>10</v>
      </c>
      <c r="C18" s="216"/>
      <c r="D18" s="838">
        <f t="shared" si="9"/>
        <v>0</v>
      </c>
      <c r="E18" s="218">
        <f t="shared" si="0"/>
        <v>0</v>
      </c>
      <c r="F18" s="216"/>
      <c r="G18" s="216"/>
      <c r="H18" s="218">
        <f t="shared" si="1"/>
        <v>0</v>
      </c>
      <c r="I18" s="216">
        <f t="shared" si="6"/>
        <v>0</v>
      </c>
      <c r="J18" s="218">
        <f t="shared" si="2"/>
        <v>0</v>
      </c>
      <c r="K18" s="216"/>
      <c r="L18" s="218">
        <f t="shared" si="3"/>
        <v>0</v>
      </c>
      <c r="M18" s="218">
        <f t="shared" si="7"/>
        <v>0</v>
      </c>
      <c r="N18" s="218">
        <f t="shared" si="4"/>
        <v>0</v>
      </c>
      <c r="O18" s="838">
        <f t="shared" si="8"/>
        <v>0</v>
      </c>
      <c r="P18" s="218">
        <f t="shared" si="5"/>
        <v>0</v>
      </c>
      <c r="Q18" s="216"/>
    </row>
    <row r="19" spans="2:17">
      <c r="B19" s="216">
        <v>11</v>
      </c>
      <c r="C19" s="216"/>
      <c r="D19" s="838">
        <f t="shared" si="9"/>
        <v>0</v>
      </c>
      <c r="E19" s="218">
        <f t="shared" si="0"/>
        <v>0</v>
      </c>
      <c r="F19" s="216"/>
      <c r="G19" s="216"/>
      <c r="H19" s="218">
        <f t="shared" si="1"/>
        <v>0</v>
      </c>
      <c r="I19" s="216">
        <f t="shared" si="6"/>
        <v>0</v>
      </c>
      <c r="J19" s="218">
        <f t="shared" si="2"/>
        <v>0</v>
      </c>
      <c r="K19" s="216"/>
      <c r="L19" s="218">
        <f t="shared" si="3"/>
        <v>0</v>
      </c>
      <c r="M19" s="218">
        <f t="shared" si="7"/>
        <v>0</v>
      </c>
      <c r="N19" s="218">
        <f t="shared" si="4"/>
        <v>0</v>
      </c>
      <c r="O19" s="838">
        <f t="shared" si="8"/>
        <v>0</v>
      </c>
      <c r="P19" s="218">
        <f t="shared" si="5"/>
        <v>0</v>
      </c>
      <c r="Q19" s="216"/>
    </row>
    <row r="20" spans="2:17">
      <c r="B20" s="216">
        <v>12</v>
      </c>
      <c r="C20" s="216"/>
      <c r="D20" s="838">
        <f t="shared" ref="D20:D39" si="10">+O19</f>
        <v>0</v>
      </c>
      <c r="E20" s="218">
        <f t="shared" si="0"/>
        <v>0</v>
      </c>
      <c r="F20" s="216"/>
      <c r="G20" s="216"/>
      <c r="H20" s="218">
        <f t="shared" si="1"/>
        <v>0</v>
      </c>
      <c r="I20" s="216">
        <f t="shared" si="6"/>
        <v>0</v>
      </c>
      <c r="J20" s="218">
        <f t="shared" si="2"/>
        <v>0</v>
      </c>
      <c r="K20" s="216"/>
      <c r="L20" s="218">
        <f t="shared" si="3"/>
        <v>0</v>
      </c>
      <c r="M20" s="218">
        <f t="shared" si="7"/>
        <v>0</v>
      </c>
      <c r="N20" s="218">
        <f t="shared" si="4"/>
        <v>0</v>
      </c>
      <c r="O20" s="838">
        <f t="shared" si="8"/>
        <v>0</v>
      </c>
      <c r="P20" s="218">
        <f t="shared" si="5"/>
        <v>0</v>
      </c>
      <c r="Q20" s="216"/>
    </row>
    <row r="21" spans="2:17">
      <c r="B21" s="216">
        <v>13</v>
      </c>
      <c r="C21" s="216"/>
      <c r="D21" s="838">
        <f t="shared" si="10"/>
        <v>0</v>
      </c>
      <c r="E21" s="218">
        <f t="shared" si="0"/>
        <v>0</v>
      </c>
      <c r="F21" s="216"/>
      <c r="G21" s="216"/>
      <c r="H21" s="218">
        <f t="shared" si="1"/>
        <v>0</v>
      </c>
      <c r="I21" s="216">
        <f t="shared" si="6"/>
        <v>0</v>
      </c>
      <c r="J21" s="218">
        <f t="shared" si="2"/>
        <v>0</v>
      </c>
      <c r="K21" s="216"/>
      <c r="L21" s="218">
        <f t="shared" si="3"/>
        <v>0</v>
      </c>
      <c r="M21" s="218">
        <f t="shared" si="7"/>
        <v>0</v>
      </c>
      <c r="N21" s="218">
        <f t="shared" si="4"/>
        <v>0</v>
      </c>
      <c r="O21" s="838">
        <f t="shared" si="8"/>
        <v>0</v>
      </c>
      <c r="P21" s="218">
        <f t="shared" si="5"/>
        <v>0</v>
      </c>
      <c r="Q21" s="216"/>
    </row>
    <row r="22" spans="2:17">
      <c r="B22" s="216">
        <v>14</v>
      </c>
      <c r="C22" s="216"/>
      <c r="D22" s="838">
        <f t="shared" si="10"/>
        <v>0</v>
      </c>
      <c r="E22" s="218">
        <f t="shared" si="0"/>
        <v>0</v>
      </c>
      <c r="F22" s="216"/>
      <c r="G22" s="216"/>
      <c r="H22" s="218">
        <f t="shared" si="1"/>
        <v>0</v>
      </c>
      <c r="I22" s="216">
        <f t="shared" si="6"/>
        <v>0</v>
      </c>
      <c r="J22" s="218">
        <f t="shared" si="2"/>
        <v>0</v>
      </c>
      <c r="K22" s="216"/>
      <c r="L22" s="218">
        <f t="shared" si="3"/>
        <v>0</v>
      </c>
      <c r="M22" s="218">
        <f t="shared" si="7"/>
        <v>0</v>
      </c>
      <c r="N22" s="218">
        <f t="shared" si="4"/>
        <v>0</v>
      </c>
      <c r="O22" s="838">
        <f t="shared" si="8"/>
        <v>0</v>
      </c>
      <c r="P22" s="218">
        <f t="shared" si="5"/>
        <v>0</v>
      </c>
      <c r="Q22" s="216"/>
    </row>
    <row r="23" spans="2:17">
      <c r="B23" s="216">
        <v>15</v>
      </c>
      <c r="C23" s="216"/>
      <c r="D23" s="838">
        <f t="shared" si="10"/>
        <v>0</v>
      </c>
      <c r="E23" s="218">
        <f t="shared" si="0"/>
        <v>0</v>
      </c>
      <c r="F23" s="216"/>
      <c r="G23" s="216"/>
      <c r="H23" s="218">
        <f t="shared" si="1"/>
        <v>0</v>
      </c>
      <c r="I23" s="216">
        <f t="shared" si="6"/>
        <v>0</v>
      </c>
      <c r="J23" s="218">
        <f t="shared" si="2"/>
        <v>0</v>
      </c>
      <c r="K23" s="216"/>
      <c r="L23" s="218">
        <f t="shared" si="3"/>
        <v>0</v>
      </c>
      <c r="M23" s="218">
        <f t="shared" si="7"/>
        <v>0</v>
      </c>
      <c r="N23" s="218">
        <f t="shared" si="4"/>
        <v>0</v>
      </c>
      <c r="O23" s="838">
        <f t="shared" si="8"/>
        <v>0</v>
      </c>
      <c r="P23" s="218">
        <f t="shared" si="5"/>
        <v>0</v>
      </c>
      <c r="Q23" s="216"/>
    </row>
    <row r="24" spans="2:17">
      <c r="B24" s="216">
        <v>16</v>
      </c>
      <c r="C24" s="216"/>
      <c r="D24" s="838">
        <f t="shared" si="10"/>
        <v>0</v>
      </c>
      <c r="E24" s="218">
        <f t="shared" si="0"/>
        <v>0</v>
      </c>
      <c r="F24" s="216"/>
      <c r="G24" s="216"/>
      <c r="H24" s="218">
        <f t="shared" si="1"/>
        <v>0</v>
      </c>
      <c r="I24" s="216">
        <f t="shared" si="6"/>
        <v>0</v>
      </c>
      <c r="J24" s="218">
        <f t="shared" si="2"/>
        <v>0</v>
      </c>
      <c r="K24" s="216"/>
      <c r="L24" s="218">
        <f t="shared" si="3"/>
        <v>0</v>
      </c>
      <c r="M24" s="218">
        <f t="shared" si="7"/>
        <v>0</v>
      </c>
      <c r="N24" s="218">
        <f t="shared" si="4"/>
        <v>0</v>
      </c>
      <c r="O24" s="838">
        <f t="shared" si="8"/>
        <v>0</v>
      </c>
      <c r="P24" s="218">
        <f t="shared" si="5"/>
        <v>0</v>
      </c>
      <c r="Q24" s="216"/>
    </row>
    <row r="25" spans="2:17">
      <c r="B25" s="216">
        <v>17</v>
      </c>
      <c r="C25" s="216"/>
      <c r="D25" s="838">
        <f t="shared" si="10"/>
        <v>0</v>
      </c>
      <c r="E25" s="218">
        <f t="shared" si="0"/>
        <v>0</v>
      </c>
      <c r="F25" s="216"/>
      <c r="G25" s="216"/>
      <c r="H25" s="218">
        <f t="shared" si="1"/>
        <v>0</v>
      </c>
      <c r="I25" s="216">
        <f t="shared" si="6"/>
        <v>0</v>
      </c>
      <c r="J25" s="218">
        <f t="shared" si="2"/>
        <v>0</v>
      </c>
      <c r="K25" s="216"/>
      <c r="L25" s="218">
        <f t="shared" si="3"/>
        <v>0</v>
      </c>
      <c r="M25" s="218">
        <f t="shared" si="7"/>
        <v>0</v>
      </c>
      <c r="N25" s="218">
        <f t="shared" si="4"/>
        <v>0</v>
      </c>
      <c r="O25" s="838">
        <f t="shared" si="8"/>
        <v>0</v>
      </c>
      <c r="P25" s="218">
        <f t="shared" si="5"/>
        <v>0</v>
      </c>
      <c r="Q25" s="216"/>
    </row>
    <row r="26" spans="2:17">
      <c r="B26" s="216">
        <v>18</v>
      </c>
      <c r="C26" s="216"/>
      <c r="D26" s="838">
        <f t="shared" si="10"/>
        <v>0</v>
      </c>
      <c r="E26" s="218">
        <f t="shared" si="0"/>
        <v>0</v>
      </c>
      <c r="F26" s="216"/>
      <c r="G26" s="216"/>
      <c r="H26" s="218">
        <f t="shared" si="1"/>
        <v>0</v>
      </c>
      <c r="I26" s="216">
        <f t="shared" si="6"/>
        <v>0</v>
      </c>
      <c r="J26" s="218">
        <f t="shared" si="2"/>
        <v>0</v>
      </c>
      <c r="K26" s="216"/>
      <c r="L26" s="218">
        <f t="shared" si="3"/>
        <v>0</v>
      </c>
      <c r="M26" s="218">
        <f t="shared" si="7"/>
        <v>0</v>
      </c>
      <c r="N26" s="218">
        <f t="shared" si="4"/>
        <v>0</v>
      </c>
      <c r="O26" s="838">
        <f t="shared" si="8"/>
        <v>0</v>
      </c>
      <c r="P26" s="218">
        <f t="shared" si="5"/>
        <v>0</v>
      </c>
      <c r="Q26" s="216"/>
    </row>
    <row r="27" spans="2:17">
      <c r="B27" s="216">
        <v>19</v>
      </c>
      <c r="C27" s="216"/>
      <c r="D27" s="838">
        <f t="shared" si="10"/>
        <v>0</v>
      </c>
      <c r="E27" s="218">
        <f t="shared" si="0"/>
        <v>0</v>
      </c>
      <c r="F27" s="216"/>
      <c r="G27" s="216"/>
      <c r="H27" s="218">
        <f t="shared" si="1"/>
        <v>0</v>
      </c>
      <c r="I27" s="216">
        <f t="shared" si="6"/>
        <v>0</v>
      </c>
      <c r="J27" s="218">
        <f t="shared" si="2"/>
        <v>0</v>
      </c>
      <c r="K27" s="216"/>
      <c r="L27" s="218">
        <f t="shared" si="3"/>
        <v>0</v>
      </c>
      <c r="M27" s="218">
        <f t="shared" si="7"/>
        <v>0</v>
      </c>
      <c r="N27" s="218">
        <f t="shared" si="4"/>
        <v>0</v>
      </c>
      <c r="O27" s="838">
        <f t="shared" si="8"/>
        <v>0</v>
      </c>
      <c r="P27" s="218">
        <f t="shared" si="5"/>
        <v>0</v>
      </c>
      <c r="Q27" s="216"/>
    </row>
    <row r="28" spans="2:17">
      <c r="B28" s="216">
        <v>20</v>
      </c>
      <c r="C28" s="216"/>
      <c r="D28" s="838">
        <f t="shared" si="10"/>
        <v>0</v>
      </c>
      <c r="E28" s="218">
        <f t="shared" si="0"/>
        <v>0</v>
      </c>
      <c r="F28" s="216"/>
      <c r="G28" s="216"/>
      <c r="H28" s="218">
        <f t="shared" si="1"/>
        <v>0</v>
      </c>
      <c r="I28" s="216">
        <f t="shared" si="6"/>
        <v>0</v>
      </c>
      <c r="J28" s="218">
        <f t="shared" si="2"/>
        <v>0</v>
      </c>
      <c r="K28" s="216"/>
      <c r="L28" s="218">
        <f t="shared" si="3"/>
        <v>0</v>
      </c>
      <c r="M28" s="218">
        <f t="shared" si="7"/>
        <v>0</v>
      </c>
      <c r="N28" s="218">
        <f t="shared" si="4"/>
        <v>0</v>
      </c>
      <c r="O28" s="838">
        <f t="shared" si="8"/>
        <v>0</v>
      </c>
      <c r="P28" s="218">
        <f t="shared" si="5"/>
        <v>0</v>
      </c>
      <c r="Q28" s="216"/>
    </row>
    <row r="29" spans="2:17">
      <c r="B29" s="216">
        <v>21</v>
      </c>
      <c r="C29" s="216"/>
      <c r="D29" s="838">
        <f t="shared" si="10"/>
        <v>0</v>
      </c>
      <c r="E29" s="218">
        <f t="shared" si="0"/>
        <v>0</v>
      </c>
      <c r="F29" s="216"/>
      <c r="G29" s="216"/>
      <c r="H29" s="218">
        <f t="shared" si="1"/>
        <v>0</v>
      </c>
      <c r="I29" s="216">
        <f t="shared" si="6"/>
        <v>0</v>
      </c>
      <c r="J29" s="218">
        <v>0.222</v>
      </c>
      <c r="K29" s="216"/>
      <c r="L29" s="218">
        <f t="shared" si="3"/>
        <v>0</v>
      </c>
      <c r="M29" s="218">
        <f t="shared" si="7"/>
        <v>0</v>
      </c>
      <c r="N29" s="218">
        <f t="shared" si="4"/>
        <v>0</v>
      </c>
      <c r="O29" s="838">
        <f t="shared" si="8"/>
        <v>0</v>
      </c>
      <c r="P29" s="218">
        <f t="shared" si="5"/>
        <v>0</v>
      </c>
      <c r="Q29" s="216"/>
    </row>
    <row r="30" spans="2:17">
      <c r="B30" s="216">
        <v>22</v>
      </c>
      <c r="C30" s="216"/>
      <c r="D30" s="838">
        <f t="shared" si="10"/>
        <v>0</v>
      </c>
      <c r="E30" s="218">
        <f t="shared" si="0"/>
        <v>0</v>
      </c>
      <c r="F30" s="216"/>
      <c r="G30" s="216"/>
      <c r="H30" s="218">
        <f t="shared" si="1"/>
        <v>0</v>
      </c>
      <c r="I30" s="216">
        <f t="shared" si="6"/>
        <v>0</v>
      </c>
      <c r="J30" s="218">
        <f t="shared" si="2"/>
        <v>0</v>
      </c>
      <c r="K30" s="216"/>
      <c r="L30" s="218">
        <f t="shared" si="3"/>
        <v>0</v>
      </c>
      <c r="M30" s="218">
        <f t="shared" si="7"/>
        <v>0</v>
      </c>
      <c r="N30" s="218">
        <f t="shared" si="4"/>
        <v>0</v>
      </c>
      <c r="O30" s="838">
        <f t="shared" si="8"/>
        <v>0</v>
      </c>
      <c r="P30" s="218">
        <f t="shared" si="5"/>
        <v>0</v>
      </c>
      <c r="Q30" s="216"/>
    </row>
    <row r="31" spans="2:17">
      <c r="B31" s="216">
        <v>23</v>
      </c>
      <c r="C31" s="216"/>
      <c r="D31" s="838">
        <f t="shared" si="10"/>
        <v>0</v>
      </c>
      <c r="E31" s="218">
        <f t="shared" si="0"/>
        <v>0</v>
      </c>
      <c r="F31" s="216"/>
      <c r="G31" s="216"/>
      <c r="H31" s="218">
        <f t="shared" si="1"/>
        <v>0</v>
      </c>
      <c r="I31" s="216">
        <f t="shared" si="6"/>
        <v>0</v>
      </c>
      <c r="J31" s="218">
        <f t="shared" si="2"/>
        <v>0</v>
      </c>
      <c r="K31" s="216"/>
      <c r="L31" s="218">
        <f t="shared" si="3"/>
        <v>0</v>
      </c>
      <c r="M31" s="218">
        <f t="shared" si="7"/>
        <v>0</v>
      </c>
      <c r="N31" s="218">
        <f t="shared" si="4"/>
        <v>0</v>
      </c>
      <c r="O31" s="838">
        <f t="shared" si="8"/>
        <v>0</v>
      </c>
      <c r="P31" s="218">
        <f t="shared" si="5"/>
        <v>0</v>
      </c>
      <c r="Q31" s="216"/>
    </row>
    <row r="32" spans="2:17">
      <c r="B32" s="216">
        <v>24</v>
      </c>
      <c r="C32" s="216"/>
      <c r="D32" s="838">
        <f t="shared" si="10"/>
        <v>0</v>
      </c>
      <c r="E32" s="218">
        <f t="shared" si="0"/>
        <v>0</v>
      </c>
      <c r="F32" s="216"/>
      <c r="G32" s="216"/>
      <c r="H32" s="218">
        <f t="shared" si="1"/>
        <v>0</v>
      </c>
      <c r="I32" s="216">
        <f t="shared" si="6"/>
        <v>0</v>
      </c>
      <c r="J32" s="218">
        <f t="shared" si="2"/>
        <v>0</v>
      </c>
      <c r="K32" s="216"/>
      <c r="L32" s="218">
        <f t="shared" si="3"/>
        <v>0</v>
      </c>
      <c r="M32" s="218">
        <f t="shared" si="7"/>
        <v>0</v>
      </c>
      <c r="N32" s="218">
        <f t="shared" si="4"/>
        <v>0</v>
      </c>
      <c r="O32" s="838">
        <f t="shared" si="8"/>
        <v>0</v>
      </c>
      <c r="P32" s="218">
        <f t="shared" si="5"/>
        <v>0</v>
      </c>
      <c r="Q32" s="216"/>
    </row>
    <row r="33" spans="2:17">
      <c r="B33" s="216">
        <v>25</v>
      </c>
      <c r="C33" s="216"/>
      <c r="D33" s="838">
        <f t="shared" si="10"/>
        <v>0</v>
      </c>
      <c r="E33" s="218">
        <f t="shared" si="0"/>
        <v>0</v>
      </c>
      <c r="F33" s="216"/>
      <c r="G33" s="216"/>
      <c r="H33" s="218">
        <f t="shared" si="1"/>
        <v>0</v>
      </c>
      <c r="I33" s="216">
        <f t="shared" si="6"/>
        <v>0</v>
      </c>
      <c r="J33" s="218">
        <f t="shared" si="2"/>
        <v>0</v>
      </c>
      <c r="K33" s="216"/>
      <c r="L33" s="218">
        <f t="shared" si="3"/>
        <v>0</v>
      </c>
      <c r="M33" s="218">
        <f t="shared" si="7"/>
        <v>0</v>
      </c>
      <c r="N33" s="218">
        <f t="shared" si="4"/>
        <v>0</v>
      </c>
      <c r="O33" s="838">
        <f t="shared" si="8"/>
        <v>0</v>
      </c>
      <c r="P33" s="218">
        <f t="shared" si="5"/>
        <v>0</v>
      </c>
      <c r="Q33" s="216"/>
    </row>
    <row r="34" spans="2:17">
      <c r="B34" s="216">
        <v>26</v>
      </c>
      <c r="C34" s="216"/>
      <c r="D34" s="838">
        <f t="shared" si="10"/>
        <v>0</v>
      </c>
      <c r="E34" s="218">
        <f t="shared" si="0"/>
        <v>0</v>
      </c>
      <c r="F34" s="216"/>
      <c r="G34" s="216"/>
      <c r="H34" s="218">
        <f t="shared" si="1"/>
        <v>0</v>
      </c>
      <c r="I34" s="216">
        <f t="shared" si="6"/>
        <v>0</v>
      </c>
      <c r="J34" s="218">
        <f t="shared" si="2"/>
        <v>0</v>
      </c>
      <c r="K34" s="216"/>
      <c r="L34" s="218">
        <f t="shared" si="3"/>
        <v>0</v>
      </c>
      <c r="M34" s="218">
        <f t="shared" si="7"/>
        <v>0</v>
      </c>
      <c r="N34" s="218">
        <f t="shared" si="4"/>
        <v>0</v>
      </c>
      <c r="O34" s="838">
        <f t="shared" si="8"/>
        <v>0</v>
      </c>
      <c r="P34" s="218">
        <f t="shared" si="5"/>
        <v>0</v>
      </c>
      <c r="Q34" s="216"/>
    </row>
    <row r="35" spans="2:17">
      <c r="B35" s="216">
        <v>27</v>
      </c>
      <c r="C35" s="216"/>
      <c r="D35" s="838">
        <f t="shared" si="10"/>
        <v>0</v>
      </c>
      <c r="E35" s="218">
        <f t="shared" si="0"/>
        <v>0</v>
      </c>
      <c r="F35" s="216"/>
      <c r="G35" s="216"/>
      <c r="H35" s="218">
        <f t="shared" si="1"/>
        <v>0</v>
      </c>
      <c r="I35" s="216">
        <f t="shared" si="6"/>
        <v>0</v>
      </c>
      <c r="J35" s="218">
        <f t="shared" si="2"/>
        <v>0</v>
      </c>
      <c r="K35" s="216"/>
      <c r="L35" s="218">
        <f t="shared" si="3"/>
        <v>0</v>
      </c>
      <c r="M35" s="218">
        <f t="shared" si="7"/>
        <v>0</v>
      </c>
      <c r="N35" s="218">
        <f t="shared" si="4"/>
        <v>0</v>
      </c>
      <c r="O35" s="838">
        <f t="shared" si="8"/>
        <v>0</v>
      </c>
      <c r="P35" s="218">
        <f t="shared" si="5"/>
        <v>0</v>
      </c>
      <c r="Q35" s="216"/>
    </row>
    <row r="36" spans="2:17">
      <c r="B36" s="216">
        <v>28</v>
      </c>
      <c r="C36" s="216"/>
      <c r="D36" s="838">
        <f t="shared" si="10"/>
        <v>0</v>
      </c>
      <c r="E36" s="218">
        <f t="shared" si="0"/>
        <v>0</v>
      </c>
      <c r="F36" s="216"/>
      <c r="G36" s="216"/>
      <c r="H36" s="218">
        <f t="shared" si="1"/>
        <v>0</v>
      </c>
      <c r="I36" s="216">
        <f t="shared" si="6"/>
        <v>0</v>
      </c>
      <c r="J36" s="218">
        <f t="shared" si="2"/>
        <v>0</v>
      </c>
      <c r="K36" s="216"/>
      <c r="L36" s="218">
        <f t="shared" si="3"/>
        <v>0</v>
      </c>
      <c r="M36" s="218">
        <f t="shared" si="7"/>
        <v>0</v>
      </c>
      <c r="N36" s="218">
        <f t="shared" si="4"/>
        <v>0</v>
      </c>
      <c r="O36" s="838">
        <f t="shared" si="8"/>
        <v>0</v>
      </c>
      <c r="P36" s="218">
        <f t="shared" si="5"/>
        <v>0</v>
      </c>
      <c r="Q36" s="216"/>
    </row>
    <row r="37" spans="2:17">
      <c r="B37" s="216">
        <v>29</v>
      </c>
      <c r="C37" s="216"/>
      <c r="D37" s="838">
        <f t="shared" si="10"/>
        <v>0</v>
      </c>
      <c r="E37" s="218">
        <f t="shared" si="0"/>
        <v>0</v>
      </c>
      <c r="F37" s="216"/>
      <c r="G37" s="216"/>
      <c r="H37" s="218">
        <f t="shared" si="1"/>
        <v>0</v>
      </c>
      <c r="I37" s="216">
        <f t="shared" si="6"/>
        <v>0</v>
      </c>
      <c r="J37" s="218">
        <f t="shared" si="2"/>
        <v>0</v>
      </c>
      <c r="K37" s="216"/>
      <c r="L37" s="218">
        <f t="shared" si="3"/>
        <v>0</v>
      </c>
      <c r="M37" s="218">
        <f t="shared" si="7"/>
        <v>0</v>
      </c>
      <c r="N37" s="218">
        <f t="shared" si="4"/>
        <v>0</v>
      </c>
      <c r="O37" s="838">
        <f t="shared" si="8"/>
        <v>0</v>
      </c>
      <c r="P37" s="218">
        <f t="shared" si="5"/>
        <v>0</v>
      </c>
      <c r="Q37" s="216"/>
    </row>
    <row r="38" spans="2:17">
      <c r="B38" s="216">
        <v>30</v>
      </c>
      <c r="C38" s="3"/>
      <c r="D38" s="838">
        <f t="shared" si="10"/>
        <v>0</v>
      </c>
      <c r="E38" s="218">
        <f t="shared" si="0"/>
        <v>0</v>
      </c>
      <c r="F38" s="130"/>
      <c r="G38" s="130"/>
      <c r="H38" s="218">
        <f t="shared" si="1"/>
        <v>0</v>
      </c>
      <c r="I38" s="216">
        <f t="shared" si="6"/>
        <v>0</v>
      </c>
      <c r="J38" s="218">
        <f t="shared" si="2"/>
        <v>0</v>
      </c>
      <c r="K38" s="130"/>
      <c r="L38" s="218">
        <f t="shared" si="3"/>
        <v>0</v>
      </c>
      <c r="M38" s="218">
        <f t="shared" si="7"/>
        <v>0</v>
      </c>
      <c r="N38" s="218">
        <f t="shared" si="4"/>
        <v>0</v>
      </c>
      <c r="O38" s="838">
        <f t="shared" si="8"/>
        <v>0</v>
      </c>
      <c r="P38" s="218">
        <f t="shared" si="5"/>
        <v>0</v>
      </c>
      <c r="Q38" s="3"/>
    </row>
    <row r="39" spans="2:17">
      <c r="B39" s="222">
        <v>31</v>
      </c>
      <c r="D39" s="838">
        <f t="shared" si="10"/>
        <v>0</v>
      </c>
      <c r="E39" s="846">
        <f t="shared" si="0"/>
        <v>0</v>
      </c>
      <c r="F39" s="223"/>
      <c r="G39" s="223"/>
      <c r="H39" s="846">
        <f t="shared" si="1"/>
        <v>0</v>
      </c>
      <c r="I39" s="216">
        <f t="shared" si="6"/>
        <v>0</v>
      </c>
      <c r="J39" s="846">
        <f t="shared" si="2"/>
        <v>0</v>
      </c>
      <c r="K39" s="223"/>
      <c r="L39" s="218">
        <f t="shared" si="3"/>
        <v>0</v>
      </c>
      <c r="M39" s="218">
        <f t="shared" si="7"/>
        <v>0</v>
      </c>
      <c r="N39" s="218">
        <f t="shared" si="4"/>
        <v>0</v>
      </c>
      <c r="O39" s="838">
        <f t="shared" si="8"/>
        <v>0</v>
      </c>
      <c r="P39" s="846">
        <f t="shared" si="5"/>
        <v>0</v>
      </c>
      <c r="Q39" s="223"/>
    </row>
    <row r="40" spans="2:17">
      <c r="B40" s="928" t="s">
        <v>10</v>
      </c>
      <c r="C40" s="929"/>
      <c r="D40" s="929"/>
      <c r="E40" s="930"/>
      <c r="F40" s="130">
        <f t="shared" ref="F40:N40" si="11">SUM(F9:F39)</f>
        <v>0</v>
      </c>
      <c r="G40" s="239">
        <f t="shared" si="11"/>
        <v>0</v>
      </c>
      <c r="H40" s="224">
        <f t="shared" si="11"/>
        <v>0</v>
      </c>
      <c r="I40" s="130"/>
      <c r="J40" s="130"/>
      <c r="K40" s="239">
        <f t="shared" si="11"/>
        <v>0</v>
      </c>
      <c r="L40" s="224">
        <f t="shared" si="11"/>
        <v>0</v>
      </c>
      <c r="M40" s="148"/>
      <c r="N40" s="130">
        <f t="shared" si="11"/>
        <v>0</v>
      </c>
      <c r="O40" s="130"/>
      <c r="P40" s="130"/>
      <c r="Q40" s="3"/>
    </row>
    <row r="42" spans="2:17">
      <c r="B42" s="931" t="s">
        <v>23</v>
      </c>
      <c r="C42" s="931"/>
      <c r="D42" s="931"/>
      <c r="E42" s="931"/>
      <c r="F42" s="3"/>
      <c r="G42" s="130">
        <f>G40*S7/1000</f>
        <v>0</v>
      </c>
      <c r="H42" s="151">
        <f>+G40*S6/1000</f>
        <v>0</v>
      </c>
      <c r="J42" s="3" t="s">
        <v>36</v>
      </c>
      <c r="K42" s="3"/>
      <c r="L42" s="130">
        <f>K40*S7/1000</f>
        <v>0</v>
      </c>
    </row>
    <row r="43" spans="2:17">
      <c r="O43" s="151"/>
    </row>
  </sheetData>
  <mergeCells count="20">
    <mergeCell ref="B2:Q2"/>
    <mergeCell ref="S2:T2"/>
    <mergeCell ref="U2:V2"/>
    <mergeCell ref="B3:Q3"/>
    <mergeCell ref="S3:V3"/>
    <mergeCell ref="B4:Q4"/>
    <mergeCell ref="S4:V4"/>
    <mergeCell ref="A5:Q5"/>
    <mergeCell ref="S5:V5"/>
    <mergeCell ref="D6:F6"/>
    <mergeCell ref="G6:H6"/>
    <mergeCell ref="I6:J6"/>
    <mergeCell ref="K6:L6"/>
    <mergeCell ref="O6:P6"/>
    <mergeCell ref="S6:V6"/>
    <mergeCell ref="S7:V7"/>
    <mergeCell ref="S8:V8"/>
    <mergeCell ref="B40:E40"/>
    <mergeCell ref="B42:E42"/>
    <mergeCell ref="M6:M8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W43"/>
  <sheetViews>
    <sheetView topLeftCell="B1" zoomScale="80" zoomScaleNormal="80" workbookViewId="0">
      <pane ySplit="8" topLeftCell="A30" activePane="bottomLeft" state="frozen"/>
      <selection pane="bottomLeft" activeCell="U39" sqref="U39"/>
    </sheetView>
  </sheetViews>
  <sheetFormatPr defaultColWidth="9" defaultRowHeight="15"/>
  <cols>
    <col min="1" max="1" width="9" hidden="1" customWidth="1"/>
    <col min="3" max="3" width="9" hidden="1" customWidth="1"/>
    <col min="5" max="5" width="10.42578125" customWidth="1"/>
    <col min="6" max="6" width="9" hidden="1" customWidth="1"/>
    <col min="8" max="8" width="10.42578125" customWidth="1"/>
    <col min="10" max="10" width="10.42578125" customWidth="1"/>
    <col min="11" max="11" width="10.7109375" customWidth="1"/>
    <col min="12" max="13" width="10.42578125" customWidth="1"/>
    <col min="14" max="14" width="12" customWidth="1"/>
    <col min="15" max="15" width="8.28515625" customWidth="1"/>
    <col min="16" max="17" width="10.42578125" customWidth="1"/>
    <col min="18" max="18" width="18.28515625" customWidth="1"/>
    <col min="19" max="19" width="11.42578125" customWidth="1"/>
    <col min="20" max="20" width="3" hidden="1" customWidth="1"/>
    <col min="21" max="21" width="6.140625" customWidth="1"/>
    <col min="22" max="22" width="6.28515625" customWidth="1"/>
    <col min="23" max="23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129"/>
      <c r="S2" s="931"/>
      <c r="T2" s="931"/>
      <c r="U2" s="931"/>
      <c r="V2" s="931"/>
      <c r="W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129" t="s">
        <v>3</v>
      </c>
      <c r="S3" s="931"/>
      <c r="T3" s="931"/>
      <c r="U3" s="931"/>
      <c r="V3" s="931"/>
      <c r="W3" s="170"/>
    </row>
    <row r="4" spans="1:23" ht="21">
      <c r="B4" s="939" t="s">
        <v>41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129" t="s">
        <v>5</v>
      </c>
      <c r="S4" s="931"/>
      <c r="T4" s="931"/>
      <c r="U4" s="931"/>
      <c r="V4" s="931"/>
      <c r="W4" s="170"/>
    </row>
    <row r="5" spans="1:23" ht="21">
      <c r="A5" s="932" t="s">
        <v>42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933"/>
      <c r="R5" s="129" t="s">
        <v>7</v>
      </c>
      <c r="S5" s="931"/>
      <c r="T5" s="931"/>
      <c r="U5" s="931"/>
      <c r="V5" s="931"/>
      <c r="W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942" t="s">
        <v>12</v>
      </c>
      <c r="N6" s="215"/>
      <c r="O6" s="934" t="s">
        <v>13</v>
      </c>
      <c r="P6" s="934"/>
      <c r="Q6" s="225" t="s">
        <v>14</v>
      </c>
      <c r="R6" s="129" t="s">
        <v>15</v>
      </c>
      <c r="S6" s="941">
        <f>44*8.12/40*28.35*1000/1000</f>
        <v>253.22219999999999</v>
      </c>
      <c r="T6" s="941"/>
      <c r="U6" s="941"/>
      <c r="V6" s="941"/>
      <c r="W6" s="170"/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16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18</v>
      </c>
      <c r="M7" s="943"/>
      <c r="N7" s="217"/>
      <c r="O7" s="217" t="s">
        <v>16</v>
      </c>
      <c r="P7" s="217" t="s">
        <v>17</v>
      </c>
      <c r="Q7" s="226"/>
      <c r="R7" s="129" t="s">
        <v>19</v>
      </c>
      <c r="S7" s="941">
        <f>S6*0.75%</f>
        <v>1.8991665</v>
      </c>
      <c r="T7" s="941"/>
      <c r="U7" s="941"/>
      <c r="V7" s="941"/>
      <c r="W7" s="170"/>
    </row>
    <row r="8" spans="1:23">
      <c r="B8" s="216"/>
      <c r="C8" s="216"/>
      <c r="D8" s="217" t="s">
        <v>21</v>
      </c>
      <c r="E8" s="217" t="s">
        <v>22</v>
      </c>
      <c r="F8" s="217"/>
      <c r="G8" s="217" t="s">
        <v>21</v>
      </c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934"/>
      <c r="N8" s="217" t="s">
        <v>23</v>
      </c>
      <c r="O8" s="217" t="s">
        <v>21</v>
      </c>
      <c r="P8" s="217" t="s">
        <v>22</v>
      </c>
      <c r="Q8" s="226"/>
      <c r="R8" s="129" t="s">
        <v>24</v>
      </c>
      <c r="S8" s="941">
        <f>S6+S7</f>
        <v>255.12136649999999</v>
      </c>
      <c r="T8" s="941"/>
      <c r="U8" s="941"/>
      <c r="V8" s="941"/>
      <c r="W8" s="170"/>
    </row>
    <row r="9" spans="1:23">
      <c r="B9" s="216">
        <v>1</v>
      </c>
      <c r="C9" s="216"/>
      <c r="D9" s="216"/>
      <c r="E9" s="218">
        <f t="shared" ref="E9:E39" si="0">$S$8*D9/1000</f>
        <v>0</v>
      </c>
      <c r="F9" s="216"/>
      <c r="G9" s="216"/>
      <c r="H9" s="218">
        <f t="shared" ref="H9:H39" si="1">$S$8*G9/1000</f>
        <v>0</v>
      </c>
      <c r="I9" s="216">
        <f>D9+G9</f>
        <v>0</v>
      </c>
      <c r="J9" s="218">
        <f t="shared" ref="J9:J39" si="2">$S$8*I9/1000</f>
        <v>0</v>
      </c>
      <c r="K9" s="216"/>
      <c r="L9" s="218">
        <f t="shared" ref="L9:L39" si="3">K9*S$6/1000</f>
        <v>0</v>
      </c>
      <c r="M9" s="218">
        <f>K9*S$8/1000</f>
        <v>0</v>
      </c>
      <c r="N9" s="218">
        <f t="shared" ref="N9:N39" si="4">K9*S$7/1000</f>
        <v>0</v>
      </c>
      <c r="O9" s="838">
        <f>I9-K9</f>
        <v>0</v>
      </c>
      <c r="P9" s="218">
        <f t="shared" ref="P9:P39" si="5">$S$8*O9/1000</f>
        <v>0</v>
      </c>
      <c r="Q9" s="218"/>
      <c r="W9" s="170"/>
    </row>
    <row r="10" spans="1:23">
      <c r="B10" s="216">
        <v>2</v>
      </c>
      <c r="C10" s="216"/>
      <c r="D10" s="838">
        <f>+O9</f>
        <v>0</v>
      </c>
      <c r="E10" s="218">
        <f t="shared" si="0"/>
        <v>0</v>
      </c>
      <c r="F10" s="216"/>
      <c r="G10" s="216"/>
      <c r="H10" s="218">
        <f t="shared" si="1"/>
        <v>0</v>
      </c>
      <c r="I10" s="216">
        <f t="shared" ref="I10:I39" si="6">D10+G10</f>
        <v>0</v>
      </c>
      <c r="J10" s="218">
        <f t="shared" si="2"/>
        <v>0</v>
      </c>
      <c r="K10" s="216"/>
      <c r="L10" s="218">
        <f t="shared" si="3"/>
        <v>0</v>
      </c>
      <c r="M10" s="218">
        <f t="shared" ref="M10:M39" si="7">K10*S$8/1000</f>
        <v>0</v>
      </c>
      <c r="N10" s="218">
        <f t="shared" si="4"/>
        <v>0</v>
      </c>
      <c r="O10" s="838">
        <f t="shared" ref="O10:O39" si="8">I10-K10</f>
        <v>0</v>
      </c>
      <c r="P10" s="218">
        <f t="shared" si="5"/>
        <v>0</v>
      </c>
      <c r="Q10" s="216"/>
    </row>
    <row r="11" spans="1:23">
      <c r="B11" s="216">
        <v>3</v>
      </c>
      <c r="C11" s="216"/>
      <c r="D11" s="838">
        <f t="shared" ref="D11:D19" si="9">+O10</f>
        <v>0</v>
      </c>
      <c r="E11" s="218">
        <f t="shared" si="0"/>
        <v>0</v>
      </c>
      <c r="F11" s="216"/>
      <c r="G11" s="216"/>
      <c r="H11" s="218">
        <f t="shared" si="1"/>
        <v>0</v>
      </c>
      <c r="I11" s="216">
        <f t="shared" si="6"/>
        <v>0</v>
      </c>
      <c r="J11" s="218">
        <f t="shared" si="2"/>
        <v>0</v>
      </c>
      <c r="K11" s="216"/>
      <c r="L11" s="218">
        <f t="shared" si="3"/>
        <v>0</v>
      </c>
      <c r="M11" s="218">
        <f t="shared" si="7"/>
        <v>0</v>
      </c>
      <c r="N11" s="218">
        <f t="shared" si="4"/>
        <v>0</v>
      </c>
      <c r="O11" s="838">
        <f t="shared" si="8"/>
        <v>0</v>
      </c>
      <c r="P11" s="218">
        <f t="shared" si="5"/>
        <v>0</v>
      </c>
      <c r="Q11" s="216"/>
    </row>
    <row r="12" spans="1:23">
      <c r="B12" s="216">
        <v>4</v>
      </c>
      <c r="C12" s="216"/>
      <c r="D12" s="838">
        <f t="shared" si="9"/>
        <v>0</v>
      </c>
      <c r="E12" s="218">
        <f t="shared" si="0"/>
        <v>0</v>
      </c>
      <c r="F12" s="216"/>
      <c r="G12" s="216"/>
      <c r="H12" s="218">
        <f t="shared" si="1"/>
        <v>0</v>
      </c>
      <c r="I12" s="216">
        <f t="shared" si="6"/>
        <v>0</v>
      </c>
      <c r="J12" s="218">
        <f t="shared" si="2"/>
        <v>0</v>
      </c>
      <c r="K12" s="216"/>
      <c r="L12" s="218">
        <f t="shared" si="3"/>
        <v>0</v>
      </c>
      <c r="M12" s="218">
        <f t="shared" si="7"/>
        <v>0</v>
      </c>
      <c r="N12" s="218">
        <f t="shared" si="4"/>
        <v>0</v>
      </c>
      <c r="O12" s="838">
        <f t="shared" si="8"/>
        <v>0</v>
      </c>
      <c r="P12" s="218">
        <f t="shared" si="5"/>
        <v>0</v>
      </c>
      <c r="Q12" s="216"/>
    </row>
    <row r="13" spans="1:23">
      <c r="B13" s="216">
        <v>5</v>
      </c>
      <c r="C13" s="216"/>
      <c r="D13" s="838">
        <f t="shared" si="9"/>
        <v>0</v>
      </c>
      <c r="E13" s="218">
        <f t="shared" si="0"/>
        <v>0</v>
      </c>
      <c r="F13" s="216"/>
      <c r="G13" s="216"/>
      <c r="H13" s="218">
        <f t="shared" si="1"/>
        <v>0</v>
      </c>
      <c r="I13" s="216">
        <f t="shared" si="6"/>
        <v>0</v>
      </c>
      <c r="J13" s="218">
        <f t="shared" si="2"/>
        <v>0</v>
      </c>
      <c r="K13" s="216"/>
      <c r="L13" s="218">
        <f t="shared" si="3"/>
        <v>0</v>
      </c>
      <c r="M13" s="218">
        <f t="shared" si="7"/>
        <v>0</v>
      </c>
      <c r="N13" s="218">
        <f t="shared" si="4"/>
        <v>0</v>
      </c>
      <c r="O13" s="838">
        <f t="shared" si="8"/>
        <v>0</v>
      </c>
      <c r="P13" s="218">
        <f t="shared" si="5"/>
        <v>0</v>
      </c>
      <c r="Q13" s="216"/>
    </row>
    <row r="14" spans="1:23">
      <c r="B14" s="216">
        <v>6</v>
      </c>
      <c r="C14" s="216"/>
      <c r="D14" s="838">
        <f t="shared" si="9"/>
        <v>0</v>
      </c>
      <c r="E14" s="218">
        <f t="shared" si="0"/>
        <v>0</v>
      </c>
      <c r="F14" s="216"/>
      <c r="G14" s="216"/>
      <c r="H14" s="218">
        <f t="shared" si="1"/>
        <v>0</v>
      </c>
      <c r="I14" s="216">
        <f t="shared" si="6"/>
        <v>0</v>
      </c>
      <c r="J14" s="218">
        <f t="shared" si="2"/>
        <v>0</v>
      </c>
      <c r="K14" s="216"/>
      <c r="L14" s="218">
        <f t="shared" si="3"/>
        <v>0</v>
      </c>
      <c r="M14" s="218">
        <f t="shared" si="7"/>
        <v>0</v>
      </c>
      <c r="N14" s="218">
        <f t="shared" si="4"/>
        <v>0</v>
      </c>
      <c r="O14" s="838">
        <f t="shared" si="8"/>
        <v>0</v>
      </c>
      <c r="P14" s="218">
        <f t="shared" si="5"/>
        <v>0</v>
      </c>
      <c r="Q14" s="216"/>
    </row>
    <row r="15" spans="1:23">
      <c r="B15" s="216">
        <v>7</v>
      </c>
      <c r="C15" s="216"/>
      <c r="D15" s="838">
        <f t="shared" si="9"/>
        <v>0</v>
      </c>
      <c r="E15" s="218">
        <f t="shared" si="0"/>
        <v>0</v>
      </c>
      <c r="F15" s="216"/>
      <c r="G15" s="216"/>
      <c r="H15" s="218">
        <f t="shared" si="1"/>
        <v>0</v>
      </c>
      <c r="I15" s="216">
        <f t="shared" si="6"/>
        <v>0</v>
      </c>
      <c r="J15" s="218">
        <f t="shared" si="2"/>
        <v>0</v>
      </c>
      <c r="K15" s="216"/>
      <c r="L15" s="218">
        <f t="shared" si="3"/>
        <v>0</v>
      </c>
      <c r="M15" s="218">
        <f t="shared" si="7"/>
        <v>0</v>
      </c>
      <c r="N15" s="218">
        <f t="shared" si="4"/>
        <v>0</v>
      </c>
      <c r="O15" s="838">
        <f t="shared" si="8"/>
        <v>0</v>
      </c>
      <c r="P15" s="218">
        <f t="shared" si="5"/>
        <v>0</v>
      </c>
      <c r="Q15" s="216"/>
    </row>
    <row r="16" spans="1:23">
      <c r="B16" s="216">
        <v>8</v>
      </c>
      <c r="C16" s="216"/>
      <c r="D16" s="838">
        <f t="shared" si="9"/>
        <v>0</v>
      </c>
      <c r="E16" s="218">
        <f t="shared" si="0"/>
        <v>0</v>
      </c>
      <c r="F16" s="216"/>
      <c r="G16" s="216"/>
      <c r="H16" s="218">
        <f t="shared" si="1"/>
        <v>0</v>
      </c>
      <c r="I16" s="216">
        <f t="shared" si="6"/>
        <v>0</v>
      </c>
      <c r="J16" s="218">
        <f t="shared" si="2"/>
        <v>0</v>
      </c>
      <c r="K16" s="216"/>
      <c r="L16" s="218">
        <f t="shared" si="3"/>
        <v>0</v>
      </c>
      <c r="M16" s="218">
        <f t="shared" si="7"/>
        <v>0</v>
      </c>
      <c r="N16" s="218">
        <f t="shared" si="4"/>
        <v>0</v>
      </c>
      <c r="O16" s="838">
        <f t="shared" si="8"/>
        <v>0</v>
      </c>
      <c r="P16" s="218">
        <f t="shared" si="5"/>
        <v>0</v>
      </c>
      <c r="Q16" s="216"/>
    </row>
    <row r="17" spans="2:17">
      <c r="B17" s="216">
        <v>9</v>
      </c>
      <c r="C17" s="216"/>
      <c r="D17" s="838">
        <f t="shared" si="9"/>
        <v>0</v>
      </c>
      <c r="E17" s="218">
        <f t="shared" si="0"/>
        <v>0</v>
      </c>
      <c r="F17" s="216"/>
      <c r="G17" s="216"/>
      <c r="H17" s="218">
        <f t="shared" si="1"/>
        <v>0</v>
      </c>
      <c r="I17" s="216">
        <f t="shared" si="6"/>
        <v>0</v>
      </c>
      <c r="J17" s="218">
        <f t="shared" si="2"/>
        <v>0</v>
      </c>
      <c r="K17" s="216"/>
      <c r="L17" s="218">
        <f t="shared" si="3"/>
        <v>0</v>
      </c>
      <c r="M17" s="218">
        <f t="shared" si="7"/>
        <v>0</v>
      </c>
      <c r="N17" s="218">
        <f t="shared" si="4"/>
        <v>0</v>
      </c>
      <c r="O17" s="838">
        <f t="shared" si="8"/>
        <v>0</v>
      </c>
      <c r="P17" s="218">
        <f t="shared" si="5"/>
        <v>0</v>
      </c>
      <c r="Q17" s="216"/>
    </row>
    <row r="18" spans="2:17">
      <c r="B18" s="216">
        <v>10</v>
      </c>
      <c r="C18" s="216"/>
      <c r="D18" s="838">
        <f t="shared" si="9"/>
        <v>0</v>
      </c>
      <c r="E18" s="218">
        <f t="shared" si="0"/>
        <v>0</v>
      </c>
      <c r="F18" s="216"/>
      <c r="G18" s="216"/>
      <c r="H18" s="218">
        <f t="shared" si="1"/>
        <v>0</v>
      </c>
      <c r="I18" s="216">
        <f t="shared" si="6"/>
        <v>0</v>
      </c>
      <c r="J18" s="218">
        <f t="shared" si="2"/>
        <v>0</v>
      </c>
      <c r="K18" s="216"/>
      <c r="L18" s="218">
        <f t="shared" si="3"/>
        <v>0</v>
      </c>
      <c r="M18" s="218">
        <f t="shared" si="7"/>
        <v>0</v>
      </c>
      <c r="N18" s="218">
        <f t="shared" si="4"/>
        <v>0</v>
      </c>
      <c r="O18" s="838">
        <f t="shared" si="8"/>
        <v>0</v>
      </c>
      <c r="P18" s="218">
        <f t="shared" si="5"/>
        <v>0</v>
      </c>
      <c r="Q18" s="216"/>
    </row>
    <row r="19" spans="2:17">
      <c r="B19" s="216">
        <v>11</v>
      </c>
      <c r="C19" s="216"/>
      <c r="D19" s="838">
        <f t="shared" si="9"/>
        <v>0</v>
      </c>
      <c r="E19" s="218">
        <f t="shared" si="0"/>
        <v>0</v>
      </c>
      <c r="F19" s="216"/>
      <c r="G19" s="216"/>
      <c r="H19" s="218">
        <f t="shared" si="1"/>
        <v>0</v>
      </c>
      <c r="I19" s="216">
        <f t="shared" si="6"/>
        <v>0</v>
      </c>
      <c r="J19" s="218">
        <f t="shared" si="2"/>
        <v>0</v>
      </c>
      <c r="K19" s="216"/>
      <c r="L19" s="218">
        <f t="shared" si="3"/>
        <v>0</v>
      </c>
      <c r="M19" s="218">
        <f t="shared" si="7"/>
        <v>0</v>
      </c>
      <c r="N19" s="218">
        <f t="shared" si="4"/>
        <v>0</v>
      </c>
      <c r="O19" s="838">
        <f t="shared" si="8"/>
        <v>0</v>
      </c>
      <c r="P19" s="218">
        <f t="shared" si="5"/>
        <v>0</v>
      </c>
      <c r="Q19" s="216"/>
    </row>
    <row r="20" spans="2:17">
      <c r="B20" s="216">
        <v>12</v>
      </c>
      <c r="C20" s="216"/>
      <c r="D20" s="838">
        <f t="shared" ref="D20:D39" si="10">+O19</f>
        <v>0</v>
      </c>
      <c r="E20" s="218">
        <f t="shared" si="0"/>
        <v>0</v>
      </c>
      <c r="F20" s="216"/>
      <c r="G20" s="216"/>
      <c r="H20" s="218">
        <f t="shared" si="1"/>
        <v>0</v>
      </c>
      <c r="I20" s="216">
        <f t="shared" si="6"/>
        <v>0</v>
      </c>
      <c r="J20" s="218">
        <f t="shared" si="2"/>
        <v>0</v>
      </c>
      <c r="K20" s="216"/>
      <c r="L20" s="218">
        <f t="shared" si="3"/>
        <v>0</v>
      </c>
      <c r="M20" s="218">
        <f t="shared" si="7"/>
        <v>0</v>
      </c>
      <c r="N20" s="218">
        <f t="shared" si="4"/>
        <v>0</v>
      </c>
      <c r="O20" s="838">
        <f t="shared" si="8"/>
        <v>0</v>
      </c>
      <c r="P20" s="218">
        <f t="shared" si="5"/>
        <v>0</v>
      </c>
      <c r="Q20" s="216"/>
    </row>
    <row r="21" spans="2:17">
      <c r="B21" s="216">
        <v>13</v>
      </c>
      <c r="C21" s="216"/>
      <c r="D21" s="838">
        <f t="shared" si="10"/>
        <v>0</v>
      </c>
      <c r="E21" s="218">
        <f t="shared" si="0"/>
        <v>0</v>
      </c>
      <c r="F21" s="216"/>
      <c r="G21" s="216"/>
      <c r="H21" s="218">
        <f t="shared" si="1"/>
        <v>0</v>
      </c>
      <c r="I21" s="216">
        <f t="shared" si="6"/>
        <v>0</v>
      </c>
      <c r="J21" s="218">
        <f t="shared" si="2"/>
        <v>0</v>
      </c>
      <c r="K21" s="216"/>
      <c r="L21" s="218">
        <f t="shared" si="3"/>
        <v>0</v>
      </c>
      <c r="M21" s="218">
        <f t="shared" si="7"/>
        <v>0</v>
      </c>
      <c r="N21" s="218">
        <f t="shared" si="4"/>
        <v>0</v>
      </c>
      <c r="O21" s="838">
        <f t="shared" si="8"/>
        <v>0</v>
      </c>
      <c r="P21" s="218">
        <f t="shared" si="5"/>
        <v>0</v>
      </c>
      <c r="Q21" s="216"/>
    </row>
    <row r="22" spans="2:17">
      <c r="B22" s="216">
        <v>14</v>
      </c>
      <c r="C22" s="216"/>
      <c r="D22" s="838">
        <f t="shared" si="10"/>
        <v>0</v>
      </c>
      <c r="E22" s="218">
        <f t="shared" si="0"/>
        <v>0</v>
      </c>
      <c r="F22" s="216"/>
      <c r="G22" s="216"/>
      <c r="H22" s="218">
        <f t="shared" si="1"/>
        <v>0</v>
      </c>
      <c r="I22" s="216">
        <f t="shared" si="6"/>
        <v>0</v>
      </c>
      <c r="J22" s="218">
        <f t="shared" si="2"/>
        <v>0</v>
      </c>
      <c r="K22" s="216"/>
      <c r="L22" s="218">
        <f t="shared" si="3"/>
        <v>0</v>
      </c>
      <c r="M22" s="218">
        <f t="shared" si="7"/>
        <v>0</v>
      </c>
      <c r="N22" s="218">
        <f t="shared" si="4"/>
        <v>0</v>
      </c>
      <c r="O22" s="838">
        <f t="shared" si="8"/>
        <v>0</v>
      </c>
      <c r="P22" s="218">
        <f t="shared" si="5"/>
        <v>0</v>
      </c>
      <c r="Q22" s="216"/>
    </row>
    <row r="23" spans="2:17">
      <c r="B23" s="216">
        <v>15</v>
      </c>
      <c r="C23" s="216"/>
      <c r="D23" s="838">
        <f t="shared" si="10"/>
        <v>0</v>
      </c>
      <c r="E23" s="218">
        <f t="shared" si="0"/>
        <v>0</v>
      </c>
      <c r="F23" s="216"/>
      <c r="G23" s="216"/>
      <c r="H23" s="218">
        <f t="shared" si="1"/>
        <v>0</v>
      </c>
      <c r="I23" s="216">
        <f t="shared" si="6"/>
        <v>0</v>
      </c>
      <c r="J23" s="218">
        <f t="shared" si="2"/>
        <v>0</v>
      </c>
      <c r="K23" s="216"/>
      <c r="L23" s="218">
        <f t="shared" si="3"/>
        <v>0</v>
      </c>
      <c r="M23" s="218">
        <f t="shared" si="7"/>
        <v>0</v>
      </c>
      <c r="N23" s="218">
        <f t="shared" si="4"/>
        <v>0</v>
      </c>
      <c r="O23" s="838">
        <f t="shared" si="8"/>
        <v>0</v>
      </c>
      <c r="P23" s="218">
        <f t="shared" si="5"/>
        <v>0</v>
      </c>
      <c r="Q23" s="216"/>
    </row>
    <row r="24" spans="2:17">
      <c r="B24" s="216">
        <v>16</v>
      </c>
      <c r="C24" s="216"/>
      <c r="D24" s="838">
        <f t="shared" si="10"/>
        <v>0</v>
      </c>
      <c r="E24" s="218">
        <f t="shared" si="0"/>
        <v>0</v>
      </c>
      <c r="F24" s="216"/>
      <c r="G24" s="216"/>
      <c r="H24" s="218">
        <f t="shared" si="1"/>
        <v>0</v>
      </c>
      <c r="I24" s="216">
        <f t="shared" si="6"/>
        <v>0</v>
      </c>
      <c r="J24" s="218">
        <f t="shared" si="2"/>
        <v>0</v>
      </c>
      <c r="K24" s="216"/>
      <c r="L24" s="218">
        <f t="shared" si="3"/>
        <v>0</v>
      </c>
      <c r="M24" s="218">
        <f t="shared" si="7"/>
        <v>0</v>
      </c>
      <c r="N24" s="218">
        <f t="shared" si="4"/>
        <v>0</v>
      </c>
      <c r="O24" s="838">
        <f t="shared" si="8"/>
        <v>0</v>
      </c>
      <c r="P24" s="218">
        <f t="shared" si="5"/>
        <v>0</v>
      </c>
      <c r="Q24" s="216"/>
    </row>
    <row r="25" spans="2:17">
      <c r="B25" s="216">
        <v>17</v>
      </c>
      <c r="C25" s="216"/>
      <c r="D25" s="838">
        <f t="shared" si="10"/>
        <v>0</v>
      </c>
      <c r="E25" s="218">
        <f t="shared" si="0"/>
        <v>0</v>
      </c>
      <c r="F25" s="216"/>
      <c r="G25" s="216"/>
      <c r="H25" s="218">
        <f t="shared" si="1"/>
        <v>0</v>
      </c>
      <c r="I25" s="216">
        <f t="shared" si="6"/>
        <v>0</v>
      </c>
      <c r="J25" s="218">
        <f t="shared" si="2"/>
        <v>0</v>
      </c>
      <c r="K25" s="216"/>
      <c r="L25" s="218">
        <f t="shared" si="3"/>
        <v>0</v>
      </c>
      <c r="M25" s="218">
        <f t="shared" si="7"/>
        <v>0</v>
      </c>
      <c r="N25" s="218">
        <f t="shared" si="4"/>
        <v>0</v>
      </c>
      <c r="O25" s="838">
        <f t="shared" si="8"/>
        <v>0</v>
      </c>
      <c r="P25" s="218">
        <f t="shared" si="5"/>
        <v>0</v>
      </c>
      <c r="Q25" s="216"/>
    </row>
    <row r="26" spans="2:17">
      <c r="B26" s="216">
        <v>18</v>
      </c>
      <c r="C26" s="216"/>
      <c r="D26" s="838">
        <f t="shared" si="10"/>
        <v>0</v>
      </c>
      <c r="E26" s="218">
        <f t="shared" si="0"/>
        <v>0</v>
      </c>
      <c r="F26" s="216"/>
      <c r="G26" s="216"/>
      <c r="H26" s="218">
        <f t="shared" si="1"/>
        <v>0</v>
      </c>
      <c r="I26" s="216">
        <f t="shared" si="6"/>
        <v>0</v>
      </c>
      <c r="J26" s="218">
        <f t="shared" si="2"/>
        <v>0</v>
      </c>
      <c r="K26" s="216"/>
      <c r="L26" s="218">
        <f t="shared" si="3"/>
        <v>0</v>
      </c>
      <c r="M26" s="218">
        <f t="shared" si="7"/>
        <v>0</v>
      </c>
      <c r="N26" s="218">
        <f t="shared" si="4"/>
        <v>0</v>
      </c>
      <c r="O26" s="838">
        <f t="shared" si="8"/>
        <v>0</v>
      </c>
      <c r="P26" s="218">
        <f t="shared" si="5"/>
        <v>0</v>
      </c>
      <c r="Q26" s="216"/>
    </row>
    <row r="27" spans="2:17">
      <c r="B27" s="216">
        <v>19</v>
      </c>
      <c r="C27" s="216"/>
      <c r="D27" s="838">
        <f t="shared" si="10"/>
        <v>0</v>
      </c>
      <c r="E27" s="218">
        <f t="shared" si="0"/>
        <v>0</v>
      </c>
      <c r="F27" s="216"/>
      <c r="G27" s="216"/>
      <c r="H27" s="218">
        <f t="shared" si="1"/>
        <v>0</v>
      </c>
      <c r="I27" s="216">
        <f t="shared" si="6"/>
        <v>0</v>
      </c>
      <c r="J27" s="218">
        <f t="shared" si="2"/>
        <v>0</v>
      </c>
      <c r="K27" s="216"/>
      <c r="L27" s="218">
        <f t="shared" si="3"/>
        <v>0</v>
      </c>
      <c r="M27" s="218">
        <f t="shared" si="7"/>
        <v>0</v>
      </c>
      <c r="N27" s="218">
        <f t="shared" si="4"/>
        <v>0</v>
      </c>
      <c r="O27" s="838">
        <f t="shared" si="8"/>
        <v>0</v>
      </c>
      <c r="P27" s="218">
        <f t="shared" si="5"/>
        <v>0</v>
      </c>
      <c r="Q27" s="216"/>
    </row>
    <row r="28" spans="2:17">
      <c r="B28" s="216">
        <v>20</v>
      </c>
      <c r="C28" s="216"/>
      <c r="D28" s="838">
        <f t="shared" si="10"/>
        <v>0</v>
      </c>
      <c r="E28" s="218">
        <f t="shared" si="0"/>
        <v>0</v>
      </c>
      <c r="F28" s="216"/>
      <c r="G28" s="216"/>
      <c r="H28" s="218">
        <f t="shared" si="1"/>
        <v>0</v>
      </c>
      <c r="I28" s="216">
        <f t="shared" si="6"/>
        <v>0</v>
      </c>
      <c r="J28" s="218">
        <f t="shared" si="2"/>
        <v>0</v>
      </c>
      <c r="K28" s="216"/>
      <c r="L28" s="218">
        <f t="shared" si="3"/>
        <v>0</v>
      </c>
      <c r="M28" s="218">
        <f t="shared" si="7"/>
        <v>0</v>
      </c>
      <c r="N28" s="218">
        <f t="shared" si="4"/>
        <v>0</v>
      </c>
      <c r="O28" s="838">
        <f t="shared" si="8"/>
        <v>0</v>
      </c>
      <c r="P28" s="218">
        <f t="shared" si="5"/>
        <v>0</v>
      </c>
      <c r="Q28" s="216"/>
    </row>
    <row r="29" spans="2:17">
      <c r="B29" s="216">
        <v>21</v>
      </c>
      <c r="C29" s="216"/>
      <c r="D29" s="838">
        <f t="shared" si="10"/>
        <v>0</v>
      </c>
      <c r="E29" s="218">
        <f t="shared" si="0"/>
        <v>0</v>
      </c>
      <c r="F29" s="216"/>
      <c r="G29" s="216"/>
      <c r="H29" s="218">
        <f t="shared" si="1"/>
        <v>0</v>
      </c>
      <c r="I29" s="216">
        <f t="shared" si="6"/>
        <v>0</v>
      </c>
      <c r="J29" s="218">
        <v>0.222</v>
      </c>
      <c r="K29" s="216"/>
      <c r="L29" s="218">
        <f t="shared" si="3"/>
        <v>0</v>
      </c>
      <c r="M29" s="218">
        <f t="shared" si="7"/>
        <v>0</v>
      </c>
      <c r="N29" s="218">
        <f t="shared" si="4"/>
        <v>0</v>
      </c>
      <c r="O29" s="838">
        <f t="shared" si="8"/>
        <v>0</v>
      </c>
      <c r="P29" s="218">
        <f t="shared" si="5"/>
        <v>0</v>
      </c>
      <c r="Q29" s="216"/>
    </row>
    <row r="30" spans="2:17">
      <c r="B30" s="216">
        <v>22</v>
      </c>
      <c r="C30" s="216"/>
      <c r="D30" s="838">
        <f t="shared" si="10"/>
        <v>0</v>
      </c>
      <c r="E30" s="218">
        <f t="shared" si="0"/>
        <v>0</v>
      </c>
      <c r="F30" s="216"/>
      <c r="G30" s="216"/>
      <c r="H30" s="218">
        <f t="shared" si="1"/>
        <v>0</v>
      </c>
      <c r="I30" s="216">
        <f t="shared" si="6"/>
        <v>0</v>
      </c>
      <c r="J30" s="218">
        <f t="shared" si="2"/>
        <v>0</v>
      </c>
      <c r="K30" s="216"/>
      <c r="L30" s="218">
        <f t="shared" si="3"/>
        <v>0</v>
      </c>
      <c r="M30" s="218">
        <f t="shared" si="7"/>
        <v>0</v>
      </c>
      <c r="N30" s="218">
        <f t="shared" si="4"/>
        <v>0</v>
      </c>
      <c r="O30" s="838">
        <f t="shared" si="8"/>
        <v>0</v>
      </c>
      <c r="P30" s="218">
        <f t="shared" si="5"/>
        <v>0</v>
      </c>
      <c r="Q30" s="216"/>
    </row>
    <row r="31" spans="2:17">
      <c r="B31" s="216">
        <v>23</v>
      </c>
      <c r="C31" s="216"/>
      <c r="D31" s="838">
        <f t="shared" si="10"/>
        <v>0</v>
      </c>
      <c r="E31" s="218">
        <f t="shared" si="0"/>
        <v>0</v>
      </c>
      <c r="F31" s="216"/>
      <c r="G31" s="216"/>
      <c r="H31" s="218">
        <f t="shared" si="1"/>
        <v>0</v>
      </c>
      <c r="I31" s="216">
        <f t="shared" si="6"/>
        <v>0</v>
      </c>
      <c r="J31" s="218">
        <f t="shared" si="2"/>
        <v>0</v>
      </c>
      <c r="K31" s="216"/>
      <c r="L31" s="218">
        <f t="shared" si="3"/>
        <v>0</v>
      </c>
      <c r="M31" s="218">
        <f t="shared" si="7"/>
        <v>0</v>
      </c>
      <c r="N31" s="218">
        <f t="shared" si="4"/>
        <v>0</v>
      </c>
      <c r="O31" s="838">
        <f t="shared" si="8"/>
        <v>0</v>
      </c>
      <c r="P31" s="218">
        <f t="shared" si="5"/>
        <v>0</v>
      </c>
      <c r="Q31" s="216"/>
    </row>
    <row r="32" spans="2:17">
      <c r="B32" s="216">
        <v>24</v>
      </c>
      <c r="C32" s="216"/>
      <c r="D32" s="838">
        <f t="shared" si="10"/>
        <v>0</v>
      </c>
      <c r="E32" s="218">
        <f t="shared" si="0"/>
        <v>0</v>
      </c>
      <c r="F32" s="216"/>
      <c r="G32" s="216"/>
      <c r="H32" s="218">
        <f t="shared" si="1"/>
        <v>0</v>
      </c>
      <c r="I32" s="216">
        <f t="shared" si="6"/>
        <v>0</v>
      </c>
      <c r="J32" s="218">
        <f t="shared" si="2"/>
        <v>0</v>
      </c>
      <c r="K32" s="216"/>
      <c r="L32" s="218">
        <f t="shared" si="3"/>
        <v>0</v>
      </c>
      <c r="M32" s="218">
        <f t="shared" si="7"/>
        <v>0</v>
      </c>
      <c r="N32" s="218">
        <f t="shared" si="4"/>
        <v>0</v>
      </c>
      <c r="O32" s="838">
        <f t="shared" si="8"/>
        <v>0</v>
      </c>
      <c r="P32" s="218">
        <f t="shared" si="5"/>
        <v>0</v>
      </c>
      <c r="Q32" s="216"/>
    </row>
    <row r="33" spans="2:17">
      <c r="B33" s="216">
        <v>25</v>
      </c>
      <c r="C33" s="216"/>
      <c r="D33" s="838">
        <f t="shared" si="10"/>
        <v>0</v>
      </c>
      <c r="E33" s="218">
        <f t="shared" si="0"/>
        <v>0</v>
      </c>
      <c r="F33" s="216"/>
      <c r="G33" s="216"/>
      <c r="H33" s="218">
        <f t="shared" si="1"/>
        <v>0</v>
      </c>
      <c r="I33" s="216">
        <f t="shared" si="6"/>
        <v>0</v>
      </c>
      <c r="J33" s="218">
        <f t="shared" si="2"/>
        <v>0</v>
      </c>
      <c r="K33" s="216"/>
      <c r="L33" s="218">
        <f t="shared" si="3"/>
        <v>0</v>
      </c>
      <c r="M33" s="218">
        <f t="shared" si="7"/>
        <v>0</v>
      </c>
      <c r="N33" s="218">
        <f t="shared" si="4"/>
        <v>0</v>
      </c>
      <c r="O33" s="838">
        <f t="shared" si="8"/>
        <v>0</v>
      </c>
      <c r="P33" s="218">
        <f t="shared" si="5"/>
        <v>0</v>
      </c>
      <c r="Q33" s="216"/>
    </row>
    <row r="34" spans="2:17">
      <c r="B34" s="216">
        <v>26</v>
      </c>
      <c r="C34" s="216"/>
      <c r="D34" s="838">
        <f t="shared" si="10"/>
        <v>0</v>
      </c>
      <c r="E34" s="218">
        <f t="shared" si="0"/>
        <v>0</v>
      </c>
      <c r="F34" s="216"/>
      <c r="G34" s="216"/>
      <c r="H34" s="218">
        <f t="shared" si="1"/>
        <v>0</v>
      </c>
      <c r="I34" s="216">
        <f t="shared" si="6"/>
        <v>0</v>
      </c>
      <c r="J34" s="218">
        <f t="shared" si="2"/>
        <v>0</v>
      </c>
      <c r="K34" s="216"/>
      <c r="L34" s="218">
        <f t="shared" si="3"/>
        <v>0</v>
      </c>
      <c r="M34" s="218">
        <f t="shared" si="7"/>
        <v>0</v>
      </c>
      <c r="N34" s="218">
        <f t="shared" si="4"/>
        <v>0</v>
      </c>
      <c r="O34" s="838">
        <f t="shared" si="8"/>
        <v>0</v>
      </c>
      <c r="P34" s="218">
        <f t="shared" si="5"/>
        <v>0</v>
      </c>
      <c r="Q34" s="216"/>
    </row>
    <row r="35" spans="2:17">
      <c r="B35" s="216">
        <v>27</v>
      </c>
      <c r="C35" s="216"/>
      <c r="D35" s="838">
        <f t="shared" si="10"/>
        <v>0</v>
      </c>
      <c r="E35" s="218">
        <f t="shared" si="0"/>
        <v>0</v>
      </c>
      <c r="F35" s="216"/>
      <c r="G35" s="216"/>
      <c r="H35" s="218">
        <f t="shared" si="1"/>
        <v>0</v>
      </c>
      <c r="I35" s="216">
        <f t="shared" si="6"/>
        <v>0</v>
      </c>
      <c r="J35" s="218">
        <f t="shared" si="2"/>
        <v>0</v>
      </c>
      <c r="K35" s="216"/>
      <c r="L35" s="218">
        <f t="shared" si="3"/>
        <v>0</v>
      </c>
      <c r="M35" s="218">
        <f t="shared" si="7"/>
        <v>0</v>
      </c>
      <c r="N35" s="218">
        <f t="shared" si="4"/>
        <v>0</v>
      </c>
      <c r="O35" s="838">
        <f t="shared" si="8"/>
        <v>0</v>
      </c>
      <c r="P35" s="218">
        <f t="shared" si="5"/>
        <v>0</v>
      </c>
      <c r="Q35" s="216"/>
    </row>
    <row r="36" spans="2:17">
      <c r="B36" s="216">
        <v>28</v>
      </c>
      <c r="C36" s="216"/>
      <c r="D36" s="838">
        <f t="shared" si="10"/>
        <v>0</v>
      </c>
      <c r="E36" s="218">
        <f t="shared" si="0"/>
        <v>0</v>
      </c>
      <c r="F36" s="216"/>
      <c r="G36" s="216"/>
      <c r="H36" s="218">
        <f t="shared" si="1"/>
        <v>0</v>
      </c>
      <c r="I36" s="216">
        <f t="shared" si="6"/>
        <v>0</v>
      </c>
      <c r="J36" s="218">
        <f t="shared" si="2"/>
        <v>0</v>
      </c>
      <c r="K36" s="216"/>
      <c r="L36" s="218">
        <f t="shared" si="3"/>
        <v>0</v>
      </c>
      <c r="M36" s="218">
        <f t="shared" si="7"/>
        <v>0</v>
      </c>
      <c r="N36" s="218">
        <f t="shared" si="4"/>
        <v>0</v>
      </c>
      <c r="O36" s="838">
        <f t="shared" si="8"/>
        <v>0</v>
      </c>
      <c r="P36" s="218">
        <f t="shared" si="5"/>
        <v>0</v>
      </c>
      <c r="Q36" s="216"/>
    </row>
    <row r="37" spans="2:17">
      <c r="B37" s="216">
        <v>29</v>
      </c>
      <c r="C37" s="216"/>
      <c r="D37" s="838">
        <f t="shared" si="10"/>
        <v>0</v>
      </c>
      <c r="E37" s="218">
        <f t="shared" si="0"/>
        <v>0</v>
      </c>
      <c r="F37" s="216"/>
      <c r="G37" s="216"/>
      <c r="H37" s="218">
        <f t="shared" si="1"/>
        <v>0</v>
      </c>
      <c r="I37" s="216">
        <f t="shared" si="6"/>
        <v>0</v>
      </c>
      <c r="J37" s="218">
        <f t="shared" si="2"/>
        <v>0</v>
      </c>
      <c r="K37" s="216"/>
      <c r="L37" s="218">
        <f t="shared" si="3"/>
        <v>0</v>
      </c>
      <c r="M37" s="218">
        <f t="shared" si="7"/>
        <v>0</v>
      </c>
      <c r="N37" s="218">
        <f t="shared" si="4"/>
        <v>0</v>
      </c>
      <c r="O37" s="838">
        <f t="shared" si="8"/>
        <v>0</v>
      </c>
      <c r="P37" s="218">
        <f t="shared" si="5"/>
        <v>0</v>
      </c>
      <c r="Q37" s="216"/>
    </row>
    <row r="38" spans="2:17">
      <c r="B38" s="216">
        <v>30</v>
      </c>
      <c r="C38" s="3"/>
      <c r="D38" s="838">
        <f t="shared" si="10"/>
        <v>0</v>
      </c>
      <c r="E38" s="218">
        <f t="shared" si="0"/>
        <v>0</v>
      </c>
      <c r="F38" s="130"/>
      <c r="G38" s="130"/>
      <c r="H38" s="218">
        <f t="shared" si="1"/>
        <v>0</v>
      </c>
      <c r="I38" s="216">
        <f t="shared" si="6"/>
        <v>0</v>
      </c>
      <c r="J38" s="218">
        <f t="shared" si="2"/>
        <v>0</v>
      </c>
      <c r="K38" s="130"/>
      <c r="L38" s="218">
        <f t="shared" si="3"/>
        <v>0</v>
      </c>
      <c r="M38" s="218">
        <f t="shared" si="7"/>
        <v>0</v>
      </c>
      <c r="N38" s="218">
        <f t="shared" si="4"/>
        <v>0</v>
      </c>
      <c r="O38" s="838">
        <f t="shared" si="8"/>
        <v>0</v>
      </c>
      <c r="P38" s="218">
        <f t="shared" si="5"/>
        <v>0</v>
      </c>
      <c r="Q38" s="3"/>
    </row>
    <row r="39" spans="2:17">
      <c r="B39" s="222">
        <v>31</v>
      </c>
      <c r="D39" s="838">
        <f t="shared" si="10"/>
        <v>0</v>
      </c>
      <c r="E39" s="846">
        <f t="shared" si="0"/>
        <v>0</v>
      </c>
      <c r="F39" s="223"/>
      <c r="G39" s="223"/>
      <c r="H39" s="846">
        <f t="shared" si="1"/>
        <v>0</v>
      </c>
      <c r="I39" s="216">
        <f t="shared" si="6"/>
        <v>0</v>
      </c>
      <c r="J39" s="846">
        <f t="shared" si="2"/>
        <v>0</v>
      </c>
      <c r="K39" s="223"/>
      <c r="L39" s="218">
        <f t="shared" si="3"/>
        <v>0</v>
      </c>
      <c r="M39" s="218">
        <f t="shared" si="7"/>
        <v>0</v>
      </c>
      <c r="N39" s="218">
        <f t="shared" si="4"/>
        <v>0</v>
      </c>
      <c r="O39" s="838">
        <f t="shared" si="8"/>
        <v>0</v>
      </c>
      <c r="P39" s="846">
        <f t="shared" si="5"/>
        <v>0</v>
      </c>
      <c r="Q39" s="223"/>
    </row>
    <row r="40" spans="2:17">
      <c r="B40" s="928" t="s">
        <v>10</v>
      </c>
      <c r="C40" s="929"/>
      <c r="D40" s="929"/>
      <c r="E40" s="930"/>
      <c r="F40" s="130">
        <f t="shared" ref="F40:N40" si="11">SUM(F9:F39)</f>
        <v>0</v>
      </c>
      <c r="G40" s="239">
        <f t="shared" si="11"/>
        <v>0</v>
      </c>
      <c r="H40" s="224">
        <f t="shared" si="11"/>
        <v>0</v>
      </c>
      <c r="I40" s="130"/>
      <c r="J40" s="130"/>
      <c r="K40" s="239">
        <f t="shared" si="11"/>
        <v>0</v>
      </c>
      <c r="L40" s="224">
        <f t="shared" si="11"/>
        <v>0</v>
      </c>
      <c r="M40" s="148"/>
      <c r="N40" s="130">
        <f t="shared" si="11"/>
        <v>0</v>
      </c>
      <c r="O40" s="130"/>
      <c r="P40" s="130"/>
      <c r="Q40" s="3"/>
    </row>
    <row r="42" spans="2:17">
      <c r="B42" s="931" t="s">
        <v>23</v>
      </c>
      <c r="C42" s="931"/>
      <c r="D42" s="931"/>
      <c r="E42" s="931"/>
      <c r="F42" s="3"/>
      <c r="G42" s="130">
        <f>G40*S7/1000</f>
        <v>0</v>
      </c>
      <c r="H42" s="151">
        <f>+G40*S6/1000</f>
        <v>0</v>
      </c>
      <c r="J42" s="3" t="s">
        <v>36</v>
      </c>
      <c r="K42" s="3"/>
      <c r="L42" s="130">
        <f>K40*S7/1000</f>
        <v>0</v>
      </c>
    </row>
    <row r="43" spans="2:17">
      <c r="O43" s="151"/>
    </row>
  </sheetData>
  <mergeCells count="20">
    <mergeCell ref="B2:Q2"/>
    <mergeCell ref="S2:T2"/>
    <mergeCell ref="U2:V2"/>
    <mergeCell ref="B3:Q3"/>
    <mergeCell ref="S3:V3"/>
    <mergeCell ref="B4:Q4"/>
    <mergeCell ref="S4:V4"/>
    <mergeCell ref="A5:Q5"/>
    <mergeCell ref="S5:V5"/>
    <mergeCell ref="D6:F6"/>
    <mergeCell ref="G6:H6"/>
    <mergeCell ref="I6:J6"/>
    <mergeCell ref="K6:L6"/>
    <mergeCell ref="O6:P6"/>
    <mergeCell ref="S6:V6"/>
    <mergeCell ref="S7:V7"/>
    <mergeCell ref="S8:V8"/>
    <mergeCell ref="B40:E40"/>
    <mergeCell ref="B42:E42"/>
    <mergeCell ref="M6:M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W43"/>
  <sheetViews>
    <sheetView topLeftCell="B1" zoomScale="80" zoomScaleNormal="80" workbookViewId="0">
      <pane ySplit="8" topLeftCell="A9" activePane="bottomLeft" state="frozen"/>
      <selection pane="bottomLeft" activeCell="S6" sqref="S6:V6"/>
    </sheetView>
  </sheetViews>
  <sheetFormatPr defaultColWidth="9" defaultRowHeight="15"/>
  <cols>
    <col min="1" max="1" width="9" hidden="1" customWidth="1"/>
    <col min="3" max="3" width="9" hidden="1" customWidth="1"/>
    <col min="5" max="5" width="10.42578125" customWidth="1"/>
    <col min="6" max="6" width="9" hidden="1" customWidth="1"/>
    <col min="8" max="8" width="10.42578125" customWidth="1"/>
    <col min="10" max="10" width="10.42578125" customWidth="1"/>
    <col min="11" max="11" width="10.7109375" customWidth="1"/>
    <col min="12" max="13" width="10.42578125" customWidth="1"/>
    <col min="14" max="14" width="12" customWidth="1"/>
    <col min="15" max="15" width="8.28515625" customWidth="1"/>
    <col min="16" max="17" width="10.42578125" customWidth="1"/>
    <col min="18" max="18" width="18.28515625" customWidth="1"/>
    <col min="19" max="19" width="12.140625" customWidth="1"/>
    <col min="20" max="20" width="3" hidden="1" customWidth="1"/>
    <col min="21" max="21" width="6.140625" customWidth="1"/>
    <col min="22" max="22" width="6.28515625" customWidth="1"/>
    <col min="23" max="23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129"/>
      <c r="S2" s="931"/>
      <c r="T2" s="931"/>
      <c r="U2" s="931"/>
      <c r="V2" s="931"/>
      <c r="W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129" t="s">
        <v>3</v>
      </c>
      <c r="S3" s="931"/>
      <c r="T3" s="931"/>
      <c r="U3" s="931"/>
      <c r="V3" s="931"/>
      <c r="W3" s="170"/>
    </row>
    <row r="4" spans="1:23" ht="21">
      <c r="B4" s="939" t="s">
        <v>43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129" t="s">
        <v>5</v>
      </c>
      <c r="S4" s="931"/>
      <c r="T4" s="931"/>
      <c r="U4" s="931"/>
      <c r="V4" s="931"/>
      <c r="W4" s="170"/>
    </row>
    <row r="5" spans="1:23" ht="21">
      <c r="A5" s="932" t="s">
        <v>6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933"/>
      <c r="R5" s="129" t="s">
        <v>7</v>
      </c>
      <c r="S5" s="931"/>
      <c r="T5" s="931"/>
      <c r="U5" s="931"/>
      <c r="V5" s="931"/>
      <c r="W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942" t="s">
        <v>12</v>
      </c>
      <c r="N6" s="215"/>
      <c r="O6" s="934" t="s">
        <v>13</v>
      </c>
      <c r="P6" s="934"/>
      <c r="Q6" s="225" t="s">
        <v>14</v>
      </c>
      <c r="R6" s="129" t="s">
        <v>15</v>
      </c>
      <c r="S6" s="941">
        <v>255.15</v>
      </c>
      <c r="T6" s="941"/>
      <c r="U6" s="941"/>
      <c r="V6" s="941"/>
      <c r="W6" s="170"/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16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18</v>
      </c>
      <c r="M7" s="943"/>
      <c r="N7" s="217"/>
      <c r="O7" s="217" t="s">
        <v>16</v>
      </c>
      <c r="P7" s="217" t="s">
        <v>17</v>
      </c>
      <c r="Q7" s="226"/>
      <c r="R7" s="129" t="s">
        <v>19</v>
      </c>
      <c r="S7" s="941">
        <f>S6*0.75%</f>
        <v>1.9136249999999999</v>
      </c>
      <c r="T7" s="941"/>
      <c r="U7" s="941"/>
      <c r="V7" s="941"/>
      <c r="W7" s="170"/>
    </row>
    <row r="8" spans="1:23">
      <c r="B8" s="216"/>
      <c r="C8" s="216"/>
      <c r="D8" s="217" t="s">
        <v>21</v>
      </c>
      <c r="E8" s="217" t="s">
        <v>22</v>
      </c>
      <c r="F8" s="217"/>
      <c r="G8" s="217" t="s">
        <v>21</v>
      </c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934"/>
      <c r="N8" s="217" t="s">
        <v>23</v>
      </c>
      <c r="O8" s="217" t="s">
        <v>21</v>
      </c>
      <c r="P8" s="217" t="s">
        <v>22</v>
      </c>
      <c r="Q8" s="226"/>
      <c r="R8" s="129" t="s">
        <v>24</v>
      </c>
      <c r="S8" s="941">
        <f>S6+S7</f>
        <v>257.063625</v>
      </c>
      <c r="T8" s="941"/>
      <c r="U8" s="941"/>
      <c r="V8" s="941"/>
      <c r="W8" s="170"/>
    </row>
    <row r="9" spans="1:23">
      <c r="B9" s="216">
        <v>1</v>
      </c>
      <c r="C9" s="216"/>
      <c r="D9" s="216"/>
      <c r="E9" s="218">
        <f t="shared" ref="E9:E39" si="0">$S$8*D9/1000</f>
        <v>0</v>
      </c>
      <c r="F9" s="216"/>
      <c r="G9" s="216"/>
      <c r="H9" s="218">
        <f t="shared" ref="H9:H39" si="1">$S$8*G9/1000</f>
        <v>0</v>
      </c>
      <c r="I9" s="216">
        <f>D9+G9</f>
        <v>0</v>
      </c>
      <c r="J9" s="218">
        <f t="shared" ref="J9:J39" si="2">$S$8*I9/1000</f>
        <v>0</v>
      </c>
      <c r="K9" s="216"/>
      <c r="L9" s="218">
        <f t="shared" ref="L9:L39" si="3">K9*S$6/1000</f>
        <v>0</v>
      </c>
      <c r="M9" s="218">
        <f>K9*S$8/1000</f>
        <v>0</v>
      </c>
      <c r="N9" s="218">
        <f t="shared" ref="N9:N39" si="4">K9*S$7/1000</f>
        <v>0</v>
      </c>
      <c r="O9" s="838">
        <f>I9-K9</f>
        <v>0</v>
      </c>
      <c r="P9" s="218">
        <f t="shared" ref="P9:P39" si="5">$S$8*O9/1000</f>
        <v>0</v>
      </c>
      <c r="Q9" s="218"/>
      <c r="W9" s="170"/>
    </row>
    <row r="10" spans="1:23">
      <c r="B10" s="216">
        <v>2</v>
      </c>
      <c r="C10" s="216"/>
      <c r="D10" s="838">
        <f>+O9</f>
        <v>0</v>
      </c>
      <c r="E10" s="218">
        <f t="shared" si="0"/>
        <v>0</v>
      </c>
      <c r="F10" s="216"/>
      <c r="G10" s="216"/>
      <c r="H10" s="218">
        <f t="shared" si="1"/>
        <v>0</v>
      </c>
      <c r="I10" s="216">
        <f t="shared" ref="I10:I39" si="6">D10+G10</f>
        <v>0</v>
      </c>
      <c r="J10" s="218">
        <f t="shared" si="2"/>
        <v>0</v>
      </c>
      <c r="K10" s="216"/>
      <c r="L10" s="218">
        <f t="shared" si="3"/>
        <v>0</v>
      </c>
      <c r="M10" s="218">
        <f t="shared" ref="M10:M39" si="7">K10*S$8/1000</f>
        <v>0</v>
      </c>
      <c r="N10" s="218">
        <f t="shared" si="4"/>
        <v>0</v>
      </c>
      <c r="O10" s="838">
        <f t="shared" ref="O10:O39" si="8">I10-K10</f>
        <v>0</v>
      </c>
      <c r="P10" s="218">
        <f t="shared" si="5"/>
        <v>0</v>
      </c>
      <c r="Q10" s="216"/>
    </row>
    <row r="11" spans="1:23">
      <c r="B11" s="216">
        <v>3</v>
      </c>
      <c r="C11" s="216"/>
      <c r="D11" s="838">
        <f>+O10</f>
        <v>0</v>
      </c>
      <c r="E11" s="218">
        <f t="shared" si="0"/>
        <v>0</v>
      </c>
      <c r="F11" s="216"/>
      <c r="G11" s="216"/>
      <c r="H11" s="218">
        <f t="shared" si="1"/>
        <v>0</v>
      </c>
      <c r="I11" s="216">
        <f t="shared" si="6"/>
        <v>0</v>
      </c>
      <c r="J11" s="218">
        <f t="shared" si="2"/>
        <v>0</v>
      </c>
      <c r="K11" s="216"/>
      <c r="L11" s="218">
        <f t="shared" si="3"/>
        <v>0</v>
      </c>
      <c r="M11" s="218">
        <f t="shared" si="7"/>
        <v>0</v>
      </c>
      <c r="N11" s="218">
        <f t="shared" si="4"/>
        <v>0</v>
      </c>
      <c r="O11" s="838">
        <f t="shared" si="8"/>
        <v>0</v>
      </c>
      <c r="P11" s="218">
        <f t="shared" si="5"/>
        <v>0</v>
      </c>
      <c r="Q11" s="216"/>
    </row>
    <row r="12" spans="1:23">
      <c r="B12" s="216">
        <v>4</v>
      </c>
      <c r="C12" s="216"/>
      <c r="D12" s="838">
        <f t="shared" ref="D12:D39" si="9">+O11</f>
        <v>0</v>
      </c>
      <c r="E12" s="218">
        <f t="shared" si="0"/>
        <v>0</v>
      </c>
      <c r="F12" s="216"/>
      <c r="G12" s="216"/>
      <c r="H12" s="218">
        <f t="shared" si="1"/>
        <v>0</v>
      </c>
      <c r="I12" s="216">
        <f t="shared" si="6"/>
        <v>0</v>
      </c>
      <c r="J12" s="218">
        <f t="shared" si="2"/>
        <v>0</v>
      </c>
      <c r="K12" s="216"/>
      <c r="L12" s="218">
        <f t="shared" si="3"/>
        <v>0</v>
      </c>
      <c r="M12" s="218">
        <f t="shared" si="7"/>
        <v>0</v>
      </c>
      <c r="N12" s="218">
        <f t="shared" si="4"/>
        <v>0</v>
      </c>
      <c r="O12" s="838">
        <f t="shared" si="8"/>
        <v>0</v>
      </c>
      <c r="P12" s="218">
        <f t="shared" si="5"/>
        <v>0</v>
      </c>
      <c r="Q12" s="216"/>
    </row>
    <row r="13" spans="1:23">
      <c r="B13" s="216">
        <v>5</v>
      </c>
      <c r="C13" s="216"/>
      <c r="D13" s="838">
        <f t="shared" si="9"/>
        <v>0</v>
      </c>
      <c r="E13" s="218">
        <f t="shared" si="0"/>
        <v>0</v>
      </c>
      <c r="F13" s="216"/>
      <c r="G13" s="216"/>
      <c r="H13" s="218">
        <f t="shared" si="1"/>
        <v>0</v>
      </c>
      <c r="I13" s="216">
        <f t="shared" si="6"/>
        <v>0</v>
      </c>
      <c r="J13" s="218">
        <f t="shared" si="2"/>
        <v>0</v>
      </c>
      <c r="K13" s="216"/>
      <c r="L13" s="218">
        <f t="shared" si="3"/>
        <v>0</v>
      </c>
      <c r="M13" s="218">
        <f t="shared" si="7"/>
        <v>0</v>
      </c>
      <c r="N13" s="218">
        <f t="shared" si="4"/>
        <v>0</v>
      </c>
      <c r="O13" s="838">
        <f t="shared" si="8"/>
        <v>0</v>
      </c>
      <c r="P13" s="218">
        <f t="shared" si="5"/>
        <v>0</v>
      </c>
      <c r="Q13" s="216"/>
    </row>
    <row r="14" spans="1:23">
      <c r="B14" s="216">
        <v>6</v>
      </c>
      <c r="C14" s="216"/>
      <c r="D14" s="838">
        <f t="shared" si="9"/>
        <v>0</v>
      </c>
      <c r="E14" s="218">
        <f t="shared" si="0"/>
        <v>0</v>
      </c>
      <c r="F14" s="216"/>
      <c r="G14" s="216"/>
      <c r="H14" s="218">
        <f t="shared" si="1"/>
        <v>0</v>
      </c>
      <c r="I14" s="216">
        <f t="shared" si="6"/>
        <v>0</v>
      </c>
      <c r="J14" s="218">
        <f t="shared" si="2"/>
        <v>0</v>
      </c>
      <c r="K14" s="216"/>
      <c r="L14" s="218">
        <f t="shared" si="3"/>
        <v>0</v>
      </c>
      <c r="M14" s="218">
        <f t="shared" si="7"/>
        <v>0</v>
      </c>
      <c r="N14" s="218">
        <f t="shared" si="4"/>
        <v>0</v>
      </c>
      <c r="O14" s="838">
        <f t="shared" si="8"/>
        <v>0</v>
      </c>
      <c r="P14" s="218">
        <f t="shared" si="5"/>
        <v>0</v>
      </c>
      <c r="Q14" s="216"/>
    </row>
    <row r="15" spans="1:23">
      <c r="B15" s="216">
        <v>7</v>
      </c>
      <c r="C15" s="216"/>
      <c r="D15" s="838">
        <f t="shared" si="9"/>
        <v>0</v>
      </c>
      <c r="E15" s="218">
        <f t="shared" si="0"/>
        <v>0</v>
      </c>
      <c r="F15" s="216"/>
      <c r="G15" s="216"/>
      <c r="H15" s="218">
        <f t="shared" si="1"/>
        <v>0</v>
      </c>
      <c r="I15" s="216">
        <f t="shared" si="6"/>
        <v>0</v>
      </c>
      <c r="J15" s="218">
        <f t="shared" si="2"/>
        <v>0</v>
      </c>
      <c r="K15" s="216"/>
      <c r="L15" s="218">
        <f t="shared" si="3"/>
        <v>0</v>
      </c>
      <c r="M15" s="218">
        <f t="shared" si="7"/>
        <v>0</v>
      </c>
      <c r="N15" s="218">
        <f t="shared" si="4"/>
        <v>0</v>
      </c>
      <c r="O15" s="838">
        <f t="shared" si="8"/>
        <v>0</v>
      </c>
      <c r="P15" s="218">
        <f t="shared" si="5"/>
        <v>0</v>
      </c>
      <c r="Q15" s="216"/>
    </row>
    <row r="16" spans="1:23">
      <c r="B16" s="216">
        <v>8</v>
      </c>
      <c r="C16" s="216"/>
      <c r="D16" s="838">
        <f t="shared" si="9"/>
        <v>0</v>
      </c>
      <c r="E16" s="218">
        <f t="shared" si="0"/>
        <v>0</v>
      </c>
      <c r="F16" s="216"/>
      <c r="G16" s="216"/>
      <c r="H16" s="218">
        <f t="shared" si="1"/>
        <v>0</v>
      </c>
      <c r="I16" s="216">
        <f t="shared" si="6"/>
        <v>0</v>
      </c>
      <c r="J16" s="218">
        <f t="shared" si="2"/>
        <v>0</v>
      </c>
      <c r="K16" s="216"/>
      <c r="L16" s="218">
        <f t="shared" si="3"/>
        <v>0</v>
      </c>
      <c r="M16" s="218">
        <f t="shared" si="7"/>
        <v>0</v>
      </c>
      <c r="N16" s="218">
        <f t="shared" si="4"/>
        <v>0</v>
      </c>
      <c r="O16" s="838">
        <f t="shared" si="8"/>
        <v>0</v>
      </c>
      <c r="P16" s="218">
        <f t="shared" si="5"/>
        <v>0</v>
      </c>
      <c r="Q16" s="216"/>
    </row>
    <row r="17" spans="2:18">
      <c r="B17" s="216">
        <v>9</v>
      </c>
      <c r="C17" s="216"/>
      <c r="D17" s="838">
        <f t="shared" si="9"/>
        <v>0</v>
      </c>
      <c r="E17" s="218">
        <f t="shared" si="0"/>
        <v>0</v>
      </c>
      <c r="F17" s="216"/>
      <c r="G17" s="216"/>
      <c r="H17" s="218">
        <f t="shared" si="1"/>
        <v>0</v>
      </c>
      <c r="I17" s="216">
        <f t="shared" si="6"/>
        <v>0</v>
      </c>
      <c r="J17" s="218">
        <f t="shared" si="2"/>
        <v>0</v>
      </c>
      <c r="K17" s="216"/>
      <c r="L17" s="218">
        <f t="shared" si="3"/>
        <v>0</v>
      </c>
      <c r="M17" s="218">
        <f t="shared" si="7"/>
        <v>0</v>
      </c>
      <c r="N17" s="218">
        <f t="shared" si="4"/>
        <v>0</v>
      </c>
      <c r="O17" s="838">
        <f t="shared" si="8"/>
        <v>0</v>
      </c>
      <c r="P17" s="218">
        <f t="shared" si="5"/>
        <v>0</v>
      </c>
      <c r="Q17" s="216"/>
    </row>
    <row r="18" spans="2:18">
      <c r="B18" s="216">
        <v>10</v>
      </c>
      <c r="C18" s="216"/>
      <c r="D18" s="838">
        <f t="shared" si="9"/>
        <v>0</v>
      </c>
      <c r="E18" s="218">
        <f t="shared" si="0"/>
        <v>0</v>
      </c>
      <c r="F18" s="216"/>
      <c r="G18" s="216"/>
      <c r="H18" s="218">
        <f t="shared" si="1"/>
        <v>0</v>
      </c>
      <c r="I18" s="216">
        <f t="shared" si="6"/>
        <v>0</v>
      </c>
      <c r="J18" s="218">
        <f t="shared" si="2"/>
        <v>0</v>
      </c>
      <c r="K18" s="216"/>
      <c r="L18" s="218">
        <f t="shared" si="3"/>
        <v>0</v>
      </c>
      <c r="M18" s="218">
        <f t="shared" si="7"/>
        <v>0</v>
      </c>
      <c r="N18" s="218">
        <f t="shared" si="4"/>
        <v>0</v>
      </c>
      <c r="O18" s="838">
        <f t="shared" si="8"/>
        <v>0</v>
      </c>
      <c r="P18" s="218">
        <f t="shared" si="5"/>
        <v>0</v>
      </c>
      <c r="Q18" s="216"/>
    </row>
    <row r="19" spans="2:18">
      <c r="B19" s="216">
        <v>11</v>
      </c>
      <c r="C19" s="216"/>
      <c r="D19" s="838">
        <f t="shared" si="9"/>
        <v>0</v>
      </c>
      <c r="E19" s="218">
        <f t="shared" si="0"/>
        <v>0</v>
      </c>
      <c r="F19" s="216"/>
      <c r="G19" s="216"/>
      <c r="H19" s="218">
        <f t="shared" si="1"/>
        <v>0</v>
      </c>
      <c r="I19" s="216">
        <f t="shared" si="6"/>
        <v>0</v>
      </c>
      <c r="J19" s="218">
        <f t="shared" si="2"/>
        <v>0</v>
      </c>
      <c r="K19" s="216"/>
      <c r="L19" s="218">
        <f t="shared" si="3"/>
        <v>0</v>
      </c>
      <c r="M19" s="218">
        <f t="shared" si="7"/>
        <v>0</v>
      </c>
      <c r="N19" s="218">
        <f t="shared" si="4"/>
        <v>0</v>
      </c>
      <c r="O19" s="838">
        <f t="shared" si="8"/>
        <v>0</v>
      </c>
      <c r="P19" s="218">
        <f t="shared" si="5"/>
        <v>0</v>
      </c>
      <c r="Q19" s="216"/>
    </row>
    <row r="20" spans="2:18">
      <c r="B20" s="216">
        <v>12</v>
      </c>
      <c r="C20" s="216"/>
      <c r="D20" s="838">
        <f t="shared" si="9"/>
        <v>0</v>
      </c>
      <c r="E20" s="218">
        <f t="shared" si="0"/>
        <v>0</v>
      </c>
      <c r="F20" s="216"/>
      <c r="G20" s="216"/>
      <c r="H20" s="218">
        <f t="shared" si="1"/>
        <v>0</v>
      </c>
      <c r="I20" s="216">
        <f t="shared" si="6"/>
        <v>0</v>
      </c>
      <c r="J20" s="218">
        <f t="shared" si="2"/>
        <v>0</v>
      </c>
      <c r="K20" s="216"/>
      <c r="L20" s="218">
        <f t="shared" si="3"/>
        <v>0</v>
      </c>
      <c r="M20" s="218">
        <f t="shared" si="7"/>
        <v>0</v>
      </c>
      <c r="N20" s="218">
        <f t="shared" si="4"/>
        <v>0</v>
      </c>
      <c r="O20" s="838">
        <f t="shared" si="8"/>
        <v>0</v>
      </c>
      <c r="P20" s="218">
        <f t="shared" si="5"/>
        <v>0</v>
      </c>
      <c r="Q20" s="216"/>
    </row>
    <row r="21" spans="2:18">
      <c r="B21" s="216">
        <v>13</v>
      </c>
      <c r="C21" s="216"/>
      <c r="D21" s="838">
        <f t="shared" si="9"/>
        <v>0</v>
      </c>
      <c r="E21" s="218">
        <f t="shared" si="0"/>
        <v>0</v>
      </c>
      <c r="F21" s="216"/>
      <c r="G21" s="216"/>
      <c r="H21" s="218">
        <f t="shared" si="1"/>
        <v>0</v>
      </c>
      <c r="I21" s="216">
        <f t="shared" si="6"/>
        <v>0</v>
      </c>
      <c r="J21" s="218">
        <f t="shared" si="2"/>
        <v>0</v>
      </c>
      <c r="K21" s="216"/>
      <c r="L21" s="218">
        <f t="shared" si="3"/>
        <v>0</v>
      </c>
      <c r="M21" s="218">
        <f t="shared" si="7"/>
        <v>0</v>
      </c>
      <c r="N21" s="218">
        <f t="shared" si="4"/>
        <v>0</v>
      </c>
      <c r="O21" s="838">
        <f t="shared" si="8"/>
        <v>0</v>
      </c>
      <c r="P21" s="218">
        <f t="shared" si="5"/>
        <v>0</v>
      </c>
      <c r="Q21" s="216"/>
    </row>
    <row r="22" spans="2:18">
      <c r="B22" s="216">
        <v>14</v>
      </c>
      <c r="C22" s="216"/>
      <c r="D22" s="838">
        <f t="shared" si="9"/>
        <v>0</v>
      </c>
      <c r="E22" s="218">
        <f t="shared" si="0"/>
        <v>0</v>
      </c>
      <c r="F22" s="216"/>
      <c r="G22" s="216"/>
      <c r="H22" s="218">
        <f t="shared" si="1"/>
        <v>0</v>
      </c>
      <c r="I22" s="216">
        <f t="shared" si="6"/>
        <v>0</v>
      </c>
      <c r="J22" s="218">
        <f t="shared" si="2"/>
        <v>0</v>
      </c>
      <c r="K22" s="216"/>
      <c r="L22" s="218">
        <f t="shared" si="3"/>
        <v>0</v>
      </c>
      <c r="M22" s="218">
        <f t="shared" si="7"/>
        <v>0</v>
      </c>
      <c r="N22" s="218">
        <f t="shared" si="4"/>
        <v>0</v>
      </c>
      <c r="O22" s="838">
        <f t="shared" si="8"/>
        <v>0</v>
      </c>
      <c r="P22" s="218">
        <f t="shared" si="5"/>
        <v>0</v>
      </c>
      <c r="Q22" s="216"/>
    </row>
    <row r="23" spans="2:18">
      <c r="B23" s="13">
        <v>15</v>
      </c>
      <c r="C23" s="13"/>
      <c r="D23" s="838">
        <f t="shared" si="9"/>
        <v>0</v>
      </c>
      <c r="E23" s="219">
        <f t="shared" si="0"/>
        <v>0</v>
      </c>
      <c r="F23" s="13"/>
      <c r="G23" s="13"/>
      <c r="H23" s="219">
        <f t="shared" si="1"/>
        <v>0</v>
      </c>
      <c r="I23" s="13">
        <f t="shared" si="6"/>
        <v>0</v>
      </c>
      <c r="J23" s="219">
        <f t="shared" si="2"/>
        <v>0</v>
      </c>
      <c r="K23" s="13"/>
      <c r="L23" s="219">
        <f t="shared" si="3"/>
        <v>0</v>
      </c>
      <c r="M23" s="219">
        <f t="shared" si="7"/>
        <v>0</v>
      </c>
      <c r="N23" s="219">
        <f t="shared" si="4"/>
        <v>0</v>
      </c>
      <c r="O23" s="841">
        <f t="shared" si="8"/>
        <v>0</v>
      </c>
      <c r="P23" s="219">
        <f t="shared" si="5"/>
        <v>0</v>
      </c>
      <c r="Q23" s="13"/>
      <c r="R23" s="234"/>
    </row>
    <row r="24" spans="2:18">
      <c r="B24" s="216">
        <v>16</v>
      </c>
      <c r="C24" s="216"/>
      <c r="D24" s="838">
        <f t="shared" si="9"/>
        <v>0</v>
      </c>
      <c r="E24" s="218">
        <f t="shared" si="0"/>
        <v>0</v>
      </c>
      <c r="F24" s="216"/>
      <c r="G24" s="216"/>
      <c r="H24" s="218">
        <f t="shared" si="1"/>
        <v>0</v>
      </c>
      <c r="I24" s="216">
        <f t="shared" si="6"/>
        <v>0</v>
      </c>
      <c r="J24" s="218">
        <f t="shared" si="2"/>
        <v>0</v>
      </c>
      <c r="K24" s="216"/>
      <c r="L24" s="218">
        <f t="shared" si="3"/>
        <v>0</v>
      </c>
      <c r="M24" s="218">
        <f t="shared" si="7"/>
        <v>0</v>
      </c>
      <c r="N24" s="218">
        <f t="shared" si="4"/>
        <v>0</v>
      </c>
      <c r="O24" s="838">
        <f t="shared" si="8"/>
        <v>0</v>
      </c>
      <c r="P24" s="218">
        <f t="shared" si="5"/>
        <v>0</v>
      </c>
      <c r="Q24" s="216"/>
    </row>
    <row r="25" spans="2:18">
      <c r="B25" s="13">
        <v>17</v>
      </c>
      <c r="C25" s="13"/>
      <c r="D25" s="838">
        <f t="shared" si="9"/>
        <v>0</v>
      </c>
      <c r="E25" s="219">
        <f t="shared" si="0"/>
        <v>0</v>
      </c>
      <c r="F25" s="13"/>
      <c r="G25" s="13"/>
      <c r="H25" s="219">
        <f t="shared" si="1"/>
        <v>0</v>
      </c>
      <c r="I25" s="13">
        <f t="shared" si="6"/>
        <v>0</v>
      </c>
      <c r="J25" s="219">
        <f t="shared" si="2"/>
        <v>0</v>
      </c>
      <c r="K25" s="13"/>
      <c r="L25" s="219">
        <f t="shared" si="3"/>
        <v>0</v>
      </c>
      <c r="M25" s="219">
        <f t="shared" si="7"/>
        <v>0</v>
      </c>
      <c r="N25" s="219">
        <f t="shared" si="4"/>
        <v>0</v>
      </c>
      <c r="O25" s="841">
        <f t="shared" si="8"/>
        <v>0</v>
      </c>
      <c r="P25" s="219">
        <f t="shared" si="5"/>
        <v>0</v>
      </c>
      <c r="Q25" s="13"/>
      <c r="R25" s="234"/>
    </row>
    <row r="26" spans="2:18">
      <c r="B26" s="216">
        <v>18</v>
      </c>
      <c r="C26" s="216"/>
      <c r="D26" s="838">
        <f t="shared" si="9"/>
        <v>0</v>
      </c>
      <c r="E26" s="218">
        <f t="shared" si="0"/>
        <v>0</v>
      </c>
      <c r="F26" s="216"/>
      <c r="G26" s="216"/>
      <c r="H26" s="218">
        <f t="shared" si="1"/>
        <v>0</v>
      </c>
      <c r="I26" s="216">
        <f t="shared" si="6"/>
        <v>0</v>
      </c>
      <c r="J26" s="218">
        <f t="shared" si="2"/>
        <v>0</v>
      </c>
      <c r="K26" s="216"/>
      <c r="L26" s="218">
        <f t="shared" si="3"/>
        <v>0</v>
      </c>
      <c r="M26" s="218">
        <f t="shared" si="7"/>
        <v>0</v>
      </c>
      <c r="N26" s="218">
        <f t="shared" si="4"/>
        <v>0</v>
      </c>
      <c r="O26" s="838">
        <f t="shared" si="8"/>
        <v>0</v>
      </c>
      <c r="P26" s="218">
        <f t="shared" si="5"/>
        <v>0</v>
      </c>
      <c r="Q26" s="216"/>
    </row>
    <row r="27" spans="2:18">
      <c r="B27" s="216">
        <v>19</v>
      </c>
      <c r="C27" s="216"/>
      <c r="D27" s="838">
        <f t="shared" si="9"/>
        <v>0</v>
      </c>
      <c r="E27" s="218">
        <f t="shared" si="0"/>
        <v>0</v>
      </c>
      <c r="F27" s="216"/>
      <c r="G27" s="216"/>
      <c r="H27" s="218">
        <f t="shared" si="1"/>
        <v>0</v>
      </c>
      <c r="I27" s="216">
        <f t="shared" si="6"/>
        <v>0</v>
      </c>
      <c r="J27" s="218">
        <f t="shared" si="2"/>
        <v>0</v>
      </c>
      <c r="K27" s="216"/>
      <c r="L27" s="218">
        <f t="shared" si="3"/>
        <v>0</v>
      </c>
      <c r="M27" s="218">
        <f t="shared" si="7"/>
        <v>0</v>
      </c>
      <c r="N27" s="218">
        <f t="shared" si="4"/>
        <v>0</v>
      </c>
      <c r="O27" s="838">
        <f t="shared" si="8"/>
        <v>0</v>
      </c>
      <c r="P27" s="218">
        <f t="shared" si="5"/>
        <v>0</v>
      </c>
      <c r="Q27" s="216"/>
    </row>
    <row r="28" spans="2:18">
      <c r="B28" s="216">
        <v>20</v>
      </c>
      <c r="C28" s="216"/>
      <c r="D28" s="838">
        <f t="shared" si="9"/>
        <v>0</v>
      </c>
      <c r="E28" s="218">
        <f t="shared" si="0"/>
        <v>0</v>
      </c>
      <c r="F28" s="216"/>
      <c r="G28" s="216"/>
      <c r="H28" s="218">
        <f t="shared" si="1"/>
        <v>0</v>
      </c>
      <c r="I28" s="216">
        <f t="shared" si="6"/>
        <v>0</v>
      </c>
      <c r="J28" s="218">
        <f t="shared" si="2"/>
        <v>0</v>
      </c>
      <c r="K28" s="216"/>
      <c r="L28" s="218">
        <f t="shared" si="3"/>
        <v>0</v>
      </c>
      <c r="M28" s="218">
        <f t="shared" si="7"/>
        <v>0</v>
      </c>
      <c r="N28" s="218">
        <f t="shared" si="4"/>
        <v>0</v>
      </c>
      <c r="O28" s="838">
        <f t="shared" si="8"/>
        <v>0</v>
      </c>
      <c r="P28" s="218">
        <f t="shared" si="5"/>
        <v>0</v>
      </c>
      <c r="Q28" s="216"/>
    </row>
    <row r="29" spans="2:18">
      <c r="B29" s="216">
        <v>21</v>
      </c>
      <c r="C29" s="216"/>
      <c r="D29" s="838">
        <f t="shared" si="9"/>
        <v>0</v>
      </c>
      <c r="E29" s="218">
        <f t="shared" si="0"/>
        <v>0</v>
      </c>
      <c r="F29" s="216"/>
      <c r="G29" s="216"/>
      <c r="H29" s="218">
        <f t="shared" si="1"/>
        <v>0</v>
      </c>
      <c r="I29" s="216">
        <f t="shared" si="6"/>
        <v>0</v>
      </c>
      <c r="J29" s="218">
        <f t="shared" si="2"/>
        <v>0</v>
      </c>
      <c r="K29" s="216"/>
      <c r="L29" s="218">
        <f t="shared" si="3"/>
        <v>0</v>
      </c>
      <c r="M29" s="218">
        <f t="shared" si="7"/>
        <v>0</v>
      </c>
      <c r="N29" s="218">
        <f t="shared" si="4"/>
        <v>0</v>
      </c>
      <c r="O29" s="838">
        <f t="shared" si="8"/>
        <v>0</v>
      </c>
      <c r="P29" s="218">
        <f t="shared" si="5"/>
        <v>0</v>
      </c>
      <c r="Q29" s="216"/>
    </row>
    <row r="30" spans="2:18">
      <c r="B30" s="216">
        <v>22</v>
      </c>
      <c r="C30" s="216"/>
      <c r="D30" s="838">
        <f t="shared" si="9"/>
        <v>0</v>
      </c>
      <c r="E30" s="218">
        <f t="shared" si="0"/>
        <v>0</v>
      </c>
      <c r="F30" s="216"/>
      <c r="G30" s="216"/>
      <c r="H30" s="218">
        <f t="shared" si="1"/>
        <v>0</v>
      </c>
      <c r="I30" s="216">
        <f t="shared" si="6"/>
        <v>0</v>
      </c>
      <c r="J30" s="218">
        <f t="shared" si="2"/>
        <v>0</v>
      </c>
      <c r="K30" s="216"/>
      <c r="L30" s="218">
        <f t="shared" si="3"/>
        <v>0</v>
      </c>
      <c r="M30" s="218">
        <f t="shared" si="7"/>
        <v>0</v>
      </c>
      <c r="N30" s="218">
        <f t="shared" si="4"/>
        <v>0</v>
      </c>
      <c r="O30" s="838">
        <f t="shared" si="8"/>
        <v>0</v>
      </c>
      <c r="P30" s="218">
        <f t="shared" si="5"/>
        <v>0</v>
      </c>
      <c r="Q30" s="216"/>
    </row>
    <row r="31" spans="2:18">
      <c r="B31" s="216">
        <v>23</v>
      </c>
      <c r="C31" s="216"/>
      <c r="D31" s="838">
        <f t="shared" si="9"/>
        <v>0</v>
      </c>
      <c r="E31" s="218">
        <f t="shared" si="0"/>
        <v>0</v>
      </c>
      <c r="F31" s="216"/>
      <c r="G31" s="216"/>
      <c r="H31" s="218">
        <f t="shared" si="1"/>
        <v>0</v>
      </c>
      <c r="I31" s="216">
        <f t="shared" si="6"/>
        <v>0</v>
      </c>
      <c r="J31" s="218">
        <f t="shared" si="2"/>
        <v>0</v>
      </c>
      <c r="K31" s="216"/>
      <c r="L31" s="218">
        <f t="shared" si="3"/>
        <v>0</v>
      </c>
      <c r="M31" s="218">
        <f t="shared" si="7"/>
        <v>0</v>
      </c>
      <c r="N31" s="218">
        <f t="shared" si="4"/>
        <v>0</v>
      </c>
      <c r="O31" s="838">
        <f t="shared" si="8"/>
        <v>0</v>
      </c>
      <c r="P31" s="218">
        <f t="shared" si="5"/>
        <v>0</v>
      </c>
      <c r="Q31" s="216"/>
    </row>
    <row r="32" spans="2:18">
      <c r="B32" s="216">
        <v>24</v>
      </c>
      <c r="C32" s="216"/>
      <c r="D32" s="838">
        <f t="shared" si="9"/>
        <v>0</v>
      </c>
      <c r="E32" s="218">
        <f t="shared" si="0"/>
        <v>0</v>
      </c>
      <c r="F32" s="216"/>
      <c r="G32" s="216"/>
      <c r="H32" s="218">
        <f t="shared" si="1"/>
        <v>0</v>
      </c>
      <c r="I32" s="216">
        <f t="shared" si="6"/>
        <v>0</v>
      </c>
      <c r="J32" s="218">
        <f t="shared" si="2"/>
        <v>0</v>
      </c>
      <c r="K32" s="216"/>
      <c r="L32" s="218">
        <f t="shared" si="3"/>
        <v>0</v>
      </c>
      <c r="M32" s="218">
        <f t="shared" si="7"/>
        <v>0</v>
      </c>
      <c r="N32" s="218">
        <f t="shared" si="4"/>
        <v>0</v>
      </c>
      <c r="O32" s="838">
        <f t="shared" si="8"/>
        <v>0</v>
      </c>
      <c r="P32" s="218">
        <f t="shared" si="5"/>
        <v>0</v>
      </c>
      <c r="Q32" s="216"/>
    </row>
    <row r="33" spans="2:17">
      <c r="B33" s="216">
        <v>25</v>
      </c>
      <c r="C33" s="216"/>
      <c r="D33" s="838">
        <f t="shared" si="9"/>
        <v>0</v>
      </c>
      <c r="E33" s="218">
        <f t="shared" si="0"/>
        <v>0</v>
      </c>
      <c r="F33" s="216"/>
      <c r="G33" s="216"/>
      <c r="H33" s="218">
        <f t="shared" si="1"/>
        <v>0</v>
      </c>
      <c r="I33" s="216">
        <f t="shared" si="6"/>
        <v>0</v>
      </c>
      <c r="J33" s="218">
        <f t="shared" si="2"/>
        <v>0</v>
      </c>
      <c r="K33" s="216"/>
      <c r="L33" s="218">
        <f t="shared" si="3"/>
        <v>0</v>
      </c>
      <c r="M33" s="218">
        <f t="shared" si="7"/>
        <v>0</v>
      </c>
      <c r="N33" s="218">
        <f t="shared" si="4"/>
        <v>0</v>
      </c>
      <c r="O33" s="838">
        <f t="shared" si="8"/>
        <v>0</v>
      </c>
      <c r="P33" s="218">
        <f t="shared" si="5"/>
        <v>0</v>
      </c>
      <c r="Q33" s="216"/>
    </row>
    <row r="34" spans="2:17">
      <c r="B34" s="216">
        <v>26</v>
      </c>
      <c r="C34" s="216"/>
      <c r="D34" s="838">
        <f t="shared" si="9"/>
        <v>0</v>
      </c>
      <c r="E34" s="218">
        <f t="shared" si="0"/>
        <v>0</v>
      </c>
      <c r="F34" s="216"/>
      <c r="G34" s="216"/>
      <c r="H34" s="218">
        <f t="shared" si="1"/>
        <v>0</v>
      </c>
      <c r="I34" s="216">
        <f t="shared" si="6"/>
        <v>0</v>
      </c>
      <c r="J34" s="218">
        <f t="shared" si="2"/>
        <v>0</v>
      </c>
      <c r="K34" s="216"/>
      <c r="L34" s="218">
        <f t="shared" si="3"/>
        <v>0</v>
      </c>
      <c r="M34" s="218">
        <f t="shared" si="7"/>
        <v>0</v>
      </c>
      <c r="N34" s="218">
        <f t="shared" si="4"/>
        <v>0</v>
      </c>
      <c r="O34" s="838">
        <f t="shared" si="8"/>
        <v>0</v>
      </c>
      <c r="P34" s="218">
        <f t="shared" si="5"/>
        <v>0</v>
      </c>
      <c r="Q34" s="216"/>
    </row>
    <row r="35" spans="2:17">
      <c r="B35" s="216">
        <v>27</v>
      </c>
      <c r="C35" s="216"/>
      <c r="D35" s="838">
        <f t="shared" si="9"/>
        <v>0</v>
      </c>
      <c r="E35" s="218">
        <f t="shared" si="0"/>
        <v>0</v>
      </c>
      <c r="F35" s="216"/>
      <c r="G35" s="216"/>
      <c r="H35" s="218">
        <f t="shared" si="1"/>
        <v>0</v>
      </c>
      <c r="I35" s="216">
        <f t="shared" si="6"/>
        <v>0</v>
      </c>
      <c r="J35" s="218">
        <f t="shared" si="2"/>
        <v>0</v>
      </c>
      <c r="K35" s="216"/>
      <c r="L35" s="218">
        <f t="shared" si="3"/>
        <v>0</v>
      </c>
      <c r="M35" s="218">
        <f t="shared" si="7"/>
        <v>0</v>
      </c>
      <c r="N35" s="218">
        <f t="shared" si="4"/>
        <v>0</v>
      </c>
      <c r="O35" s="838">
        <f t="shared" si="8"/>
        <v>0</v>
      </c>
      <c r="P35" s="218">
        <f t="shared" si="5"/>
        <v>0</v>
      </c>
      <c r="Q35" s="216"/>
    </row>
    <row r="36" spans="2:17">
      <c r="B36" s="216">
        <v>28</v>
      </c>
      <c r="C36" s="216"/>
      <c r="D36" s="838">
        <f t="shared" si="9"/>
        <v>0</v>
      </c>
      <c r="E36" s="218">
        <f t="shared" si="0"/>
        <v>0</v>
      </c>
      <c r="F36" s="216"/>
      <c r="G36" s="216"/>
      <c r="H36" s="218">
        <f t="shared" si="1"/>
        <v>0</v>
      </c>
      <c r="I36" s="216">
        <f t="shared" si="6"/>
        <v>0</v>
      </c>
      <c r="J36" s="218">
        <f t="shared" si="2"/>
        <v>0</v>
      </c>
      <c r="K36" s="216"/>
      <c r="L36" s="218">
        <f t="shared" si="3"/>
        <v>0</v>
      </c>
      <c r="M36" s="218">
        <f t="shared" si="7"/>
        <v>0</v>
      </c>
      <c r="N36" s="218">
        <f t="shared" si="4"/>
        <v>0</v>
      </c>
      <c r="O36" s="838">
        <f t="shared" si="8"/>
        <v>0</v>
      </c>
      <c r="P36" s="218">
        <f t="shared" si="5"/>
        <v>0</v>
      </c>
      <c r="Q36" s="216"/>
    </row>
    <row r="37" spans="2:17">
      <c r="B37" s="216">
        <v>29</v>
      </c>
      <c r="C37" s="216"/>
      <c r="D37" s="838">
        <f t="shared" si="9"/>
        <v>0</v>
      </c>
      <c r="E37" s="218">
        <f t="shared" si="0"/>
        <v>0</v>
      </c>
      <c r="F37" s="216"/>
      <c r="G37" s="216"/>
      <c r="H37" s="218">
        <f t="shared" si="1"/>
        <v>0</v>
      </c>
      <c r="I37" s="216">
        <f t="shared" si="6"/>
        <v>0</v>
      </c>
      <c r="J37" s="218">
        <f t="shared" si="2"/>
        <v>0</v>
      </c>
      <c r="K37" s="216"/>
      <c r="L37" s="218">
        <f t="shared" si="3"/>
        <v>0</v>
      </c>
      <c r="M37" s="218">
        <f t="shared" si="7"/>
        <v>0</v>
      </c>
      <c r="N37" s="218">
        <f t="shared" si="4"/>
        <v>0</v>
      </c>
      <c r="O37" s="838">
        <f t="shared" si="8"/>
        <v>0</v>
      </c>
      <c r="P37" s="218">
        <f t="shared" si="5"/>
        <v>0</v>
      </c>
      <c r="Q37" s="216"/>
    </row>
    <row r="38" spans="2:17">
      <c r="B38" s="216">
        <v>30</v>
      </c>
      <c r="C38" s="3"/>
      <c r="D38" s="838">
        <f t="shared" si="9"/>
        <v>0</v>
      </c>
      <c r="E38" s="218">
        <f t="shared" si="0"/>
        <v>0</v>
      </c>
      <c r="F38" s="130"/>
      <c r="G38" s="130"/>
      <c r="H38" s="218">
        <f t="shared" si="1"/>
        <v>0</v>
      </c>
      <c r="I38" s="216">
        <f t="shared" si="6"/>
        <v>0</v>
      </c>
      <c r="J38" s="218">
        <f t="shared" si="2"/>
        <v>0</v>
      </c>
      <c r="K38" s="130"/>
      <c r="L38" s="218">
        <f t="shared" si="3"/>
        <v>0</v>
      </c>
      <c r="M38" s="218">
        <f t="shared" si="7"/>
        <v>0</v>
      </c>
      <c r="N38" s="218">
        <f t="shared" si="4"/>
        <v>0</v>
      </c>
      <c r="O38" s="838">
        <f t="shared" si="8"/>
        <v>0</v>
      </c>
      <c r="P38" s="218">
        <f t="shared" si="5"/>
        <v>0</v>
      </c>
      <c r="Q38" s="3"/>
    </row>
    <row r="39" spans="2:17">
      <c r="B39" s="222">
        <v>31</v>
      </c>
      <c r="D39" s="838">
        <f t="shared" si="9"/>
        <v>0</v>
      </c>
      <c r="E39" s="846">
        <f t="shared" si="0"/>
        <v>0</v>
      </c>
      <c r="F39" s="223"/>
      <c r="G39" s="223"/>
      <c r="H39" s="846">
        <f t="shared" si="1"/>
        <v>0</v>
      </c>
      <c r="I39" s="216">
        <f t="shared" si="6"/>
        <v>0</v>
      </c>
      <c r="J39" s="846">
        <f t="shared" si="2"/>
        <v>0</v>
      </c>
      <c r="K39" s="223"/>
      <c r="L39" s="218">
        <f t="shared" si="3"/>
        <v>0</v>
      </c>
      <c r="M39" s="218">
        <f t="shared" si="7"/>
        <v>0</v>
      </c>
      <c r="N39" s="218">
        <f t="shared" si="4"/>
        <v>0</v>
      </c>
      <c r="O39" s="838">
        <f t="shared" si="8"/>
        <v>0</v>
      </c>
      <c r="P39" s="846">
        <f t="shared" si="5"/>
        <v>0</v>
      </c>
      <c r="Q39" s="223"/>
    </row>
    <row r="40" spans="2:17">
      <c r="B40" s="928" t="s">
        <v>10</v>
      </c>
      <c r="C40" s="929"/>
      <c r="D40" s="929"/>
      <c r="E40" s="930"/>
      <c r="F40" s="130">
        <f t="shared" ref="F40:N40" si="10">SUM(F9:F39)</f>
        <v>0</v>
      </c>
      <c r="G40" s="239">
        <f t="shared" si="10"/>
        <v>0</v>
      </c>
      <c r="H40" s="224">
        <f t="shared" si="10"/>
        <v>0</v>
      </c>
      <c r="I40" s="130"/>
      <c r="J40" s="130"/>
      <c r="K40" s="239">
        <f t="shared" si="10"/>
        <v>0</v>
      </c>
      <c r="L40" s="224">
        <f t="shared" si="10"/>
        <v>0</v>
      </c>
      <c r="M40" s="148"/>
      <c r="N40" s="130">
        <f t="shared" si="10"/>
        <v>0</v>
      </c>
      <c r="O40" s="130"/>
      <c r="P40" s="130"/>
      <c r="Q40" s="3"/>
    </row>
    <row r="42" spans="2:17">
      <c r="B42" s="931" t="s">
        <v>23</v>
      </c>
      <c r="C42" s="931"/>
      <c r="D42" s="931"/>
      <c r="E42" s="931"/>
      <c r="F42" s="3"/>
      <c r="G42" s="130">
        <f>G40*S7/1000</f>
        <v>0</v>
      </c>
      <c r="H42" s="151">
        <f>+G40*S6/1000</f>
        <v>0</v>
      </c>
      <c r="J42" s="3" t="s">
        <v>36</v>
      </c>
      <c r="K42" s="3"/>
      <c r="L42" s="130">
        <f>K40*S7/1000</f>
        <v>0</v>
      </c>
    </row>
    <row r="43" spans="2:17">
      <c r="O43" s="151"/>
    </row>
  </sheetData>
  <mergeCells count="20">
    <mergeCell ref="B2:Q2"/>
    <mergeCell ref="S2:T2"/>
    <mergeCell ref="U2:V2"/>
    <mergeCell ref="B3:Q3"/>
    <mergeCell ref="S3:V3"/>
    <mergeCell ref="B4:Q4"/>
    <mergeCell ref="S4:V4"/>
    <mergeCell ref="A5:Q5"/>
    <mergeCell ref="S5:V5"/>
    <mergeCell ref="D6:F6"/>
    <mergeCell ref="G6:H6"/>
    <mergeCell ref="I6:J6"/>
    <mergeCell ref="K6:L6"/>
    <mergeCell ref="O6:P6"/>
    <mergeCell ref="S6:V6"/>
    <mergeCell ref="S7:V7"/>
    <mergeCell ref="S8:V8"/>
    <mergeCell ref="B40:E40"/>
    <mergeCell ref="B42:E42"/>
    <mergeCell ref="M6:M8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47"/>
  <sheetViews>
    <sheetView topLeftCell="B1" zoomScale="80" zoomScaleNormal="80" workbookViewId="0">
      <pane ySplit="8" topLeftCell="A30" activePane="bottomLeft" state="frozen"/>
      <selection pane="bottomLeft" activeCell="S6" sqref="S6:V6"/>
    </sheetView>
  </sheetViews>
  <sheetFormatPr defaultColWidth="9" defaultRowHeight="15"/>
  <cols>
    <col min="1" max="1" width="9" hidden="1" customWidth="1"/>
    <col min="3" max="3" width="9" hidden="1" customWidth="1"/>
    <col min="5" max="5" width="10.42578125" customWidth="1"/>
    <col min="6" max="6" width="9" hidden="1" customWidth="1"/>
    <col min="8" max="8" width="10.42578125" customWidth="1"/>
    <col min="10" max="10" width="10.42578125" customWidth="1"/>
    <col min="11" max="11" width="10.28515625" customWidth="1"/>
    <col min="12" max="13" width="10.42578125" customWidth="1"/>
    <col min="14" max="14" width="12" customWidth="1"/>
    <col min="15" max="15" width="8.28515625" customWidth="1"/>
    <col min="16" max="16" width="10.42578125" customWidth="1"/>
    <col min="17" max="17" width="14.42578125" customWidth="1"/>
    <col min="18" max="18" width="18.28515625" customWidth="1"/>
    <col min="19" max="19" width="11.28515625" customWidth="1"/>
    <col min="20" max="20" width="3" hidden="1" customWidth="1"/>
    <col min="21" max="21" width="9" customWidth="1"/>
    <col min="22" max="22" width="6.28515625" customWidth="1"/>
    <col min="23" max="23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129"/>
      <c r="S2" s="931"/>
      <c r="T2" s="931"/>
      <c r="U2" s="129"/>
      <c r="V2" s="227"/>
      <c r="W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129" t="s">
        <v>3</v>
      </c>
      <c r="S3" s="931"/>
      <c r="T3" s="931"/>
      <c r="U3" s="931"/>
      <c r="V3" s="931"/>
      <c r="W3" s="170"/>
    </row>
    <row r="4" spans="1:23" ht="21">
      <c r="B4" s="939" t="s">
        <v>44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129" t="s">
        <v>5</v>
      </c>
      <c r="S4" s="931"/>
      <c r="T4" s="931"/>
      <c r="U4" s="931"/>
      <c r="V4" s="931"/>
      <c r="W4" s="170"/>
    </row>
    <row r="5" spans="1:23" ht="21">
      <c r="A5" s="932" t="s">
        <v>45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933"/>
      <c r="R5" s="129" t="s">
        <v>7</v>
      </c>
      <c r="S5" s="931"/>
      <c r="T5" s="931"/>
      <c r="U5" s="931"/>
      <c r="V5" s="931"/>
      <c r="W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942" t="s">
        <v>12</v>
      </c>
      <c r="N6" s="215"/>
      <c r="O6" s="934" t="s">
        <v>13</v>
      </c>
      <c r="P6" s="934"/>
      <c r="Q6" s="225" t="s">
        <v>14</v>
      </c>
      <c r="R6" s="129" t="s">
        <v>15</v>
      </c>
      <c r="S6" s="941">
        <v>229.63</v>
      </c>
      <c r="T6" s="941"/>
      <c r="U6" s="941"/>
      <c r="V6" s="941"/>
      <c r="W6" s="170"/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16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18</v>
      </c>
      <c r="M7" s="943"/>
      <c r="N7" s="217"/>
      <c r="O7" s="217" t="s">
        <v>16</v>
      </c>
      <c r="P7" s="217" t="s">
        <v>17</v>
      </c>
      <c r="Q7" s="226"/>
      <c r="R7" s="129" t="s">
        <v>19</v>
      </c>
      <c r="S7" s="941">
        <f>S6*0.75%</f>
        <v>1.7222249999999999</v>
      </c>
      <c r="T7" s="941"/>
      <c r="U7" s="941"/>
      <c r="V7" s="941"/>
      <c r="W7" s="170"/>
    </row>
    <row r="8" spans="1:23">
      <c r="B8" s="216"/>
      <c r="C8" s="216"/>
      <c r="D8" s="217" t="s">
        <v>21</v>
      </c>
      <c r="E8" s="217" t="s">
        <v>22</v>
      </c>
      <c r="F8" s="217"/>
      <c r="G8" s="217" t="s">
        <v>21</v>
      </c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934"/>
      <c r="N8" s="217" t="s">
        <v>23</v>
      </c>
      <c r="O8" s="217" t="s">
        <v>21</v>
      </c>
      <c r="P8" s="217" t="s">
        <v>22</v>
      </c>
      <c r="Q8" s="226"/>
      <c r="R8" s="129" t="s">
        <v>24</v>
      </c>
      <c r="S8" s="941">
        <f>S6+S7</f>
        <v>231.352225</v>
      </c>
      <c r="T8" s="941"/>
      <c r="U8" s="941"/>
      <c r="V8" s="941"/>
      <c r="W8" s="170"/>
    </row>
    <row r="9" spans="1:23">
      <c r="B9" s="216">
        <v>1</v>
      </c>
      <c r="C9" s="216"/>
      <c r="D9" s="13"/>
      <c r="E9" s="219">
        <f>$S$8*D9/1000</f>
        <v>0</v>
      </c>
      <c r="F9" s="13"/>
      <c r="G9" s="13"/>
      <c r="H9" s="219">
        <f>$S$8*G9/1000</f>
        <v>0</v>
      </c>
      <c r="I9" s="13">
        <f>D9+G9</f>
        <v>0</v>
      </c>
      <c r="J9" s="219">
        <f>$S$8*I9/1000</f>
        <v>0</v>
      </c>
      <c r="K9" s="13"/>
      <c r="L9" s="219">
        <f>K9*S$8/1000</f>
        <v>0</v>
      </c>
      <c r="M9" s="219">
        <f>+K9*S$8/1000</f>
        <v>0</v>
      </c>
      <c r="N9" s="218">
        <f>K9*S$7/1000</f>
        <v>0</v>
      </c>
      <c r="O9" s="841">
        <f>D9+G9-K9</f>
        <v>0</v>
      </c>
      <c r="P9" s="219">
        <f>$S$8*O9/1000</f>
        <v>0</v>
      </c>
      <c r="Q9" s="218">
        <f>P9*T8/1000</f>
        <v>0</v>
      </c>
      <c r="W9" s="170"/>
    </row>
    <row r="10" spans="1:23">
      <c r="B10" s="216">
        <v>2</v>
      </c>
      <c r="C10" s="216"/>
      <c r="D10" s="841"/>
      <c r="E10" s="219">
        <f t="shared" ref="E10:E39" si="0">$S$8*D10/1000</f>
        <v>0</v>
      </c>
      <c r="F10" s="216"/>
      <c r="G10" s="13"/>
      <c r="H10" s="219">
        <f t="shared" ref="H10:H39" si="1">$S$8*G10/1000</f>
        <v>0</v>
      </c>
      <c r="I10" s="13">
        <f t="shared" ref="I10:I39" si="2">D10+G10</f>
        <v>0</v>
      </c>
      <c r="J10" s="219">
        <f t="shared" ref="J10:J39" si="3">$S$8*I10/1000</f>
        <v>0</v>
      </c>
      <c r="K10" s="216"/>
      <c r="L10" s="219">
        <f>K10*S$8/1000</f>
        <v>0</v>
      </c>
      <c r="M10" s="219">
        <f t="shared" ref="M10:M39" si="4">+K10*S$8/1000</f>
        <v>0</v>
      </c>
      <c r="N10" s="218">
        <f t="shared" ref="N10:N39" si="5">K10*S$7/1000</f>
        <v>0</v>
      </c>
      <c r="O10" s="841">
        <f t="shared" ref="O10:O39" si="6">D10+G10-K10</f>
        <v>0</v>
      </c>
      <c r="P10" s="219">
        <f t="shared" ref="P10:P39" si="7">$S$8*O10/1000</f>
        <v>0</v>
      </c>
      <c r="Q10" s="216"/>
    </row>
    <row r="11" spans="1:23">
      <c r="B11" s="216">
        <v>3</v>
      </c>
      <c r="C11" s="216"/>
      <c r="D11" s="841">
        <f t="shared" ref="D11:D16" si="8">+O10</f>
        <v>0</v>
      </c>
      <c r="E11" s="219">
        <f t="shared" si="0"/>
        <v>0</v>
      </c>
      <c r="F11" s="216"/>
      <c r="G11" s="13"/>
      <c r="H11" s="219">
        <f t="shared" si="1"/>
        <v>0</v>
      </c>
      <c r="I11" s="13">
        <f t="shared" si="2"/>
        <v>0</v>
      </c>
      <c r="J11" s="219">
        <f t="shared" si="3"/>
        <v>0</v>
      </c>
      <c r="K11" s="216"/>
      <c r="L11" s="219">
        <f>K11*S$8/1000</f>
        <v>0</v>
      </c>
      <c r="M11" s="219">
        <f t="shared" si="4"/>
        <v>0</v>
      </c>
      <c r="N11" s="218">
        <f t="shared" si="5"/>
        <v>0</v>
      </c>
      <c r="O11" s="841">
        <f t="shared" si="6"/>
        <v>0</v>
      </c>
      <c r="P11" s="219">
        <f t="shared" si="7"/>
        <v>0</v>
      </c>
      <c r="Q11" s="216"/>
    </row>
    <row r="12" spans="1:23">
      <c r="B12" s="216">
        <v>4</v>
      </c>
      <c r="C12" s="216"/>
      <c r="D12" s="841">
        <f t="shared" si="8"/>
        <v>0</v>
      </c>
      <c r="E12" s="219">
        <f t="shared" si="0"/>
        <v>0</v>
      </c>
      <c r="F12" s="216"/>
      <c r="G12" s="13"/>
      <c r="H12" s="219">
        <f t="shared" si="1"/>
        <v>0</v>
      </c>
      <c r="I12" s="13">
        <f t="shared" si="2"/>
        <v>0</v>
      </c>
      <c r="J12" s="219">
        <f t="shared" si="3"/>
        <v>0</v>
      </c>
      <c r="K12" s="216"/>
      <c r="L12" s="219">
        <f t="shared" ref="L12:L24" si="9">K12*S$6/1000</f>
        <v>0</v>
      </c>
      <c r="M12" s="219">
        <f t="shared" si="4"/>
        <v>0</v>
      </c>
      <c r="N12" s="218">
        <f t="shared" si="5"/>
        <v>0</v>
      </c>
      <c r="O12" s="841">
        <f t="shared" si="6"/>
        <v>0</v>
      </c>
      <c r="P12" s="219">
        <f t="shared" si="7"/>
        <v>0</v>
      </c>
      <c r="Q12" s="216"/>
    </row>
    <row r="13" spans="1:23">
      <c r="B13" s="216">
        <v>5</v>
      </c>
      <c r="C13" s="216"/>
      <c r="D13" s="841">
        <f t="shared" si="8"/>
        <v>0</v>
      </c>
      <c r="E13" s="219">
        <f t="shared" si="0"/>
        <v>0</v>
      </c>
      <c r="F13" s="216"/>
      <c r="G13" s="13"/>
      <c r="H13" s="219">
        <f t="shared" si="1"/>
        <v>0</v>
      </c>
      <c r="I13" s="13">
        <f t="shared" si="2"/>
        <v>0</v>
      </c>
      <c r="J13" s="219">
        <f t="shared" si="3"/>
        <v>0</v>
      </c>
      <c r="K13" s="216"/>
      <c r="L13" s="219">
        <f t="shared" si="9"/>
        <v>0</v>
      </c>
      <c r="M13" s="219">
        <f t="shared" si="4"/>
        <v>0</v>
      </c>
      <c r="N13" s="218">
        <f t="shared" si="5"/>
        <v>0</v>
      </c>
      <c r="O13" s="841">
        <f t="shared" si="6"/>
        <v>0</v>
      </c>
      <c r="P13" s="219">
        <f t="shared" si="7"/>
        <v>0</v>
      </c>
      <c r="Q13" s="216"/>
    </row>
    <row r="14" spans="1:23">
      <c r="B14" s="216">
        <v>6</v>
      </c>
      <c r="C14" s="216"/>
      <c r="D14" s="841">
        <f t="shared" si="8"/>
        <v>0</v>
      </c>
      <c r="E14" s="219">
        <f t="shared" si="0"/>
        <v>0</v>
      </c>
      <c r="F14" s="216"/>
      <c r="G14" s="13"/>
      <c r="H14" s="219">
        <f t="shared" si="1"/>
        <v>0</v>
      </c>
      <c r="I14" s="13">
        <f t="shared" si="2"/>
        <v>0</v>
      </c>
      <c r="J14" s="219">
        <f t="shared" si="3"/>
        <v>0</v>
      </c>
      <c r="K14" s="216"/>
      <c r="L14" s="219">
        <f t="shared" si="9"/>
        <v>0</v>
      </c>
      <c r="M14" s="219">
        <f t="shared" si="4"/>
        <v>0</v>
      </c>
      <c r="N14" s="218">
        <f t="shared" si="5"/>
        <v>0</v>
      </c>
      <c r="O14" s="841">
        <f t="shared" si="6"/>
        <v>0</v>
      </c>
      <c r="P14" s="219">
        <f t="shared" si="7"/>
        <v>0</v>
      </c>
      <c r="Q14" s="216"/>
      <c r="S14" s="216"/>
    </row>
    <row r="15" spans="1:23">
      <c r="B15" s="216">
        <v>7</v>
      </c>
      <c r="C15" s="216"/>
      <c r="D15" s="841">
        <f t="shared" si="8"/>
        <v>0</v>
      </c>
      <c r="E15" s="219">
        <f t="shared" si="0"/>
        <v>0</v>
      </c>
      <c r="F15" s="216"/>
      <c r="G15" s="13"/>
      <c r="H15" s="219">
        <f t="shared" si="1"/>
        <v>0</v>
      </c>
      <c r="I15" s="13">
        <f t="shared" si="2"/>
        <v>0</v>
      </c>
      <c r="J15" s="219">
        <f t="shared" si="3"/>
        <v>0</v>
      </c>
      <c r="K15" s="216"/>
      <c r="L15" s="219">
        <f t="shared" si="9"/>
        <v>0</v>
      </c>
      <c r="M15" s="219">
        <f t="shared" si="4"/>
        <v>0</v>
      </c>
      <c r="N15" s="218">
        <f t="shared" si="5"/>
        <v>0</v>
      </c>
      <c r="O15" s="841">
        <f t="shared" si="6"/>
        <v>0</v>
      </c>
      <c r="P15" s="219">
        <f t="shared" si="7"/>
        <v>0</v>
      </c>
      <c r="Q15" s="216"/>
    </row>
    <row r="16" spans="1:23">
      <c r="B16" s="216">
        <v>8</v>
      </c>
      <c r="C16" s="216"/>
      <c r="D16" s="841">
        <f t="shared" si="8"/>
        <v>0</v>
      </c>
      <c r="E16" s="219">
        <f t="shared" si="0"/>
        <v>0</v>
      </c>
      <c r="F16" s="216"/>
      <c r="G16" s="13"/>
      <c r="H16" s="219">
        <f t="shared" si="1"/>
        <v>0</v>
      </c>
      <c r="I16" s="13">
        <f t="shared" si="2"/>
        <v>0</v>
      </c>
      <c r="J16" s="219">
        <f t="shared" si="3"/>
        <v>0</v>
      </c>
      <c r="K16" s="216"/>
      <c r="L16" s="219">
        <f t="shared" si="9"/>
        <v>0</v>
      </c>
      <c r="M16" s="219">
        <f t="shared" si="4"/>
        <v>0</v>
      </c>
      <c r="N16" s="218">
        <f t="shared" si="5"/>
        <v>0</v>
      </c>
      <c r="O16" s="841">
        <f t="shared" si="6"/>
        <v>0</v>
      </c>
      <c r="P16" s="219">
        <f t="shared" si="7"/>
        <v>0</v>
      </c>
      <c r="Q16" s="216"/>
    </row>
    <row r="17" spans="2:17">
      <c r="B17" s="216">
        <v>9</v>
      </c>
      <c r="C17" s="216"/>
      <c r="D17" s="841">
        <f t="shared" ref="D17:D39" si="10">+D16</f>
        <v>0</v>
      </c>
      <c r="E17" s="219">
        <f t="shared" si="0"/>
        <v>0</v>
      </c>
      <c r="F17" s="216"/>
      <c r="G17" s="216"/>
      <c r="H17" s="219">
        <f t="shared" si="1"/>
        <v>0</v>
      </c>
      <c r="I17" s="13">
        <f t="shared" si="2"/>
        <v>0</v>
      </c>
      <c r="J17" s="219">
        <f t="shared" si="3"/>
        <v>0</v>
      </c>
      <c r="K17" s="216"/>
      <c r="L17" s="219">
        <f t="shared" si="9"/>
        <v>0</v>
      </c>
      <c r="M17" s="219">
        <f t="shared" si="4"/>
        <v>0</v>
      </c>
      <c r="N17" s="218">
        <f t="shared" si="5"/>
        <v>0</v>
      </c>
      <c r="O17" s="841">
        <f t="shared" si="6"/>
        <v>0</v>
      </c>
      <c r="P17" s="219">
        <f t="shared" si="7"/>
        <v>0</v>
      </c>
      <c r="Q17" s="216"/>
    </row>
    <row r="18" spans="2:17">
      <c r="B18" s="216">
        <v>10</v>
      </c>
      <c r="C18" s="216"/>
      <c r="D18" s="841">
        <f t="shared" si="10"/>
        <v>0</v>
      </c>
      <c r="E18" s="219">
        <f t="shared" si="0"/>
        <v>0</v>
      </c>
      <c r="F18" s="216"/>
      <c r="G18" s="216"/>
      <c r="H18" s="219">
        <f t="shared" si="1"/>
        <v>0</v>
      </c>
      <c r="I18" s="13">
        <f t="shared" si="2"/>
        <v>0</v>
      </c>
      <c r="J18" s="219">
        <f t="shared" si="3"/>
        <v>0</v>
      </c>
      <c r="K18" s="216"/>
      <c r="L18" s="219">
        <f t="shared" si="9"/>
        <v>0</v>
      </c>
      <c r="M18" s="219">
        <f t="shared" si="4"/>
        <v>0</v>
      </c>
      <c r="N18" s="218">
        <f t="shared" si="5"/>
        <v>0</v>
      </c>
      <c r="O18" s="841">
        <f t="shared" si="6"/>
        <v>0</v>
      </c>
      <c r="P18" s="219">
        <f t="shared" si="7"/>
        <v>0</v>
      </c>
      <c r="Q18" s="216"/>
    </row>
    <row r="19" spans="2:17">
      <c r="B19" s="216">
        <v>11</v>
      </c>
      <c r="C19" s="216"/>
      <c r="D19" s="841">
        <f t="shared" si="10"/>
        <v>0</v>
      </c>
      <c r="E19" s="219">
        <f t="shared" si="0"/>
        <v>0</v>
      </c>
      <c r="F19" s="216"/>
      <c r="G19" s="216"/>
      <c r="H19" s="219">
        <f t="shared" si="1"/>
        <v>0</v>
      </c>
      <c r="I19" s="13">
        <f t="shared" si="2"/>
        <v>0</v>
      </c>
      <c r="J19" s="219">
        <f t="shared" si="3"/>
        <v>0</v>
      </c>
      <c r="K19" s="216"/>
      <c r="L19" s="219">
        <f t="shared" si="9"/>
        <v>0</v>
      </c>
      <c r="M19" s="219">
        <f t="shared" si="4"/>
        <v>0</v>
      </c>
      <c r="N19" s="218">
        <f t="shared" si="5"/>
        <v>0</v>
      </c>
      <c r="O19" s="841">
        <f t="shared" si="6"/>
        <v>0</v>
      </c>
      <c r="P19" s="219">
        <f t="shared" si="7"/>
        <v>0</v>
      </c>
      <c r="Q19" s="216"/>
    </row>
    <row r="20" spans="2:17">
      <c r="B20" s="216">
        <v>12</v>
      </c>
      <c r="C20" s="216"/>
      <c r="D20" s="841">
        <f t="shared" si="10"/>
        <v>0</v>
      </c>
      <c r="E20" s="219">
        <f t="shared" si="0"/>
        <v>0</v>
      </c>
      <c r="F20" s="216"/>
      <c r="G20" s="216"/>
      <c r="H20" s="219">
        <f t="shared" si="1"/>
        <v>0</v>
      </c>
      <c r="I20" s="13">
        <f t="shared" si="2"/>
        <v>0</v>
      </c>
      <c r="J20" s="219">
        <f t="shared" si="3"/>
        <v>0</v>
      </c>
      <c r="K20" s="216"/>
      <c r="L20" s="219">
        <f t="shared" si="9"/>
        <v>0</v>
      </c>
      <c r="M20" s="219">
        <f t="shared" si="4"/>
        <v>0</v>
      </c>
      <c r="N20" s="218">
        <f t="shared" si="5"/>
        <v>0</v>
      </c>
      <c r="O20" s="841">
        <f t="shared" si="6"/>
        <v>0</v>
      </c>
      <c r="P20" s="219">
        <f t="shared" si="7"/>
        <v>0</v>
      </c>
      <c r="Q20" s="216"/>
    </row>
    <row r="21" spans="2:17">
      <c r="B21" s="216">
        <v>13</v>
      </c>
      <c r="C21" s="216"/>
      <c r="D21" s="841">
        <f t="shared" si="10"/>
        <v>0</v>
      </c>
      <c r="E21" s="219">
        <f t="shared" si="0"/>
        <v>0</v>
      </c>
      <c r="F21" s="216"/>
      <c r="G21" s="216"/>
      <c r="H21" s="219">
        <f t="shared" si="1"/>
        <v>0</v>
      </c>
      <c r="I21" s="13">
        <f t="shared" si="2"/>
        <v>0</v>
      </c>
      <c r="J21" s="219">
        <f t="shared" si="3"/>
        <v>0</v>
      </c>
      <c r="K21" s="216"/>
      <c r="L21" s="219">
        <f t="shared" si="9"/>
        <v>0</v>
      </c>
      <c r="M21" s="219">
        <f t="shared" si="4"/>
        <v>0</v>
      </c>
      <c r="N21" s="218">
        <f t="shared" si="5"/>
        <v>0</v>
      </c>
      <c r="O21" s="841">
        <f t="shared" si="6"/>
        <v>0</v>
      </c>
      <c r="P21" s="219">
        <f t="shared" si="7"/>
        <v>0</v>
      </c>
      <c r="Q21" s="216"/>
    </row>
    <row r="22" spans="2:17">
      <c r="B22" s="216">
        <v>14</v>
      </c>
      <c r="C22" s="216"/>
      <c r="D22" s="841">
        <f t="shared" si="10"/>
        <v>0</v>
      </c>
      <c r="E22" s="219">
        <f t="shared" si="0"/>
        <v>0</v>
      </c>
      <c r="F22" s="216"/>
      <c r="G22" s="216"/>
      <c r="H22" s="219">
        <f t="shared" si="1"/>
        <v>0</v>
      </c>
      <c r="I22" s="13">
        <f t="shared" si="2"/>
        <v>0</v>
      </c>
      <c r="J22" s="219">
        <f t="shared" si="3"/>
        <v>0</v>
      </c>
      <c r="K22" s="216"/>
      <c r="L22" s="219">
        <f t="shared" si="9"/>
        <v>0</v>
      </c>
      <c r="M22" s="219">
        <f t="shared" si="4"/>
        <v>0</v>
      </c>
      <c r="N22" s="218">
        <f t="shared" si="5"/>
        <v>0</v>
      </c>
      <c r="O22" s="841">
        <f t="shared" si="6"/>
        <v>0</v>
      </c>
      <c r="P22" s="219">
        <f t="shared" si="7"/>
        <v>0</v>
      </c>
      <c r="Q22" s="216"/>
    </row>
    <row r="23" spans="2:17">
      <c r="B23" s="216">
        <v>15</v>
      </c>
      <c r="C23" s="216"/>
      <c r="D23" s="841">
        <f t="shared" si="10"/>
        <v>0</v>
      </c>
      <c r="E23" s="219">
        <f t="shared" si="0"/>
        <v>0</v>
      </c>
      <c r="F23" s="216"/>
      <c r="G23" s="216"/>
      <c r="H23" s="219">
        <f t="shared" si="1"/>
        <v>0</v>
      </c>
      <c r="I23" s="13">
        <f t="shared" si="2"/>
        <v>0</v>
      </c>
      <c r="J23" s="219">
        <f t="shared" si="3"/>
        <v>0</v>
      </c>
      <c r="K23" s="216"/>
      <c r="L23" s="219">
        <f t="shared" si="9"/>
        <v>0</v>
      </c>
      <c r="M23" s="219">
        <f t="shared" si="4"/>
        <v>0</v>
      </c>
      <c r="N23" s="218">
        <f t="shared" si="5"/>
        <v>0</v>
      </c>
      <c r="O23" s="841">
        <f t="shared" si="6"/>
        <v>0</v>
      </c>
      <c r="P23" s="219">
        <f t="shared" si="7"/>
        <v>0</v>
      </c>
      <c r="Q23" s="216"/>
    </row>
    <row r="24" spans="2:17">
      <c r="B24" s="216">
        <v>16</v>
      </c>
      <c r="C24" s="216"/>
      <c r="D24" s="841">
        <f t="shared" si="10"/>
        <v>0</v>
      </c>
      <c r="E24" s="219">
        <f t="shared" si="0"/>
        <v>0</v>
      </c>
      <c r="F24" s="216"/>
      <c r="G24" s="216"/>
      <c r="H24" s="219">
        <f t="shared" si="1"/>
        <v>0</v>
      </c>
      <c r="I24" s="13">
        <f t="shared" si="2"/>
        <v>0</v>
      </c>
      <c r="J24" s="219">
        <f t="shared" si="3"/>
        <v>0</v>
      </c>
      <c r="K24" s="216"/>
      <c r="L24" s="219">
        <f t="shared" si="9"/>
        <v>0</v>
      </c>
      <c r="M24" s="219">
        <f t="shared" si="4"/>
        <v>0</v>
      </c>
      <c r="N24" s="218">
        <f t="shared" si="5"/>
        <v>0</v>
      </c>
      <c r="O24" s="841">
        <f t="shared" si="6"/>
        <v>0</v>
      </c>
      <c r="P24" s="219">
        <f t="shared" si="7"/>
        <v>0</v>
      </c>
      <c r="Q24" s="216"/>
    </row>
    <row r="25" spans="2:17">
      <c r="B25" s="216">
        <v>17</v>
      </c>
      <c r="C25" s="216"/>
      <c r="D25" s="841">
        <f t="shared" si="10"/>
        <v>0</v>
      </c>
      <c r="E25" s="219">
        <f t="shared" si="0"/>
        <v>0</v>
      </c>
      <c r="F25" s="216"/>
      <c r="G25" s="216"/>
      <c r="H25" s="219">
        <f t="shared" si="1"/>
        <v>0</v>
      </c>
      <c r="I25" s="13">
        <f t="shared" si="2"/>
        <v>0</v>
      </c>
      <c r="J25" s="219">
        <f t="shared" si="3"/>
        <v>0</v>
      </c>
      <c r="K25" s="216"/>
      <c r="L25" s="219">
        <f t="shared" ref="L25:L39" si="11">K25*S$6/1000</f>
        <v>0</v>
      </c>
      <c r="M25" s="219">
        <f t="shared" si="4"/>
        <v>0</v>
      </c>
      <c r="N25" s="218">
        <f t="shared" si="5"/>
        <v>0</v>
      </c>
      <c r="O25" s="841">
        <f t="shared" si="6"/>
        <v>0</v>
      </c>
      <c r="P25" s="219">
        <f t="shared" si="7"/>
        <v>0</v>
      </c>
      <c r="Q25" s="216"/>
    </row>
    <row r="26" spans="2:17">
      <c r="B26" s="216">
        <v>18</v>
      </c>
      <c r="C26" s="216"/>
      <c r="D26" s="841">
        <f t="shared" si="10"/>
        <v>0</v>
      </c>
      <c r="E26" s="219">
        <f t="shared" si="0"/>
        <v>0</v>
      </c>
      <c r="F26" s="216"/>
      <c r="G26" s="216"/>
      <c r="H26" s="219">
        <f t="shared" si="1"/>
        <v>0</v>
      </c>
      <c r="I26" s="13">
        <f t="shared" si="2"/>
        <v>0</v>
      </c>
      <c r="J26" s="219">
        <f t="shared" si="3"/>
        <v>0</v>
      </c>
      <c r="K26" s="216"/>
      <c r="L26" s="219">
        <f t="shared" si="11"/>
        <v>0</v>
      </c>
      <c r="M26" s="219">
        <f t="shared" si="4"/>
        <v>0</v>
      </c>
      <c r="N26" s="218">
        <f t="shared" si="5"/>
        <v>0</v>
      </c>
      <c r="O26" s="841">
        <f t="shared" si="6"/>
        <v>0</v>
      </c>
      <c r="P26" s="219">
        <f t="shared" si="7"/>
        <v>0</v>
      </c>
      <c r="Q26" s="216"/>
    </row>
    <row r="27" spans="2:17">
      <c r="B27" s="216">
        <v>19</v>
      </c>
      <c r="C27" s="216"/>
      <c r="D27" s="841">
        <f t="shared" si="10"/>
        <v>0</v>
      </c>
      <c r="E27" s="219">
        <f t="shared" si="0"/>
        <v>0</v>
      </c>
      <c r="F27" s="216"/>
      <c r="G27" s="216"/>
      <c r="H27" s="219">
        <f t="shared" si="1"/>
        <v>0</v>
      </c>
      <c r="I27" s="13">
        <f t="shared" si="2"/>
        <v>0</v>
      </c>
      <c r="J27" s="219">
        <f t="shared" si="3"/>
        <v>0</v>
      </c>
      <c r="K27" s="216"/>
      <c r="L27" s="219">
        <f t="shared" si="11"/>
        <v>0</v>
      </c>
      <c r="M27" s="219">
        <f t="shared" si="4"/>
        <v>0</v>
      </c>
      <c r="N27" s="218">
        <f t="shared" si="5"/>
        <v>0</v>
      </c>
      <c r="O27" s="841">
        <f t="shared" si="6"/>
        <v>0</v>
      </c>
      <c r="P27" s="219">
        <f t="shared" si="7"/>
        <v>0</v>
      </c>
      <c r="Q27" s="216"/>
    </row>
    <row r="28" spans="2:17">
      <c r="B28" s="216">
        <v>20</v>
      </c>
      <c r="C28" s="216"/>
      <c r="D28" s="841">
        <f t="shared" si="10"/>
        <v>0</v>
      </c>
      <c r="E28" s="219">
        <f t="shared" si="0"/>
        <v>0</v>
      </c>
      <c r="F28" s="216"/>
      <c r="G28" s="216"/>
      <c r="H28" s="219">
        <f t="shared" si="1"/>
        <v>0</v>
      </c>
      <c r="I28" s="13">
        <f t="shared" si="2"/>
        <v>0</v>
      </c>
      <c r="J28" s="219">
        <f t="shared" si="3"/>
        <v>0</v>
      </c>
      <c r="K28" s="216"/>
      <c r="L28" s="219">
        <f t="shared" si="11"/>
        <v>0</v>
      </c>
      <c r="M28" s="219">
        <f t="shared" si="4"/>
        <v>0</v>
      </c>
      <c r="N28" s="218">
        <f t="shared" si="5"/>
        <v>0</v>
      </c>
      <c r="O28" s="841">
        <f t="shared" si="6"/>
        <v>0</v>
      </c>
      <c r="P28" s="219">
        <f t="shared" si="7"/>
        <v>0</v>
      </c>
      <c r="Q28" s="216"/>
    </row>
    <row r="29" spans="2:17">
      <c r="B29" s="216">
        <v>21</v>
      </c>
      <c r="C29" s="216"/>
      <c r="D29" s="841">
        <f t="shared" si="10"/>
        <v>0</v>
      </c>
      <c r="E29" s="219">
        <f t="shared" si="0"/>
        <v>0</v>
      </c>
      <c r="F29" s="216"/>
      <c r="G29" s="216"/>
      <c r="H29" s="219">
        <f t="shared" si="1"/>
        <v>0</v>
      </c>
      <c r="I29" s="13">
        <f t="shared" si="2"/>
        <v>0</v>
      </c>
      <c r="J29" s="219">
        <f t="shared" si="3"/>
        <v>0</v>
      </c>
      <c r="K29" s="216"/>
      <c r="L29" s="219">
        <f t="shared" si="11"/>
        <v>0</v>
      </c>
      <c r="M29" s="219">
        <f t="shared" si="4"/>
        <v>0</v>
      </c>
      <c r="N29" s="218">
        <f t="shared" si="5"/>
        <v>0</v>
      </c>
      <c r="O29" s="841">
        <f t="shared" si="6"/>
        <v>0</v>
      </c>
      <c r="P29" s="219">
        <f t="shared" si="7"/>
        <v>0</v>
      </c>
      <c r="Q29" s="232"/>
    </row>
    <row r="30" spans="2:17">
      <c r="B30" s="216">
        <v>22</v>
      </c>
      <c r="C30" s="216"/>
      <c r="D30" s="841">
        <f t="shared" si="10"/>
        <v>0</v>
      </c>
      <c r="E30" s="219">
        <f t="shared" si="0"/>
        <v>0</v>
      </c>
      <c r="F30" s="216"/>
      <c r="G30" s="216"/>
      <c r="H30" s="219">
        <f t="shared" si="1"/>
        <v>0</v>
      </c>
      <c r="I30" s="13">
        <f t="shared" si="2"/>
        <v>0</v>
      </c>
      <c r="J30" s="219">
        <f t="shared" si="3"/>
        <v>0</v>
      </c>
      <c r="K30" s="216"/>
      <c r="L30" s="219">
        <f t="shared" si="11"/>
        <v>0</v>
      </c>
      <c r="M30" s="219">
        <f t="shared" si="4"/>
        <v>0</v>
      </c>
      <c r="N30" s="218">
        <f t="shared" si="5"/>
        <v>0</v>
      </c>
      <c r="O30" s="841">
        <f t="shared" si="6"/>
        <v>0</v>
      </c>
      <c r="P30" s="219">
        <f t="shared" si="7"/>
        <v>0</v>
      </c>
      <c r="Q30" s="216"/>
    </row>
    <row r="31" spans="2:17">
      <c r="B31" s="216">
        <v>23</v>
      </c>
      <c r="C31" s="216"/>
      <c r="D31" s="841">
        <f t="shared" si="10"/>
        <v>0</v>
      </c>
      <c r="E31" s="219">
        <f t="shared" si="0"/>
        <v>0</v>
      </c>
      <c r="F31" s="216"/>
      <c r="G31" s="216"/>
      <c r="H31" s="219">
        <f t="shared" si="1"/>
        <v>0</v>
      </c>
      <c r="I31" s="13">
        <f t="shared" si="2"/>
        <v>0</v>
      </c>
      <c r="J31" s="219">
        <f t="shared" si="3"/>
        <v>0</v>
      </c>
      <c r="K31" s="216"/>
      <c r="L31" s="219">
        <f t="shared" si="11"/>
        <v>0</v>
      </c>
      <c r="M31" s="219">
        <f t="shared" si="4"/>
        <v>0</v>
      </c>
      <c r="N31" s="218">
        <f t="shared" si="5"/>
        <v>0</v>
      </c>
      <c r="O31" s="841">
        <f t="shared" si="6"/>
        <v>0</v>
      </c>
      <c r="P31" s="219">
        <f t="shared" si="7"/>
        <v>0</v>
      </c>
      <c r="Q31" s="216"/>
    </row>
    <row r="32" spans="2:17">
      <c r="B32" s="216">
        <v>24</v>
      </c>
      <c r="C32" s="216"/>
      <c r="D32" s="841">
        <f t="shared" si="10"/>
        <v>0</v>
      </c>
      <c r="E32" s="219">
        <f t="shared" si="0"/>
        <v>0</v>
      </c>
      <c r="F32" s="216"/>
      <c r="G32" s="216"/>
      <c r="H32" s="219">
        <f t="shared" si="1"/>
        <v>0</v>
      </c>
      <c r="I32" s="13">
        <f t="shared" si="2"/>
        <v>0</v>
      </c>
      <c r="J32" s="219">
        <f t="shared" si="3"/>
        <v>0</v>
      </c>
      <c r="K32" s="216"/>
      <c r="L32" s="219">
        <f t="shared" si="11"/>
        <v>0</v>
      </c>
      <c r="M32" s="219">
        <f t="shared" si="4"/>
        <v>0</v>
      </c>
      <c r="N32" s="218">
        <f t="shared" si="5"/>
        <v>0</v>
      </c>
      <c r="O32" s="841">
        <f t="shared" si="6"/>
        <v>0</v>
      </c>
      <c r="P32" s="219">
        <f t="shared" si="7"/>
        <v>0</v>
      </c>
      <c r="Q32" s="216"/>
    </row>
    <row r="33" spans="2:24">
      <c r="B33" s="216">
        <v>25</v>
      </c>
      <c r="C33" s="216"/>
      <c r="D33" s="841">
        <f t="shared" si="10"/>
        <v>0</v>
      </c>
      <c r="E33" s="219">
        <f t="shared" si="0"/>
        <v>0</v>
      </c>
      <c r="F33" s="216"/>
      <c r="G33" s="216"/>
      <c r="H33" s="219">
        <f t="shared" si="1"/>
        <v>0</v>
      </c>
      <c r="I33" s="13">
        <f t="shared" si="2"/>
        <v>0</v>
      </c>
      <c r="J33" s="219">
        <f t="shared" si="3"/>
        <v>0</v>
      </c>
      <c r="K33" s="216"/>
      <c r="L33" s="219">
        <f t="shared" si="11"/>
        <v>0</v>
      </c>
      <c r="M33" s="219">
        <f t="shared" si="4"/>
        <v>0</v>
      </c>
      <c r="N33" s="218">
        <f t="shared" si="5"/>
        <v>0</v>
      </c>
      <c r="O33" s="841">
        <f t="shared" si="6"/>
        <v>0</v>
      </c>
      <c r="P33" s="219">
        <f t="shared" si="7"/>
        <v>0</v>
      </c>
      <c r="Q33" s="216"/>
    </row>
    <row r="34" spans="2:24">
      <c r="B34" s="216">
        <v>26</v>
      </c>
      <c r="C34" s="216"/>
      <c r="D34" s="841">
        <f t="shared" si="10"/>
        <v>0</v>
      </c>
      <c r="E34" s="219">
        <f t="shared" si="0"/>
        <v>0</v>
      </c>
      <c r="F34" s="216"/>
      <c r="G34" s="216"/>
      <c r="H34" s="219">
        <f t="shared" si="1"/>
        <v>0</v>
      </c>
      <c r="I34" s="13">
        <f t="shared" si="2"/>
        <v>0</v>
      </c>
      <c r="J34" s="219">
        <f t="shared" si="3"/>
        <v>0</v>
      </c>
      <c r="K34" s="216"/>
      <c r="L34" s="219">
        <f t="shared" si="11"/>
        <v>0</v>
      </c>
      <c r="M34" s="219">
        <f t="shared" si="4"/>
        <v>0</v>
      </c>
      <c r="N34" s="218">
        <f t="shared" si="5"/>
        <v>0</v>
      </c>
      <c r="O34" s="841">
        <f t="shared" si="6"/>
        <v>0</v>
      </c>
      <c r="P34" s="219">
        <f t="shared" si="7"/>
        <v>0</v>
      </c>
      <c r="Q34" s="216"/>
    </row>
    <row r="35" spans="2:24">
      <c r="B35" s="216">
        <v>27</v>
      </c>
      <c r="C35" s="216"/>
      <c r="D35" s="841">
        <f t="shared" si="10"/>
        <v>0</v>
      </c>
      <c r="E35" s="219">
        <f t="shared" si="0"/>
        <v>0</v>
      </c>
      <c r="F35" s="216"/>
      <c r="G35" s="216"/>
      <c r="H35" s="219">
        <f t="shared" si="1"/>
        <v>0</v>
      </c>
      <c r="I35" s="13">
        <f t="shared" si="2"/>
        <v>0</v>
      </c>
      <c r="J35" s="219">
        <f t="shared" si="3"/>
        <v>0</v>
      </c>
      <c r="K35" s="216"/>
      <c r="L35" s="219">
        <f t="shared" si="11"/>
        <v>0</v>
      </c>
      <c r="M35" s="219">
        <f t="shared" si="4"/>
        <v>0</v>
      </c>
      <c r="N35" s="218">
        <f t="shared" si="5"/>
        <v>0</v>
      </c>
      <c r="O35" s="841">
        <f t="shared" si="6"/>
        <v>0</v>
      </c>
      <c r="P35" s="219">
        <f t="shared" si="7"/>
        <v>0</v>
      </c>
      <c r="Q35" s="216"/>
    </row>
    <row r="36" spans="2:24">
      <c r="B36" s="216">
        <v>28</v>
      </c>
      <c r="C36" s="216"/>
      <c r="D36" s="841">
        <f t="shared" si="10"/>
        <v>0</v>
      </c>
      <c r="E36" s="219">
        <f t="shared" si="0"/>
        <v>0</v>
      </c>
      <c r="F36" s="216"/>
      <c r="G36" s="216"/>
      <c r="H36" s="219">
        <f t="shared" si="1"/>
        <v>0</v>
      </c>
      <c r="I36" s="13">
        <f t="shared" si="2"/>
        <v>0</v>
      </c>
      <c r="J36" s="219">
        <f t="shared" si="3"/>
        <v>0</v>
      </c>
      <c r="K36" s="216"/>
      <c r="L36" s="219">
        <f t="shared" si="11"/>
        <v>0</v>
      </c>
      <c r="M36" s="219">
        <f t="shared" si="4"/>
        <v>0</v>
      </c>
      <c r="N36" s="218">
        <f t="shared" si="5"/>
        <v>0</v>
      </c>
      <c r="O36" s="841">
        <f t="shared" si="6"/>
        <v>0</v>
      </c>
      <c r="P36" s="219">
        <f t="shared" si="7"/>
        <v>0</v>
      </c>
      <c r="Q36" s="216"/>
    </row>
    <row r="37" spans="2:24">
      <c r="B37" s="216">
        <v>29</v>
      </c>
      <c r="C37" s="226"/>
      <c r="D37" s="841">
        <f t="shared" si="10"/>
        <v>0</v>
      </c>
      <c r="E37" s="219">
        <f t="shared" si="0"/>
        <v>0</v>
      </c>
      <c r="F37" s="216"/>
      <c r="G37" s="216"/>
      <c r="H37" s="219">
        <f t="shared" si="1"/>
        <v>0</v>
      </c>
      <c r="I37" s="13">
        <f t="shared" si="2"/>
        <v>0</v>
      </c>
      <c r="J37" s="219">
        <f t="shared" si="3"/>
        <v>0</v>
      </c>
      <c r="K37" s="216"/>
      <c r="L37" s="219">
        <f t="shared" si="11"/>
        <v>0</v>
      </c>
      <c r="M37" s="219">
        <f t="shared" si="4"/>
        <v>0</v>
      </c>
      <c r="N37" s="218">
        <f t="shared" si="5"/>
        <v>0</v>
      </c>
      <c r="O37" s="841">
        <f t="shared" si="6"/>
        <v>0</v>
      </c>
      <c r="P37" s="219">
        <f t="shared" si="7"/>
        <v>0</v>
      </c>
      <c r="Q37" s="216"/>
    </row>
    <row r="38" spans="2:24">
      <c r="B38" s="216">
        <v>30</v>
      </c>
      <c r="D38" s="841">
        <f t="shared" si="10"/>
        <v>0</v>
      </c>
      <c r="E38" s="219">
        <f t="shared" si="0"/>
        <v>0</v>
      </c>
      <c r="F38" s="3"/>
      <c r="G38" s="216"/>
      <c r="H38" s="219">
        <f t="shared" si="1"/>
        <v>0</v>
      </c>
      <c r="I38" s="13">
        <f t="shared" si="2"/>
        <v>0</v>
      </c>
      <c r="J38" s="219">
        <f t="shared" si="3"/>
        <v>0</v>
      </c>
      <c r="K38" s="216"/>
      <c r="L38" s="219">
        <f t="shared" si="11"/>
        <v>0</v>
      </c>
      <c r="M38" s="219">
        <f t="shared" si="4"/>
        <v>0</v>
      </c>
      <c r="N38" s="218">
        <f t="shared" si="5"/>
        <v>0</v>
      </c>
      <c r="O38" s="841">
        <f t="shared" si="6"/>
        <v>0</v>
      </c>
      <c r="P38" s="219">
        <f t="shared" si="7"/>
        <v>0</v>
      </c>
      <c r="Q38" s="3"/>
    </row>
    <row r="39" spans="2:24">
      <c r="B39" s="222">
        <v>31</v>
      </c>
      <c r="D39" s="841">
        <f t="shared" si="10"/>
        <v>0</v>
      </c>
      <c r="E39" s="219">
        <f t="shared" si="0"/>
        <v>0</v>
      </c>
      <c r="F39" s="223"/>
      <c r="G39" s="223"/>
      <c r="H39" s="219">
        <f t="shared" si="1"/>
        <v>0</v>
      </c>
      <c r="I39" s="13">
        <f t="shared" si="2"/>
        <v>0</v>
      </c>
      <c r="J39" s="219">
        <f t="shared" si="3"/>
        <v>0</v>
      </c>
      <c r="K39" s="216"/>
      <c r="L39" s="219">
        <f t="shared" si="11"/>
        <v>0</v>
      </c>
      <c r="M39" s="219">
        <f t="shared" si="4"/>
        <v>0</v>
      </c>
      <c r="N39" s="218">
        <f t="shared" si="5"/>
        <v>0</v>
      </c>
      <c r="O39" s="841">
        <f t="shared" si="6"/>
        <v>0</v>
      </c>
      <c r="P39" s="219">
        <f t="shared" si="7"/>
        <v>0</v>
      </c>
      <c r="Q39" s="223"/>
    </row>
    <row r="40" spans="2:24">
      <c r="B40" s="928" t="s">
        <v>10</v>
      </c>
      <c r="C40" s="929"/>
      <c r="D40" s="929"/>
      <c r="E40" s="930"/>
      <c r="F40" s="130">
        <f t="shared" ref="F40:N40" si="12">SUM(F9:F39)</f>
        <v>0</v>
      </c>
      <c r="G40" s="239">
        <f t="shared" si="12"/>
        <v>0</v>
      </c>
      <c r="H40" s="224">
        <f t="shared" si="12"/>
        <v>0</v>
      </c>
      <c r="I40" s="130"/>
      <c r="J40" s="130"/>
      <c r="K40" s="239">
        <f t="shared" si="12"/>
        <v>0</v>
      </c>
      <c r="L40" s="224">
        <f t="shared" si="12"/>
        <v>0</v>
      </c>
      <c r="M40" s="224">
        <f t="shared" si="12"/>
        <v>0</v>
      </c>
      <c r="N40" s="130">
        <f t="shared" si="12"/>
        <v>0</v>
      </c>
      <c r="O40" s="130"/>
      <c r="P40" s="130"/>
      <c r="Q40" s="3"/>
      <c r="R40">
        <v>40</v>
      </c>
      <c r="S40">
        <v>6.5</v>
      </c>
      <c r="U40">
        <v>40</v>
      </c>
      <c r="V40">
        <v>28.35</v>
      </c>
      <c r="X40">
        <v>2000</v>
      </c>
    </row>
    <row r="41" spans="2:24">
      <c r="U41">
        <f>R40*S40/U40*V40*X40/1000</f>
        <v>368.55</v>
      </c>
    </row>
    <row r="42" spans="2:24">
      <c r="B42" s="931" t="s">
        <v>23</v>
      </c>
      <c r="C42" s="931"/>
      <c r="D42" s="931"/>
      <c r="E42" s="931"/>
      <c r="F42" s="3"/>
      <c r="G42" s="130">
        <f>G40*S7/1000</f>
        <v>0</v>
      </c>
      <c r="H42" s="151">
        <f>+G40*S6/1000</f>
        <v>0</v>
      </c>
      <c r="J42" s="3" t="s">
        <v>36</v>
      </c>
      <c r="K42" s="3"/>
      <c r="L42" s="130">
        <f>K40*S7/1000</f>
        <v>0</v>
      </c>
      <c r="S42">
        <v>0.75</v>
      </c>
      <c r="U42">
        <f>U41*S42%</f>
        <v>2.7641249999999999</v>
      </c>
    </row>
    <row r="43" spans="2:24">
      <c r="U43" s="151">
        <f>U41+U42</f>
        <v>371.31412499999999</v>
      </c>
    </row>
    <row r="47" spans="2:24">
      <c r="M47" s="151"/>
    </row>
  </sheetData>
  <mergeCells count="19">
    <mergeCell ref="B2:Q2"/>
    <mergeCell ref="S2:T2"/>
    <mergeCell ref="B3:Q3"/>
    <mergeCell ref="S3:V3"/>
    <mergeCell ref="B4:Q4"/>
    <mergeCell ref="S4:V4"/>
    <mergeCell ref="A5:Q5"/>
    <mergeCell ref="S5:V5"/>
    <mergeCell ref="D6:F6"/>
    <mergeCell ref="G6:H6"/>
    <mergeCell ref="I6:J6"/>
    <mergeCell ref="K6:L6"/>
    <mergeCell ref="O6:P6"/>
    <mergeCell ref="S6:V6"/>
    <mergeCell ref="S7:V7"/>
    <mergeCell ref="S8:V8"/>
    <mergeCell ref="B40:E40"/>
    <mergeCell ref="B42:E42"/>
    <mergeCell ref="M6:M8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47"/>
  <sheetViews>
    <sheetView topLeftCell="B1" zoomScale="80" zoomScaleNormal="80" workbookViewId="0">
      <pane ySplit="8" topLeftCell="A30" activePane="bottomLeft" state="frozen"/>
      <selection pane="bottomLeft" activeCell="S6" sqref="S6:V6"/>
    </sheetView>
  </sheetViews>
  <sheetFormatPr defaultColWidth="9" defaultRowHeight="15"/>
  <cols>
    <col min="1" max="1" width="9" hidden="1" customWidth="1"/>
    <col min="3" max="3" width="9" hidden="1" customWidth="1"/>
    <col min="5" max="5" width="10.42578125" customWidth="1"/>
    <col min="6" max="6" width="9" hidden="1" customWidth="1"/>
    <col min="8" max="8" width="10.42578125" customWidth="1"/>
    <col min="10" max="10" width="10.42578125" customWidth="1"/>
    <col min="11" max="11" width="10.28515625" customWidth="1"/>
    <col min="12" max="13" width="10.42578125" customWidth="1"/>
    <col min="14" max="14" width="12" customWidth="1"/>
    <col min="15" max="15" width="8.28515625" customWidth="1"/>
    <col min="16" max="16" width="10.42578125" customWidth="1"/>
    <col min="17" max="17" width="14.42578125" customWidth="1"/>
    <col min="18" max="18" width="18.28515625" customWidth="1"/>
    <col min="19" max="19" width="8" customWidth="1"/>
    <col min="20" max="20" width="2.85546875" customWidth="1"/>
    <col min="21" max="21" width="9" customWidth="1"/>
    <col min="22" max="22" width="6.28515625" customWidth="1"/>
    <col min="23" max="23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129"/>
      <c r="S2" s="931"/>
      <c r="T2" s="931"/>
      <c r="U2" s="129"/>
      <c r="V2" s="227"/>
      <c r="W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129" t="s">
        <v>3</v>
      </c>
      <c r="S3" s="931"/>
      <c r="T3" s="931"/>
      <c r="U3" s="931"/>
      <c r="V3" s="931"/>
      <c r="W3" s="170"/>
    </row>
    <row r="4" spans="1:23" ht="21">
      <c r="B4" s="939" t="s">
        <v>46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129" t="s">
        <v>5</v>
      </c>
      <c r="S4" s="931"/>
      <c r="T4" s="931"/>
      <c r="U4" s="931"/>
      <c r="V4" s="931"/>
      <c r="W4" s="170"/>
    </row>
    <row r="5" spans="1:23" ht="21">
      <c r="A5" s="932" t="s">
        <v>47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933"/>
      <c r="R5" s="129" t="s">
        <v>7</v>
      </c>
      <c r="S5" s="931"/>
      <c r="T5" s="931"/>
      <c r="U5" s="931"/>
      <c r="V5" s="931"/>
      <c r="W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942" t="s">
        <v>12</v>
      </c>
      <c r="N6" s="215"/>
      <c r="O6" s="934" t="s">
        <v>13</v>
      </c>
      <c r="P6" s="934"/>
      <c r="Q6" s="225" t="s">
        <v>14</v>
      </c>
      <c r="R6" s="129" t="s">
        <v>15</v>
      </c>
      <c r="S6" s="941">
        <v>417.59500000000003</v>
      </c>
      <c r="T6" s="941"/>
      <c r="U6" s="941"/>
      <c r="V6" s="941"/>
      <c r="W6" s="170"/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16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18</v>
      </c>
      <c r="M7" s="943"/>
      <c r="N7" s="217"/>
      <c r="O7" s="217" t="s">
        <v>16</v>
      </c>
      <c r="P7" s="217" t="s">
        <v>17</v>
      </c>
      <c r="Q7" s="226"/>
      <c r="R7" s="129" t="s">
        <v>19</v>
      </c>
      <c r="S7" s="941">
        <v>3.1320000000000001</v>
      </c>
      <c r="T7" s="941"/>
      <c r="U7" s="941"/>
      <c r="V7" s="941"/>
      <c r="W7" s="170"/>
    </row>
    <row r="8" spans="1:23">
      <c r="B8" s="216"/>
      <c r="C8" s="216"/>
      <c r="D8" s="217" t="s">
        <v>21</v>
      </c>
      <c r="E8" s="217" t="s">
        <v>22</v>
      </c>
      <c r="F8" s="217"/>
      <c r="G8" s="217" t="s">
        <v>21</v>
      </c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934"/>
      <c r="N8" s="217" t="s">
        <v>23</v>
      </c>
      <c r="O8" s="217" t="s">
        <v>21</v>
      </c>
      <c r="P8" s="217" t="s">
        <v>22</v>
      </c>
      <c r="Q8" s="226"/>
      <c r="R8" s="129" t="s">
        <v>24</v>
      </c>
      <c r="S8" s="941">
        <f>S6+S7</f>
        <v>420.72699999999998</v>
      </c>
      <c r="T8" s="941"/>
      <c r="U8" s="941"/>
      <c r="V8" s="941"/>
      <c r="W8" s="170"/>
    </row>
    <row r="9" spans="1:23">
      <c r="B9" s="216">
        <v>1</v>
      </c>
      <c r="C9" s="216"/>
      <c r="D9" s="13"/>
      <c r="E9" s="219">
        <f>$S$8*D9/1000</f>
        <v>0</v>
      </c>
      <c r="F9" s="13"/>
      <c r="G9" s="13"/>
      <c r="H9" s="219">
        <f>$S$8*G9/1000</f>
        <v>0</v>
      </c>
      <c r="I9" s="13">
        <f>D9+G9</f>
        <v>0</v>
      </c>
      <c r="J9" s="219">
        <f>$S$8*I9/1000</f>
        <v>0</v>
      </c>
      <c r="K9" s="13"/>
      <c r="L9" s="219">
        <f>K9*S$6/1000</f>
        <v>0</v>
      </c>
      <c r="M9" s="219">
        <f>+K9*S$8/1000</f>
        <v>0</v>
      </c>
      <c r="N9" s="218">
        <f>K9*S$7/1000</f>
        <v>0</v>
      </c>
      <c r="O9" s="841">
        <f>D9+G9-K9</f>
        <v>0</v>
      </c>
      <c r="P9" s="219">
        <f>$S$8*O9/1000</f>
        <v>0</v>
      </c>
      <c r="Q9" s="218">
        <f>P9*T8/1000</f>
        <v>0</v>
      </c>
      <c r="W9" s="170"/>
    </row>
    <row r="10" spans="1:23">
      <c r="B10" s="216">
        <v>2</v>
      </c>
      <c r="C10" s="216"/>
      <c r="D10" s="841">
        <f>+O9</f>
        <v>0</v>
      </c>
      <c r="E10" s="219">
        <f t="shared" ref="E10:E39" si="0">$S$8*D10/1000</f>
        <v>0</v>
      </c>
      <c r="F10" s="216"/>
      <c r="G10" s="13"/>
      <c r="H10" s="219">
        <f t="shared" ref="H10:H39" si="1">$S$8*G10/1000</f>
        <v>0</v>
      </c>
      <c r="I10" s="13">
        <f t="shared" ref="I10:I39" si="2">D10+G10</f>
        <v>0</v>
      </c>
      <c r="J10" s="219">
        <f t="shared" ref="J10:J39" si="3">$S$8*I10/1000</f>
        <v>0</v>
      </c>
      <c r="K10" s="216"/>
      <c r="L10" s="219">
        <f>K10*S$8/1000</f>
        <v>0</v>
      </c>
      <c r="M10" s="219">
        <f t="shared" ref="M10:M39" si="4">+K10*S$8/1000</f>
        <v>0</v>
      </c>
      <c r="N10" s="218">
        <f t="shared" ref="N10:N39" si="5">K10*S$7/1000</f>
        <v>0</v>
      </c>
      <c r="O10" s="841">
        <f t="shared" ref="O10:O39" si="6">D10+G10-K10</f>
        <v>0</v>
      </c>
      <c r="P10" s="219">
        <f t="shared" ref="P10:P39" si="7">$S$8*O10/1000</f>
        <v>0</v>
      </c>
      <c r="Q10" s="216"/>
    </row>
    <row r="11" spans="1:23">
      <c r="B11" s="216">
        <v>3</v>
      </c>
      <c r="C11" s="216"/>
      <c r="D11" s="841">
        <f t="shared" ref="D11:D39" si="8">+O10</f>
        <v>0</v>
      </c>
      <c r="E11" s="219">
        <f t="shared" si="0"/>
        <v>0</v>
      </c>
      <c r="F11" s="216"/>
      <c r="G11" s="13"/>
      <c r="H11" s="219">
        <f t="shared" si="1"/>
        <v>0</v>
      </c>
      <c r="I11" s="13">
        <f t="shared" si="2"/>
        <v>0</v>
      </c>
      <c r="J11" s="219">
        <f t="shared" si="3"/>
        <v>0</v>
      </c>
      <c r="K11" s="216"/>
      <c r="L11" s="219">
        <f>K11*S$6/1000</f>
        <v>0</v>
      </c>
      <c r="M11" s="219">
        <f t="shared" si="4"/>
        <v>0</v>
      </c>
      <c r="N11" s="218">
        <f t="shared" si="5"/>
        <v>0</v>
      </c>
      <c r="O11" s="841">
        <f t="shared" si="6"/>
        <v>0</v>
      </c>
      <c r="P11" s="219">
        <f t="shared" si="7"/>
        <v>0</v>
      </c>
      <c r="Q11" s="216"/>
    </row>
    <row r="12" spans="1:23">
      <c r="B12" s="216">
        <v>4</v>
      </c>
      <c r="C12" s="216"/>
      <c r="D12" s="841">
        <f t="shared" si="8"/>
        <v>0</v>
      </c>
      <c r="E12" s="219">
        <f t="shared" si="0"/>
        <v>0</v>
      </c>
      <c r="F12" s="216"/>
      <c r="G12" s="13"/>
      <c r="H12" s="219">
        <f t="shared" si="1"/>
        <v>0</v>
      </c>
      <c r="I12" s="13">
        <f t="shared" si="2"/>
        <v>0</v>
      </c>
      <c r="J12" s="219">
        <f t="shared" si="3"/>
        <v>0</v>
      </c>
      <c r="K12" s="216"/>
      <c r="L12" s="219">
        <f t="shared" ref="L12:L39" si="9">K12*S$6/1000</f>
        <v>0</v>
      </c>
      <c r="M12" s="219">
        <f t="shared" si="4"/>
        <v>0</v>
      </c>
      <c r="N12" s="218">
        <f t="shared" si="5"/>
        <v>0</v>
      </c>
      <c r="O12" s="841">
        <f t="shared" si="6"/>
        <v>0</v>
      </c>
      <c r="P12" s="219">
        <f t="shared" si="7"/>
        <v>0</v>
      </c>
      <c r="Q12" s="216"/>
    </row>
    <row r="13" spans="1:23">
      <c r="B13" s="216">
        <v>5</v>
      </c>
      <c r="C13" s="216"/>
      <c r="D13" s="841">
        <f t="shared" si="8"/>
        <v>0</v>
      </c>
      <c r="E13" s="219">
        <f t="shared" si="0"/>
        <v>0</v>
      </c>
      <c r="F13" s="216"/>
      <c r="G13" s="13"/>
      <c r="H13" s="219">
        <f t="shared" si="1"/>
        <v>0</v>
      </c>
      <c r="I13" s="13">
        <f t="shared" si="2"/>
        <v>0</v>
      </c>
      <c r="J13" s="219">
        <f t="shared" si="3"/>
        <v>0</v>
      </c>
      <c r="K13" s="216"/>
      <c r="L13" s="219">
        <f t="shared" si="9"/>
        <v>0</v>
      </c>
      <c r="M13" s="219">
        <f t="shared" si="4"/>
        <v>0</v>
      </c>
      <c r="N13" s="218">
        <f t="shared" si="5"/>
        <v>0</v>
      </c>
      <c r="O13" s="841">
        <f t="shared" si="6"/>
        <v>0</v>
      </c>
      <c r="P13" s="219">
        <f t="shared" si="7"/>
        <v>0</v>
      </c>
      <c r="Q13" s="216"/>
    </row>
    <row r="14" spans="1:23">
      <c r="B14" s="216">
        <v>6</v>
      </c>
      <c r="C14" s="216"/>
      <c r="D14" s="841">
        <f t="shared" si="8"/>
        <v>0</v>
      </c>
      <c r="E14" s="219">
        <f t="shared" si="0"/>
        <v>0</v>
      </c>
      <c r="F14" s="216"/>
      <c r="G14" s="13"/>
      <c r="H14" s="219">
        <f t="shared" si="1"/>
        <v>0</v>
      </c>
      <c r="I14" s="13">
        <f t="shared" si="2"/>
        <v>0</v>
      </c>
      <c r="J14" s="219">
        <f t="shared" si="3"/>
        <v>0</v>
      </c>
      <c r="K14" s="216"/>
      <c r="L14" s="219">
        <f t="shared" si="9"/>
        <v>0</v>
      </c>
      <c r="M14" s="219">
        <f t="shared" si="4"/>
        <v>0</v>
      </c>
      <c r="N14" s="218">
        <f t="shared" si="5"/>
        <v>0</v>
      </c>
      <c r="O14" s="841">
        <f t="shared" si="6"/>
        <v>0</v>
      </c>
      <c r="P14" s="219">
        <f t="shared" si="7"/>
        <v>0</v>
      </c>
      <c r="Q14" s="216"/>
      <c r="S14" s="216"/>
    </row>
    <row r="15" spans="1:23">
      <c r="B15" s="216">
        <v>7</v>
      </c>
      <c r="C15" s="216"/>
      <c r="D15" s="841">
        <f t="shared" si="8"/>
        <v>0</v>
      </c>
      <c r="E15" s="219">
        <f t="shared" si="0"/>
        <v>0</v>
      </c>
      <c r="F15" s="216"/>
      <c r="G15" s="13"/>
      <c r="H15" s="219">
        <f t="shared" si="1"/>
        <v>0</v>
      </c>
      <c r="I15" s="13">
        <f t="shared" si="2"/>
        <v>0</v>
      </c>
      <c r="J15" s="219">
        <f t="shared" si="3"/>
        <v>0</v>
      </c>
      <c r="K15" s="216"/>
      <c r="L15" s="219">
        <f t="shared" si="9"/>
        <v>0</v>
      </c>
      <c r="M15" s="219">
        <f t="shared" si="4"/>
        <v>0</v>
      </c>
      <c r="N15" s="218">
        <f t="shared" si="5"/>
        <v>0</v>
      </c>
      <c r="O15" s="841">
        <f t="shared" si="6"/>
        <v>0</v>
      </c>
      <c r="P15" s="219">
        <f t="shared" si="7"/>
        <v>0</v>
      </c>
      <c r="Q15" s="216"/>
    </row>
    <row r="16" spans="1:23">
      <c r="B16" s="216">
        <v>8</v>
      </c>
      <c r="C16" s="216"/>
      <c r="D16" s="841">
        <f t="shared" si="8"/>
        <v>0</v>
      </c>
      <c r="E16" s="219">
        <f t="shared" si="0"/>
        <v>0</v>
      </c>
      <c r="F16" s="216"/>
      <c r="G16" s="13"/>
      <c r="H16" s="219">
        <f t="shared" si="1"/>
        <v>0</v>
      </c>
      <c r="I16" s="13">
        <f t="shared" si="2"/>
        <v>0</v>
      </c>
      <c r="J16" s="219">
        <f t="shared" si="3"/>
        <v>0</v>
      </c>
      <c r="K16" s="216"/>
      <c r="L16" s="219">
        <f t="shared" si="9"/>
        <v>0</v>
      </c>
      <c r="M16" s="219">
        <f t="shared" si="4"/>
        <v>0</v>
      </c>
      <c r="N16" s="218">
        <f t="shared" si="5"/>
        <v>0</v>
      </c>
      <c r="O16" s="841">
        <f t="shared" si="6"/>
        <v>0</v>
      </c>
      <c r="P16" s="219">
        <f t="shared" si="7"/>
        <v>0</v>
      </c>
      <c r="Q16" s="216"/>
      <c r="S16" s="931" t="s">
        <v>48</v>
      </c>
      <c r="T16" s="931"/>
    </row>
    <row r="17" spans="2:17">
      <c r="B17" s="216">
        <v>9</v>
      </c>
      <c r="C17" s="216"/>
      <c r="D17" s="841">
        <f t="shared" si="8"/>
        <v>0</v>
      </c>
      <c r="E17" s="219">
        <f t="shared" si="0"/>
        <v>0</v>
      </c>
      <c r="F17" s="216"/>
      <c r="G17" s="216"/>
      <c r="H17" s="219">
        <f t="shared" si="1"/>
        <v>0</v>
      </c>
      <c r="I17" s="13">
        <f t="shared" si="2"/>
        <v>0</v>
      </c>
      <c r="J17" s="219">
        <f t="shared" si="3"/>
        <v>0</v>
      </c>
      <c r="K17" s="216"/>
      <c r="L17" s="219">
        <f t="shared" si="9"/>
        <v>0</v>
      </c>
      <c r="M17" s="219">
        <f t="shared" si="4"/>
        <v>0</v>
      </c>
      <c r="N17" s="218">
        <f t="shared" si="5"/>
        <v>0</v>
      </c>
      <c r="O17" s="841">
        <f t="shared" si="6"/>
        <v>0</v>
      </c>
      <c r="P17" s="219">
        <f t="shared" si="7"/>
        <v>0</v>
      </c>
      <c r="Q17" s="216"/>
    </row>
    <row r="18" spans="2:17">
      <c r="B18" s="216">
        <v>10</v>
      </c>
      <c r="C18" s="216"/>
      <c r="D18" s="841">
        <f t="shared" si="8"/>
        <v>0</v>
      </c>
      <c r="E18" s="219">
        <f t="shared" si="0"/>
        <v>0</v>
      </c>
      <c r="F18" s="216"/>
      <c r="G18" s="216"/>
      <c r="H18" s="219">
        <f t="shared" si="1"/>
        <v>0</v>
      </c>
      <c r="I18" s="13">
        <f t="shared" si="2"/>
        <v>0</v>
      </c>
      <c r="J18" s="219">
        <f t="shared" si="3"/>
        <v>0</v>
      </c>
      <c r="K18" s="216"/>
      <c r="L18" s="219">
        <f t="shared" si="9"/>
        <v>0</v>
      </c>
      <c r="M18" s="219">
        <f t="shared" si="4"/>
        <v>0</v>
      </c>
      <c r="N18" s="218">
        <f t="shared" si="5"/>
        <v>0</v>
      </c>
      <c r="O18" s="841">
        <f t="shared" si="6"/>
        <v>0</v>
      </c>
      <c r="P18" s="219">
        <f t="shared" si="7"/>
        <v>0</v>
      </c>
      <c r="Q18" s="216"/>
    </row>
    <row r="19" spans="2:17">
      <c r="B19" s="216">
        <v>11</v>
      </c>
      <c r="C19" s="216"/>
      <c r="D19" s="841">
        <f t="shared" si="8"/>
        <v>0</v>
      </c>
      <c r="E19" s="219">
        <f t="shared" si="0"/>
        <v>0</v>
      </c>
      <c r="F19" s="216"/>
      <c r="G19" s="216"/>
      <c r="H19" s="219">
        <f t="shared" si="1"/>
        <v>0</v>
      </c>
      <c r="I19" s="13">
        <f t="shared" si="2"/>
        <v>0</v>
      </c>
      <c r="J19" s="219">
        <f t="shared" si="3"/>
        <v>0</v>
      </c>
      <c r="K19" s="216"/>
      <c r="L19" s="219">
        <f t="shared" si="9"/>
        <v>0</v>
      </c>
      <c r="M19" s="219">
        <f t="shared" si="4"/>
        <v>0</v>
      </c>
      <c r="N19" s="218">
        <f t="shared" si="5"/>
        <v>0</v>
      </c>
      <c r="O19" s="841">
        <f t="shared" si="6"/>
        <v>0</v>
      </c>
      <c r="P19" s="219">
        <f t="shared" si="7"/>
        <v>0</v>
      </c>
      <c r="Q19" s="216"/>
    </row>
    <row r="20" spans="2:17">
      <c r="B20" s="216">
        <v>12</v>
      </c>
      <c r="C20" s="216"/>
      <c r="D20" s="841">
        <f t="shared" si="8"/>
        <v>0</v>
      </c>
      <c r="E20" s="219">
        <f t="shared" si="0"/>
        <v>0</v>
      </c>
      <c r="F20" s="216"/>
      <c r="G20" s="216"/>
      <c r="H20" s="219">
        <f t="shared" si="1"/>
        <v>0</v>
      </c>
      <c r="I20" s="13">
        <f t="shared" si="2"/>
        <v>0</v>
      </c>
      <c r="J20" s="219">
        <f t="shared" si="3"/>
        <v>0</v>
      </c>
      <c r="K20" s="216"/>
      <c r="L20" s="219">
        <f t="shared" si="9"/>
        <v>0</v>
      </c>
      <c r="M20" s="219">
        <f t="shared" si="4"/>
        <v>0</v>
      </c>
      <c r="N20" s="218">
        <f t="shared" si="5"/>
        <v>0</v>
      </c>
      <c r="O20" s="841">
        <f t="shared" si="6"/>
        <v>0</v>
      </c>
      <c r="P20" s="219">
        <f t="shared" si="7"/>
        <v>0</v>
      </c>
      <c r="Q20" s="216"/>
    </row>
    <row r="21" spans="2:17">
      <c r="B21" s="216">
        <v>13</v>
      </c>
      <c r="C21" s="216"/>
      <c r="D21" s="841">
        <f t="shared" si="8"/>
        <v>0</v>
      </c>
      <c r="E21" s="219">
        <f t="shared" si="0"/>
        <v>0</v>
      </c>
      <c r="F21" s="216"/>
      <c r="G21" s="216"/>
      <c r="H21" s="219">
        <f t="shared" si="1"/>
        <v>0</v>
      </c>
      <c r="I21" s="13">
        <f t="shared" si="2"/>
        <v>0</v>
      </c>
      <c r="J21" s="219">
        <f t="shared" si="3"/>
        <v>0</v>
      </c>
      <c r="K21" s="216"/>
      <c r="L21" s="219">
        <f t="shared" si="9"/>
        <v>0</v>
      </c>
      <c r="M21" s="219">
        <f t="shared" si="4"/>
        <v>0</v>
      </c>
      <c r="N21" s="218">
        <f t="shared" si="5"/>
        <v>0</v>
      </c>
      <c r="O21" s="841">
        <f t="shared" si="6"/>
        <v>0</v>
      </c>
      <c r="P21" s="219">
        <f t="shared" si="7"/>
        <v>0</v>
      </c>
      <c r="Q21" s="216"/>
    </row>
    <row r="22" spans="2:17">
      <c r="B22" s="216">
        <v>14</v>
      </c>
      <c r="C22" s="216"/>
      <c r="D22" s="841">
        <f t="shared" si="8"/>
        <v>0</v>
      </c>
      <c r="E22" s="219">
        <f t="shared" si="0"/>
        <v>0</v>
      </c>
      <c r="F22" s="216"/>
      <c r="G22" s="216"/>
      <c r="H22" s="219">
        <f t="shared" si="1"/>
        <v>0</v>
      </c>
      <c r="I22" s="13">
        <f t="shared" si="2"/>
        <v>0</v>
      </c>
      <c r="J22" s="219">
        <f t="shared" si="3"/>
        <v>0</v>
      </c>
      <c r="K22" s="216"/>
      <c r="L22" s="219">
        <f t="shared" si="9"/>
        <v>0</v>
      </c>
      <c r="M22" s="219">
        <f t="shared" si="4"/>
        <v>0</v>
      </c>
      <c r="N22" s="218">
        <f t="shared" si="5"/>
        <v>0</v>
      </c>
      <c r="O22" s="841">
        <f t="shared" si="6"/>
        <v>0</v>
      </c>
      <c r="P22" s="219">
        <f t="shared" si="7"/>
        <v>0</v>
      </c>
      <c r="Q22" s="216"/>
    </row>
    <row r="23" spans="2:17">
      <c r="B23" s="216">
        <v>15</v>
      </c>
      <c r="C23" s="216"/>
      <c r="D23" s="841">
        <f t="shared" si="8"/>
        <v>0</v>
      </c>
      <c r="E23" s="219">
        <f t="shared" si="0"/>
        <v>0</v>
      </c>
      <c r="F23" s="216"/>
      <c r="G23" s="216"/>
      <c r="H23" s="219">
        <f t="shared" si="1"/>
        <v>0</v>
      </c>
      <c r="I23" s="13">
        <f t="shared" si="2"/>
        <v>0</v>
      </c>
      <c r="J23" s="219">
        <f t="shared" si="3"/>
        <v>0</v>
      </c>
      <c r="K23" s="216"/>
      <c r="L23" s="219">
        <f t="shared" si="9"/>
        <v>0</v>
      </c>
      <c r="M23" s="219">
        <f t="shared" si="4"/>
        <v>0</v>
      </c>
      <c r="N23" s="218">
        <f t="shared" si="5"/>
        <v>0</v>
      </c>
      <c r="O23" s="841">
        <f t="shared" si="6"/>
        <v>0</v>
      </c>
      <c r="P23" s="219">
        <f t="shared" si="7"/>
        <v>0</v>
      </c>
      <c r="Q23" s="216"/>
    </row>
    <row r="24" spans="2:17">
      <c r="B24" s="216">
        <v>16</v>
      </c>
      <c r="C24" s="216"/>
      <c r="D24" s="841">
        <f t="shared" si="8"/>
        <v>0</v>
      </c>
      <c r="E24" s="219">
        <f t="shared" si="0"/>
        <v>0</v>
      </c>
      <c r="F24" s="216"/>
      <c r="G24" s="216"/>
      <c r="H24" s="219">
        <f t="shared" si="1"/>
        <v>0</v>
      </c>
      <c r="I24" s="13">
        <f t="shared" si="2"/>
        <v>0</v>
      </c>
      <c r="J24" s="219">
        <f t="shared" si="3"/>
        <v>0</v>
      </c>
      <c r="K24" s="216"/>
      <c r="L24" s="219">
        <f t="shared" si="9"/>
        <v>0</v>
      </c>
      <c r="M24" s="219">
        <f t="shared" si="4"/>
        <v>0</v>
      </c>
      <c r="N24" s="218">
        <f t="shared" si="5"/>
        <v>0</v>
      </c>
      <c r="O24" s="841">
        <f t="shared" si="6"/>
        <v>0</v>
      </c>
      <c r="P24" s="219">
        <f t="shared" si="7"/>
        <v>0</v>
      </c>
      <c r="Q24" s="216"/>
    </row>
    <row r="25" spans="2:17">
      <c r="B25" s="216">
        <v>17</v>
      </c>
      <c r="C25" s="216"/>
      <c r="D25" s="841">
        <f t="shared" si="8"/>
        <v>0</v>
      </c>
      <c r="E25" s="219">
        <f t="shared" si="0"/>
        <v>0</v>
      </c>
      <c r="F25" s="216"/>
      <c r="G25" s="216"/>
      <c r="H25" s="219">
        <f t="shared" si="1"/>
        <v>0</v>
      </c>
      <c r="I25" s="13">
        <f t="shared" si="2"/>
        <v>0</v>
      </c>
      <c r="J25" s="219">
        <f t="shared" si="3"/>
        <v>0</v>
      </c>
      <c r="K25" s="216"/>
      <c r="L25" s="219">
        <f t="shared" si="9"/>
        <v>0</v>
      </c>
      <c r="M25" s="219">
        <f t="shared" si="4"/>
        <v>0</v>
      </c>
      <c r="N25" s="218">
        <f t="shared" si="5"/>
        <v>0</v>
      </c>
      <c r="O25" s="841">
        <f t="shared" si="6"/>
        <v>0</v>
      </c>
      <c r="P25" s="219">
        <f t="shared" si="7"/>
        <v>0</v>
      </c>
      <c r="Q25" s="216"/>
    </row>
    <row r="26" spans="2:17">
      <c r="B26" s="216">
        <v>18</v>
      </c>
      <c r="C26" s="216"/>
      <c r="D26" s="841">
        <f t="shared" si="8"/>
        <v>0</v>
      </c>
      <c r="E26" s="219">
        <f t="shared" si="0"/>
        <v>0</v>
      </c>
      <c r="F26" s="216"/>
      <c r="G26" s="216"/>
      <c r="H26" s="219">
        <f t="shared" si="1"/>
        <v>0</v>
      </c>
      <c r="I26" s="13">
        <f t="shared" si="2"/>
        <v>0</v>
      </c>
      <c r="J26" s="219">
        <f t="shared" si="3"/>
        <v>0</v>
      </c>
      <c r="K26" s="216"/>
      <c r="L26" s="219">
        <f t="shared" si="9"/>
        <v>0</v>
      </c>
      <c r="M26" s="219">
        <f t="shared" si="4"/>
        <v>0</v>
      </c>
      <c r="N26" s="218">
        <f t="shared" si="5"/>
        <v>0</v>
      </c>
      <c r="O26" s="841">
        <f t="shared" si="6"/>
        <v>0</v>
      </c>
      <c r="P26" s="219">
        <f t="shared" si="7"/>
        <v>0</v>
      </c>
      <c r="Q26" s="216"/>
    </row>
    <row r="27" spans="2:17">
      <c r="B27" s="216">
        <v>19</v>
      </c>
      <c r="C27" s="216"/>
      <c r="D27" s="841">
        <f t="shared" si="8"/>
        <v>0</v>
      </c>
      <c r="E27" s="219">
        <f t="shared" si="0"/>
        <v>0</v>
      </c>
      <c r="F27" s="216"/>
      <c r="G27" s="216"/>
      <c r="H27" s="219">
        <f t="shared" si="1"/>
        <v>0</v>
      </c>
      <c r="I27" s="13">
        <f t="shared" si="2"/>
        <v>0</v>
      </c>
      <c r="J27" s="219">
        <f t="shared" si="3"/>
        <v>0</v>
      </c>
      <c r="K27" s="216"/>
      <c r="L27" s="219">
        <f t="shared" si="9"/>
        <v>0</v>
      </c>
      <c r="M27" s="219">
        <f t="shared" si="4"/>
        <v>0</v>
      </c>
      <c r="N27" s="218">
        <f t="shared" si="5"/>
        <v>0</v>
      </c>
      <c r="O27" s="841">
        <f t="shared" si="6"/>
        <v>0</v>
      </c>
      <c r="P27" s="219">
        <f t="shared" si="7"/>
        <v>0</v>
      </c>
      <c r="Q27" s="216"/>
    </row>
    <row r="28" spans="2:17">
      <c r="B28" s="216">
        <v>20</v>
      </c>
      <c r="C28" s="216"/>
      <c r="D28" s="841">
        <f t="shared" si="8"/>
        <v>0</v>
      </c>
      <c r="E28" s="219">
        <f t="shared" si="0"/>
        <v>0</v>
      </c>
      <c r="F28" s="216"/>
      <c r="G28" s="216"/>
      <c r="H28" s="219">
        <f t="shared" si="1"/>
        <v>0</v>
      </c>
      <c r="I28" s="13">
        <f t="shared" si="2"/>
        <v>0</v>
      </c>
      <c r="J28" s="219">
        <f t="shared" si="3"/>
        <v>0</v>
      </c>
      <c r="K28" s="216"/>
      <c r="L28" s="219">
        <f t="shared" si="9"/>
        <v>0</v>
      </c>
      <c r="M28" s="219">
        <f t="shared" si="4"/>
        <v>0</v>
      </c>
      <c r="N28" s="218">
        <f t="shared" si="5"/>
        <v>0</v>
      </c>
      <c r="O28" s="841">
        <f t="shared" si="6"/>
        <v>0</v>
      </c>
      <c r="P28" s="219">
        <f t="shared" si="7"/>
        <v>0</v>
      </c>
      <c r="Q28" s="216"/>
    </row>
    <row r="29" spans="2:17">
      <c r="B29" s="216">
        <v>21</v>
      </c>
      <c r="C29" s="216"/>
      <c r="D29" s="841">
        <f t="shared" si="8"/>
        <v>0</v>
      </c>
      <c r="E29" s="219">
        <f t="shared" si="0"/>
        <v>0</v>
      </c>
      <c r="F29" s="216"/>
      <c r="G29" s="216"/>
      <c r="H29" s="219">
        <f t="shared" si="1"/>
        <v>0</v>
      </c>
      <c r="I29" s="13">
        <f t="shared" si="2"/>
        <v>0</v>
      </c>
      <c r="J29" s="219">
        <f t="shared" si="3"/>
        <v>0</v>
      </c>
      <c r="K29" s="216"/>
      <c r="L29" s="219">
        <f t="shared" si="9"/>
        <v>0</v>
      </c>
      <c r="M29" s="219">
        <f t="shared" si="4"/>
        <v>0</v>
      </c>
      <c r="N29" s="218">
        <f t="shared" si="5"/>
        <v>0</v>
      </c>
      <c r="O29" s="841">
        <f t="shared" si="6"/>
        <v>0</v>
      </c>
      <c r="P29" s="219">
        <f t="shared" si="7"/>
        <v>0</v>
      </c>
      <c r="Q29" s="232"/>
    </row>
    <row r="30" spans="2:17">
      <c r="B30" s="216">
        <v>22</v>
      </c>
      <c r="C30" s="216"/>
      <c r="D30" s="841">
        <f t="shared" si="8"/>
        <v>0</v>
      </c>
      <c r="E30" s="219">
        <f t="shared" si="0"/>
        <v>0</v>
      </c>
      <c r="F30" s="216"/>
      <c r="G30" s="216"/>
      <c r="H30" s="219">
        <f t="shared" si="1"/>
        <v>0</v>
      </c>
      <c r="I30" s="13">
        <f t="shared" si="2"/>
        <v>0</v>
      </c>
      <c r="J30" s="219">
        <f t="shared" si="3"/>
        <v>0</v>
      </c>
      <c r="K30" s="216"/>
      <c r="L30" s="219">
        <f t="shared" si="9"/>
        <v>0</v>
      </c>
      <c r="M30" s="219">
        <f t="shared" si="4"/>
        <v>0</v>
      </c>
      <c r="N30" s="218">
        <f t="shared" si="5"/>
        <v>0</v>
      </c>
      <c r="O30" s="841">
        <f t="shared" si="6"/>
        <v>0</v>
      </c>
      <c r="P30" s="219">
        <f t="shared" si="7"/>
        <v>0</v>
      </c>
      <c r="Q30" s="216"/>
    </row>
    <row r="31" spans="2:17">
      <c r="B31" s="216">
        <v>23</v>
      </c>
      <c r="C31" s="216"/>
      <c r="D31" s="841">
        <f t="shared" si="8"/>
        <v>0</v>
      </c>
      <c r="E31" s="219">
        <f t="shared" si="0"/>
        <v>0</v>
      </c>
      <c r="F31" s="216"/>
      <c r="G31" s="216"/>
      <c r="H31" s="219">
        <f t="shared" si="1"/>
        <v>0</v>
      </c>
      <c r="I31" s="13">
        <f t="shared" si="2"/>
        <v>0</v>
      </c>
      <c r="J31" s="219">
        <f t="shared" si="3"/>
        <v>0</v>
      </c>
      <c r="K31" s="216"/>
      <c r="L31" s="219">
        <f t="shared" si="9"/>
        <v>0</v>
      </c>
      <c r="M31" s="219">
        <f t="shared" si="4"/>
        <v>0</v>
      </c>
      <c r="N31" s="218">
        <f t="shared" si="5"/>
        <v>0</v>
      </c>
      <c r="O31" s="841">
        <f t="shared" si="6"/>
        <v>0</v>
      </c>
      <c r="P31" s="219">
        <f t="shared" si="7"/>
        <v>0</v>
      </c>
      <c r="Q31" s="216"/>
    </row>
    <row r="32" spans="2:17">
      <c r="B32" s="216">
        <v>24</v>
      </c>
      <c r="C32" s="216"/>
      <c r="D32" s="841">
        <f t="shared" si="8"/>
        <v>0</v>
      </c>
      <c r="E32" s="219">
        <f t="shared" si="0"/>
        <v>0</v>
      </c>
      <c r="F32" s="216"/>
      <c r="G32" s="216"/>
      <c r="H32" s="219">
        <f t="shared" si="1"/>
        <v>0</v>
      </c>
      <c r="I32" s="13">
        <f t="shared" si="2"/>
        <v>0</v>
      </c>
      <c r="J32" s="219">
        <f t="shared" si="3"/>
        <v>0</v>
      </c>
      <c r="K32" s="216"/>
      <c r="L32" s="219">
        <f t="shared" si="9"/>
        <v>0</v>
      </c>
      <c r="M32" s="219">
        <f t="shared" si="4"/>
        <v>0</v>
      </c>
      <c r="N32" s="218">
        <f t="shared" si="5"/>
        <v>0</v>
      </c>
      <c r="O32" s="841">
        <f t="shared" si="6"/>
        <v>0</v>
      </c>
      <c r="P32" s="219">
        <f t="shared" si="7"/>
        <v>0</v>
      </c>
      <c r="Q32" s="216"/>
    </row>
    <row r="33" spans="2:24">
      <c r="B33" s="216">
        <v>25</v>
      </c>
      <c r="C33" s="216"/>
      <c r="D33" s="841">
        <f t="shared" si="8"/>
        <v>0</v>
      </c>
      <c r="E33" s="219">
        <f t="shared" si="0"/>
        <v>0</v>
      </c>
      <c r="F33" s="216"/>
      <c r="G33" s="216"/>
      <c r="H33" s="219">
        <f t="shared" si="1"/>
        <v>0</v>
      </c>
      <c r="I33" s="13">
        <f t="shared" si="2"/>
        <v>0</v>
      </c>
      <c r="J33" s="219">
        <f t="shared" si="3"/>
        <v>0</v>
      </c>
      <c r="K33" s="216"/>
      <c r="L33" s="219">
        <f t="shared" si="9"/>
        <v>0</v>
      </c>
      <c r="M33" s="219">
        <f t="shared" si="4"/>
        <v>0</v>
      </c>
      <c r="N33" s="218">
        <f t="shared" si="5"/>
        <v>0</v>
      </c>
      <c r="O33" s="841">
        <f t="shared" si="6"/>
        <v>0</v>
      </c>
      <c r="P33" s="219">
        <f t="shared" si="7"/>
        <v>0</v>
      </c>
      <c r="Q33" s="216"/>
    </row>
    <row r="34" spans="2:24">
      <c r="B34" s="216">
        <v>26</v>
      </c>
      <c r="C34" s="216"/>
      <c r="D34" s="841">
        <f t="shared" si="8"/>
        <v>0</v>
      </c>
      <c r="E34" s="219">
        <f t="shared" si="0"/>
        <v>0</v>
      </c>
      <c r="F34" s="216"/>
      <c r="G34" s="216"/>
      <c r="H34" s="219">
        <f t="shared" si="1"/>
        <v>0</v>
      </c>
      <c r="I34" s="13">
        <f t="shared" si="2"/>
        <v>0</v>
      </c>
      <c r="J34" s="219">
        <f t="shared" si="3"/>
        <v>0</v>
      </c>
      <c r="K34" s="216"/>
      <c r="L34" s="219">
        <f t="shared" si="9"/>
        <v>0</v>
      </c>
      <c r="M34" s="219">
        <f t="shared" si="4"/>
        <v>0</v>
      </c>
      <c r="N34" s="218">
        <f t="shared" si="5"/>
        <v>0</v>
      </c>
      <c r="O34" s="841">
        <f t="shared" si="6"/>
        <v>0</v>
      </c>
      <c r="P34" s="219">
        <f t="shared" si="7"/>
        <v>0</v>
      </c>
      <c r="Q34" s="216"/>
    </row>
    <row r="35" spans="2:24">
      <c r="B35" s="216">
        <v>27</v>
      </c>
      <c r="C35" s="216"/>
      <c r="D35" s="841">
        <f t="shared" si="8"/>
        <v>0</v>
      </c>
      <c r="E35" s="219">
        <f t="shared" si="0"/>
        <v>0</v>
      </c>
      <c r="F35" s="216"/>
      <c r="G35" s="216"/>
      <c r="H35" s="219">
        <f t="shared" si="1"/>
        <v>0</v>
      </c>
      <c r="I35" s="13">
        <f t="shared" si="2"/>
        <v>0</v>
      </c>
      <c r="J35" s="219">
        <f t="shared" si="3"/>
        <v>0</v>
      </c>
      <c r="K35" s="216"/>
      <c r="L35" s="219">
        <f t="shared" si="9"/>
        <v>0</v>
      </c>
      <c r="M35" s="219">
        <f t="shared" si="4"/>
        <v>0</v>
      </c>
      <c r="N35" s="218">
        <f t="shared" si="5"/>
        <v>0</v>
      </c>
      <c r="O35" s="841">
        <f t="shared" si="6"/>
        <v>0</v>
      </c>
      <c r="P35" s="219">
        <f t="shared" si="7"/>
        <v>0</v>
      </c>
      <c r="Q35" s="216"/>
    </row>
    <row r="36" spans="2:24">
      <c r="B36" s="216">
        <v>28</v>
      </c>
      <c r="C36" s="216"/>
      <c r="D36" s="841">
        <f t="shared" si="8"/>
        <v>0</v>
      </c>
      <c r="E36" s="219">
        <f t="shared" si="0"/>
        <v>0</v>
      </c>
      <c r="F36" s="216"/>
      <c r="G36" s="216"/>
      <c r="H36" s="219">
        <f t="shared" si="1"/>
        <v>0</v>
      </c>
      <c r="I36" s="13">
        <f t="shared" si="2"/>
        <v>0</v>
      </c>
      <c r="J36" s="219">
        <f t="shared" si="3"/>
        <v>0</v>
      </c>
      <c r="K36" s="216"/>
      <c r="L36" s="219">
        <f t="shared" si="9"/>
        <v>0</v>
      </c>
      <c r="M36" s="219">
        <f t="shared" si="4"/>
        <v>0</v>
      </c>
      <c r="N36" s="218">
        <f t="shared" si="5"/>
        <v>0</v>
      </c>
      <c r="O36" s="841">
        <f t="shared" si="6"/>
        <v>0</v>
      </c>
      <c r="P36" s="219">
        <f t="shared" si="7"/>
        <v>0</v>
      </c>
      <c r="Q36" s="216"/>
    </row>
    <row r="37" spans="2:24">
      <c r="B37" s="216">
        <v>29</v>
      </c>
      <c r="C37" s="226"/>
      <c r="D37" s="841">
        <f t="shared" si="8"/>
        <v>0</v>
      </c>
      <c r="E37" s="219">
        <f t="shared" si="0"/>
        <v>0</v>
      </c>
      <c r="F37" s="216"/>
      <c r="G37" s="216"/>
      <c r="H37" s="219">
        <f t="shared" si="1"/>
        <v>0</v>
      </c>
      <c r="I37" s="13">
        <f t="shared" si="2"/>
        <v>0</v>
      </c>
      <c r="J37" s="219">
        <f t="shared" si="3"/>
        <v>0</v>
      </c>
      <c r="K37" s="216"/>
      <c r="L37" s="219">
        <f t="shared" si="9"/>
        <v>0</v>
      </c>
      <c r="M37" s="219">
        <f t="shared" si="4"/>
        <v>0</v>
      </c>
      <c r="N37" s="218">
        <f t="shared" si="5"/>
        <v>0</v>
      </c>
      <c r="O37" s="841">
        <f t="shared" si="6"/>
        <v>0</v>
      </c>
      <c r="P37" s="219">
        <f t="shared" si="7"/>
        <v>0</v>
      </c>
      <c r="Q37" s="216"/>
    </row>
    <row r="38" spans="2:24">
      <c r="B38" s="216">
        <v>30</v>
      </c>
      <c r="D38" s="841">
        <f t="shared" si="8"/>
        <v>0</v>
      </c>
      <c r="E38" s="219">
        <f t="shared" si="0"/>
        <v>0</v>
      </c>
      <c r="F38" s="3"/>
      <c r="G38" s="216"/>
      <c r="H38" s="219">
        <f t="shared" si="1"/>
        <v>0</v>
      </c>
      <c r="I38" s="13">
        <f t="shared" si="2"/>
        <v>0</v>
      </c>
      <c r="J38" s="219">
        <f t="shared" si="3"/>
        <v>0</v>
      </c>
      <c r="K38" s="216"/>
      <c r="L38" s="219">
        <f t="shared" si="9"/>
        <v>0</v>
      </c>
      <c r="M38" s="219">
        <f t="shared" si="4"/>
        <v>0</v>
      </c>
      <c r="N38" s="218">
        <f t="shared" si="5"/>
        <v>0</v>
      </c>
      <c r="O38" s="841">
        <f t="shared" si="6"/>
        <v>0</v>
      </c>
      <c r="P38" s="219">
        <f t="shared" si="7"/>
        <v>0</v>
      </c>
      <c r="Q38" s="3"/>
    </row>
    <row r="39" spans="2:24">
      <c r="B39" s="222">
        <v>31</v>
      </c>
      <c r="D39" s="841">
        <f t="shared" si="8"/>
        <v>0</v>
      </c>
      <c r="E39" s="219">
        <f t="shared" si="0"/>
        <v>0</v>
      </c>
      <c r="F39" s="223"/>
      <c r="G39" s="223"/>
      <c r="H39" s="219">
        <f t="shared" si="1"/>
        <v>0</v>
      </c>
      <c r="I39" s="13">
        <f t="shared" si="2"/>
        <v>0</v>
      </c>
      <c r="J39" s="219">
        <f t="shared" si="3"/>
        <v>0</v>
      </c>
      <c r="K39" s="216"/>
      <c r="L39" s="219">
        <f t="shared" si="9"/>
        <v>0</v>
      </c>
      <c r="M39" s="219">
        <f t="shared" si="4"/>
        <v>0</v>
      </c>
      <c r="N39" s="218">
        <f t="shared" si="5"/>
        <v>0</v>
      </c>
      <c r="O39" s="841">
        <f t="shared" si="6"/>
        <v>0</v>
      </c>
      <c r="P39" s="219">
        <f t="shared" si="7"/>
        <v>0</v>
      </c>
      <c r="Q39" s="223"/>
    </row>
    <row r="40" spans="2:24">
      <c r="B40" s="928" t="s">
        <v>10</v>
      </c>
      <c r="C40" s="929"/>
      <c r="D40" s="929"/>
      <c r="E40" s="930"/>
      <c r="F40" s="130">
        <f t="shared" ref="F40:N40" si="10">SUM(F9:F39)</f>
        <v>0</v>
      </c>
      <c r="G40" s="239">
        <f t="shared" si="10"/>
        <v>0</v>
      </c>
      <c r="H40" s="224">
        <f t="shared" si="10"/>
        <v>0</v>
      </c>
      <c r="I40" s="130"/>
      <c r="J40" s="130"/>
      <c r="K40" s="239">
        <f t="shared" si="10"/>
        <v>0</v>
      </c>
      <c r="L40" s="224">
        <f t="shared" si="10"/>
        <v>0</v>
      </c>
      <c r="M40" s="224">
        <f t="shared" si="10"/>
        <v>0</v>
      </c>
      <c r="N40" s="130">
        <f t="shared" si="10"/>
        <v>0</v>
      </c>
      <c r="O40" s="130"/>
      <c r="P40" s="130"/>
      <c r="Q40" s="3"/>
      <c r="R40">
        <v>40</v>
      </c>
      <c r="S40">
        <v>6.5</v>
      </c>
      <c r="U40">
        <v>40</v>
      </c>
      <c r="V40">
        <v>28.35</v>
      </c>
      <c r="X40">
        <v>2000</v>
      </c>
    </row>
    <row r="41" spans="2:24">
      <c r="U41">
        <f>R40*S40/U40*V40*X40/1000</f>
        <v>368.55</v>
      </c>
    </row>
    <row r="42" spans="2:24">
      <c r="B42" s="931" t="s">
        <v>23</v>
      </c>
      <c r="C42" s="931"/>
      <c r="D42" s="931"/>
      <c r="E42" s="931"/>
      <c r="F42" s="3"/>
      <c r="G42" s="130">
        <f>G40*S7/1000</f>
        <v>0</v>
      </c>
      <c r="H42" s="151">
        <f>+G40*S6/1000</f>
        <v>0</v>
      </c>
      <c r="J42" s="3" t="s">
        <v>36</v>
      </c>
      <c r="K42" s="3"/>
      <c r="L42" s="130">
        <f>K40*S7/1000</f>
        <v>0</v>
      </c>
      <c r="S42">
        <v>0.75</v>
      </c>
      <c r="U42">
        <f>U41*S42%</f>
        <v>2.7641249999999999</v>
      </c>
    </row>
    <row r="43" spans="2:24">
      <c r="U43" s="151">
        <f>U41+U42</f>
        <v>371.31412499999999</v>
      </c>
    </row>
    <row r="47" spans="2:24">
      <c r="M47" s="151"/>
    </row>
  </sheetData>
  <mergeCells count="20">
    <mergeCell ref="B2:Q2"/>
    <mergeCell ref="S2:T2"/>
    <mergeCell ref="B3:Q3"/>
    <mergeCell ref="S3:V3"/>
    <mergeCell ref="B4:Q4"/>
    <mergeCell ref="S4:V4"/>
    <mergeCell ref="A5:Q5"/>
    <mergeCell ref="S5:V5"/>
    <mergeCell ref="D6:F6"/>
    <mergeCell ref="G6:H6"/>
    <mergeCell ref="I6:J6"/>
    <mergeCell ref="K6:L6"/>
    <mergeCell ref="O6:P6"/>
    <mergeCell ref="S6:V6"/>
    <mergeCell ref="S7:V7"/>
    <mergeCell ref="S8:V8"/>
    <mergeCell ref="S16:T16"/>
    <mergeCell ref="B40:E40"/>
    <mergeCell ref="B42:E42"/>
    <mergeCell ref="M6:M8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Y52"/>
  <sheetViews>
    <sheetView topLeftCell="B1" zoomScale="80" zoomScaleNormal="80" workbookViewId="0">
      <pane ySplit="8" topLeftCell="A28" activePane="bottomLeft" state="frozen"/>
      <selection pane="bottomLeft" activeCell="R36" sqref="R36"/>
    </sheetView>
  </sheetViews>
  <sheetFormatPr defaultColWidth="9" defaultRowHeight="21"/>
  <cols>
    <col min="1" max="1" width="9" hidden="1" customWidth="1"/>
    <col min="2" max="2" width="9.140625" style="831"/>
    <col min="3" max="3" width="9" hidden="1" customWidth="1"/>
    <col min="5" max="5" width="10.5703125" customWidth="1"/>
    <col min="6" max="6" width="9" hidden="1" customWidth="1"/>
    <col min="8" max="8" width="13.42578125" style="831" customWidth="1"/>
    <col min="10" max="10" width="10.42578125" customWidth="1"/>
    <col min="11" max="11" width="10.5703125" customWidth="1"/>
    <col min="12" max="12" width="10.42578125" customWidth="1"/>
    <col min="13" max="13" width="11" style="831" customWidth="1"/>
    <col min="14" max="14" width="12" customWidth="1"/>
    <col min="15" max="15" width="8.28515625" customWidth="1"/>
    <col min="16" max="17" width="10.42578125" customWidth="1"/>
    <col min="18" max="18" width="18.28515625" customWidth="1"/>
    <col min="19" max="19" width="10.85546875" customWidth="1"/>
    <col min="20" max="20" width="3" hidden="1" customWidth="1"/>
    <col min="21" max="21" width="6.5703125" customWidth="1"/>
    <col min="22" max="22" width="6.28515625" customWidth="1"/>
    <col min="23" max="23" width="0.140625" customWidth="1"/>
  </cols>
  <sheetData>
    <row r="2" spans="1:25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129"/>
      <c r="S2" s="931"/>
      <c r="T2" s="931"/>
      <c r="U2" s="129" t="s">
        <v>1</v>
      </c>
      <c r="V2" s="227">
        <v>2023</v>
      </c>
      <c r="W2" s="228"/>
    </row>
    <row r="3" spans="1:25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129" t="s">
        <v>3</v>
      </c>
      <c r="S3" s="931"/>
      <c r="T3" s="931"/>
      <c r="U3" s="931"/>
      <c r="V3" s="931"/>
      <c r="W3" s="170"/>
    </row>
    <row r="4" spans="1:25">
      <c r="B4" s="939" t="s">
        <v>49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129" t="s">
        <v>5</v>
      </c>
      <c r="S4" s="931"/>
      <c r="T4" s="931"/>
      <c r="U4" s="931"/>
      <c r="V4" s="931"/>
      <c r="W4" s="170"/>
    </row>
    <row r="5" spans="1:25">
      <c r="A5" s="932" t="s">
        <v>42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933"/>
      <c r="R5" s="129" t="s">
        <v>7</v>
      </c>
      <c r="S5" s="931"/>
      <c r="T5" s="931"/>
      <c r="U5" s="931"/>
      <c r="V5" s="931"/>
      <c r="W5" s="170"/>
    </row>
    <row r="6" spans="1:25" ht="21" customHeight="1">
      <c r="B6" s="314"/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920" t="s">
        <v>12</v>
      </c>
      <c r="N6" s="215"/>
      <c r="O6" s="934" t="s">
        <v>13</v>
      </c>
      <c r="P6" s="934"/>
      <c r="Q6" s="225" t="s">
        <v>14</v>
      </c>
      <c r="R6" s="129" t="s">
        <v>15</v>
      </c>
      <c r="S6" s="944">
        <f>5.5*28.35*1</f>
        <v>155.92500000000001</v>
      </c>
      <c r="T6" s="944"/>
      <c r="U6" s="944"/>
      <c r="V6" s="944"/>
      <c r="W6" s="170"/>
      <c r="Y6">
        <v>155.92500000000001</v>
      </c>
    </row>
    <row r="7" spans="1:25">
      <c r="B7" s="312"/>
      <c r="C7" s="216"/>
      <c r="D7" s="217" t="s">
        <v>16</v>
      </c>
      <c r="E7" s="217" t="s">
        <v>17</v>
      </c>
      <c r="F7" s="217"/>
      <c r="G7" s="217" t="s">
        <v>16</v>
      </c>
      <c r="H7" s="918" t="s">
        <v>50</v>
      </c>
      <c r="I7" s="217" t="s">
        <v>16</v>
      </c>
      <c r="J7" s="217" t="s">
        <v>17</v>
      </c>
      <c r="K7" s="217" t="s">
        <v>16</v>
      </c>
      <c r="L7" s="217" t="s">
        <v>18</v>
      </c>
      <c r="M7" s="921"/>
      <c r="N7" s="217"/>
      <c r="O7" s="217" t="s">
        <v>16</v>
      </c>
      <c r="P7" s="217" t="s">
        <v>17</v>
      </c>
      <c r="Q7" s="226"/>
      <c r="R7" s="129" t="s">
        <v>19</v>
      </c>
      <c r="S7" s="944">
        <f>+S6*0.75%</f>
        <v>1.1694374999999999</v>
      </c>
      <c r="T7" s="944"/>
      <c r="U7" s="944"/>
      <c r="V7" s="944"/>
      <c r="W7" s="170"/>
      <c r="Y7">
        <f>+Y6*2</f>
        <v>311.85000000000002</v>
      </c>
    </row>
    <row r="8" spans="1:25">
      <c r="B8" s="314" t="s">
        <v>20</v>
      </c>
      <c r="C8" s="216"/>
      <c r="D8" s="217" t="s">
        <v>21</v>
      </c>
      <c r="E8" s="217" t="s">
        <v>22</v>
      </c>
      <c r="F8" s="217"/>
      <c r="G8" s="217" t="s">
        <v>21</v>
      </c>
      <c r="H8" s="919"/>
      <c r="I8" s="217" t="s">
        <v>21</v>
      </c>
      <c r="J8" s="217" t="s">
        <v>22</v>
      </c>
      <c r="K8" s="217" t="s">
        <v>21</v>
      </c>
      <c r="L8" s="217" t="s">
        <v>22</v>
      </c>
      <c r="M8" s="919"/>
      <c r="N8" s="215" t="s">
        <v>23</v>
      </c>
      <c r="O8" s="217" t="s">
        <v>21</v>
      </c>
      <c r="P8" s="217" t="s">
        <v>22</v>
      </c>
      <c r="Q8" s="226"/>
      <c r="R8" s="129" t="s">
        <v>24</v>
      </c>
      <c r="S8" s="944">
        <f>S6+S7</f>
        <v>157.0944375</v>
      </c>
      <c r="T8" s="944"/>
      <c r="U8" s="944"/>
      <c r="V8" s="944"/>
      <c r="W8" s="170"/>
    </row>
    <row r="9" spans="1:25">
      <c r="B9" s="312">
        <v>1</v>
      </c>
      <c r="C9" s="216"/>
      <c r="D9" s="216"/>
      <c r="E9" s="218">
        <f>$S$8*D9/1000</f>
        <v>0</v>
      </c>
      <c r="F9" s="216"/>
      <c r="G9" s="216"/>
      <c r="H9" s="317">
        <f>G9*S$8/1000</f>
        <v>0</v>
      </c>
      <c r="I9" s="216">
        <f>D9+G9</f>
        <v>0</v>
      </c>
      <c r="J9" s="218">
        <f>$S$8*I9/1000</f>
        <v>0</v>
      </c>
      <c r="K9" s="216"/>
      <c r="L9" s="218">
        <f>K9*S$6/1000</f>
        <v>0</v>
      </c>
      <c r="M9" s="317">
        <f>K9*S$8/1000</f>
        <v>0</v>
      </c>
      <c r="N9" s="218">
        <f>K9*S$7/1000</f>
        <v>0</v>
      </c>
      <c r="O9" s="216">
        <f>I9-K9</f>
        <v>0</v>
      </c>
      <c r="P9" s="218">
        <f>$S$8*O9/1000</f>
        <v>0</v>
      </c>
      <c r="Q9" s="216"/>
      <c r="W9" s="170"/>
    </row>
    <row r="10" spans="1:25">
      <c r="B10" s="312">
        <v>2</v>
      </c>
      <c r="C10" s="216"/>
      <c r="D10" s="216"/>
      <c r="E10" s="218">
        <f t="shared" ref="E10:E39" si="0">$S$8*D10/1000</f>
        <v>0</v>
      </c>
      <c r="F10" s="216"/>
      <c r="G10" s="216"/>
      <c r="H10" s="317">
        <f t="shared" ref="H10:H39" si="1">G10*S$8/1000</f>
        <v>0</v>
      </c>
      <c r="I10" s="216">
        <f t="shared" ref="I10:I39" si="2">D10+G10</f>
        <v>0</v>
      </c>
      <c r="J10" s="218">
        <f t="shared" ref="J10:J39" si="3">$S$8*I10/1000</f>
        <v>0</v>
      </c>
      <c r="K10" s="216"/>
      <c r="L10" s="218">
        <f t="shared" ref="L10:L39" si="4">K10*S$6/1000</f>
        <v>0</v>
      </c>
      <c r="M10" s="317">
        <f t="shared" ref="M10:M39" si="5">K10*S$8/1000</f>
        <v>0</v>
      </c>
      <c r="N10" s="218">
        <f t="shared" ref="N10:N39" si="6">K10*S$7/1000</f>
        <v>0</v>
      </c>
      <c r="O10" s="216">
        <f t="shared" ref="O10:O39" si="7">I10-K10</f>
        <v>0</v>
      </c>
      <c r="P10" s="218">
        <f t="shared" ref="P10:P39" si="8">$S$8*O10/1000</f>
        <v>0</v>
      </c>
      <c r="Q10" s="216"/>
    </row>
    <row r="11" spans="1:25">
      <c r="B11" s="312">
        <v>3</v>
      </c>
      <c r="C11" s="216"/>
      <c r="D11" s="216"/>
      <c r="E11" s="218">
        <f t="shared" si="0"/>
        <v>0</v>
      </c>
      <c r="F11" s="216"/>
      <c r="G11" s="216"/>
      <c r="H11" s="317">
        <f t="shared" si="1"/>
        <v>0</v>
      </c>
      <c r="I11" s="216">
        <f t="shared" si="2"/>
        <v>0</v>
      </c>
      <c r="J11" s="218">
        <f t="shared" si="3"/>
        <v>0</v>
      </c>
      <c r="K11" s="216"/>
      <c r="L11" s="218">
        <f t="shared" si="4"/>
        <v>0</v>
      </c>
      <c r="M11" s="317">
        <f t="shared" si="5"/>
        <v>0</v>
      </c>
      <c r="N11" s="218">
        <f t="shared" si="6"/>
        <v>0</v>
      </c>
      <c r="O11" s="216">
        <f t="shared" si="7"/>
        <v>0</v>
      </c>
      <c r="P11" s="218">
        <f t="shared" si="8"/>
        <v>0</v>
      </c>
      <c r="Q11" s="216"/>
      <c r="U11" s="151"/>
    </row>
    <row r="12" spans="1:25">
      <c r="B12" s="312">
        <v>4</v>
      </c>
      <c r="C12" s="216"/>
      <c r="D12" s="216"/>
      <c r="E12" s="218">
        <f t="shared" si="0"/>
        <v>0</v>
      </c>
      <c r="F12" s="216"/>
      <c r="G12" s="216"/>
      <c r="H12" s="317">
        <f t="shared" si="1"/>
        <v>0</v>
      </c>
      <c r="I12" s="216">
        <f t="shared" si="2"/>
        <v>0</v>
      </c>
      <c r="J12" s="218">
        <f t="shared" si="3"/>
        <v>0</v>
      </c>
      <c r="K12" s="216"/>
      <c r="L12" s="218">
        <f t="shared" si="4"/>
        <v>0</v>
      </c>
      <c r="M12" s="317">
        <f t="shared" si="5"/>
        <v>0</v>
      </c>
      <c r="N12" s="218">
        <f t="shared" si="6"/>
        <v>0</v>
      </c>
      <c r="O12" s="216">
        <f t="shared" si="7"/>
        <v>0</v>
      </c>
      <c r="P12" s="218">
        <f t="shared" si="8"/>
        <v>0</v>
      </c>
      <c r="Q12" s="216"/>
      <c r="R12" s="151"/>
      <c r="U12" s="151"/>
    </row>
    <row r="13" spans="1:25">
      <c r="B13" s="312">
        <v>5</v>
      </c>
      <c r="C13" s="216"/>
      <c r="D13" s="216"/>
      <c r="E13" s="218">
        <f t="shared" si="0"/>
        <v>0</v>
      </c>
      <c r="F13" s="216"/>
      <c r="G13" s="216"/>
      <c r="H13" s="317">
        <f t="shared" si="1"/>
        <v>0</v>
      </c>
      <c r="I13" s="216">
        <f t="shared" si="2"/>
        <v>0</v>
      </c>
      <c r="J13" s="218">
        <f t="shared" si="3"/>
        <v>0</v>
      </c>
      <c r="K13" s="216"/>
      <c r="L13" s="218">
        <f t="shared" si="4"/>
        <v>0</v>
      </c>
      <c r="M13" s="317">
        <f t="shared" si="5"/>
        <v>0</v>
      </c>
      <c r="N13" s="218">
        <f t="shared" si="6"/>
        <v>0</v>
      </c>
      <c r="O13" s="216">
        <f t="shared" si="7"/>
        <v>0</v>
      </c>
      <c r="P13" s="218">
        <f t="shared" si="8"/>
        <v>0</v>
      </c>
      <c r="Q13" s="216"/>
    </row>
    <row r="14" spans="1:25">
      <c r="B14" s="312">
        <v>6</v>
      </c>
      <c r="C14" s="216"/>
      <c r="D14" s="216"/>
      <c r="E14" s="218">
        <f t="shared" si="0"/>
        <v>0</v>
      </c>
      <c r="F14" s="216"/>
      <c r="G14" s="216"/>
      <c r="H14" s="317">
        <f t="shared" si="1"/>
        <v>0</v>
      </c>
      <c r="I14" s="216">
        <f t="shared" si="2"/>
        <v>0</v>
      </c>
      <c r="J14" s="218">
        <f t="shared" si="3"/>
        <v>0</v>
      </c>
      <c r="K14" s="216"/>
      <c r="L14" s="218">
        <f t="shared" si="4"/>
        <v>0</v>
      </c>
      <c r="M14" s="317">
        <f t="shared" si="5"/>
        <v>0</v>
      </c>
      <c r="N14" s="218">
        <f t="shared" si="6"/>
        <v>0</v>
      </c>
      <c r="O14" s="216">
        <f t="shared" si="7"/>
        <v>0</v>
      </c>
      <c r="P14" s="218">
        <f t="shared" si="8"/>
        <v>0</v>
      </c>
      <c r="Q14" s="216"/>
      <c r="R14" s="151"/>
    </row>
    <row r="15" spans="1:25">
      <c r="B15" s="312">
        <v>7</v>
      </c>
      <c r="C15" s="216"/>
      <c r="D15" s="216"/>
      <c r="E15" s="218">
        <f t="shared" si="0"/>
        <v>0</v>
      </c>
      <c r="F15" s="216"/>
      <c r="G15" s="216"/>
      <c r="H15" s="317">
        <f t="shared" si="1"/>
        <v>0</v>
      </c>
      <c r="I15" s="216">
        <f t="shared" si="2"/>
        <v>0</v>
      </c>
      <c r="J15" s="218">
        <f t="shared" si="3"/>
        <v>0</v>
      </c>
      <c r="K15" s="216"/>
      <c r="L15" s="218">
        <f t="shared" si="4"/>
        <v>0</v>
      </c>
      <c r="M15" s="317">
        <f t="shared" si="5"/>
        <v>0</v>
      </c>
      <c r="N15" s="218">
        <f t="shared" si="6"/>
        <v>0</v>
      </c>
      <c r="O15" s="216">
        <f t="shared" si="7"/>
        <v>0</v>
      </c>
      <c r="P15" s="218">
        <f t="shared" si="8"/>
        <v>0</v>
      </c>
      <c r="Q15" s="216"/>
      <c r="S15" s="151">
        <f>5.5*28.35*1</f>
        <v>155.92500000000001</v>
      </c>
    </row>
    <row r="16" spans="1:25">
      <c r="B16" s="312">
        <v>8</v>
      </c>
      <c r="C16" s="216"/>
      <c r="D16" s="216"/>
      <c r="E16" s="218">
        <f t="shared" si="0"/>
        <v>0</v>
      </c>
      <c r="F16" s="216"/>
      <c r="G16" s="216"/>
      <c r="H16" s="317">
        <f t="shared" si="1"/>
        <v>0</v>
      </c>
      <c r="I16" s="216">
        <f t="shared" si="2"/>
        <v>0</v>
      </c>
      <c r="J16" s="218">
        <f t="shared" si="3"/>
        <v>0</v>
      </c>
      <c r="K16" s="216"/>
      <c r="L16" s="218">
        <f t="shared" si="4"/>
        <v>0</v>
      </c>
      <c r="M16" s="317">
        <f t="shared" si="5"/>
        <v>0</v>
      </c>
      <c r="N16" s="218">
        <f t="shared" si="6"/>
        <v>0</v>
      </c>
      <c r="O16" s="216">
        <f t="shared" si="7"/>
        <v>0</v>
      </c>
      <c r="P16" s="218">
        <f t="shared" si="8"/>
        <v>0</v>
      </c>
      <c r="Q16" s="216"/>
      <c r="S16" s="151">
        <f>+S15*0.75%</f>
        <v>1.1694374999999999</v>
      </c>
    </row>
    <row r="17" spans="2:24">
      <c r="B17" s="312">
        <v>9</v>
      </c>
      <c r="C17" s="216"/>
      <c r="D17" s="216"/>
      <c r="E17" s="218">
        <f t="shared" si="0"/>
        <v>0</v>
      </c>
      <c r="F17" s="216"/>
      <c r="G17" s="216"/>
      <c r="H17" s="317">
        <f t="shared" si="1"/>
        <v>0</v>
      </c>
      <c r="I17" s="216">
        <f t="shared" si="2"/>
        <v>0</v>
      </c>
      <c r="J17" s="218">
        <f t="shared" si="3"/>
        <v>0</v>
      </c>
      <c r="K17" s="216"/>
      <c r="L17" s="218">
        <f t="shared" si="4"/>
        <v>0</v>
      </c>
      <c r="M17" s="317">
        <f t="shared" si="5"/>
        <v>0</v>
      </c>
      <c r="N17" s="218">
        <f t="shared" si="6"/>
        <v>0</v>
      </c>
      <c r="O17" s="216">
        <f t="shared" si="7"/>
        <v>0</v>
      </c>
      <c r="P17" s="218">
        <f t="shared" si="8"/>
        <v>0</v>
      </c>
      <c r="Q17" s="216"/>
      <c r="S17" s="151">
        <f>+S15+S16</f>
        <v>157.0944375</v>
      </c>
    </row>
    <row r="18" spans="2:24">
      <c r="B18" s="312">
        <v>10</v>
      </c>
      <c r="C18" s="216"/>
      <c r="D18" s="216"/>
      <c r="E18" s="218">
        <f t="shared" si="0"/>
        <v>0</v>
      </c>
      <c r="F18" s="216"/>
      <c r="G18" s="216"/>
      <c r="H18" s="317">
        <f t="shared" si="1"/>
        <v>0</v>
      </c>
      <c r="I18" s="216">
        <f t="shared" si="2"/>
        <v>0</v>
      </c>
      <c r="J18" s="218">
        <f t="shared" si="3"/>
        <v>0</v>
      </c>
      <c r="K18" s="216"/>
      <c r="L18" s="218">
        <f t="shared" si="4"/>
        <v>0</v>
      </c>
      <c r="M18" s="317">
        <f t="shared" si="5"/>
        <v>0</v>
      </c>
      <c r="N18" s="218">
        <f t="shared" si="6"/>
        <v>0</v>
      </c>
      <c r="O18" s="216">
        <f t="shared" si="7"/>
        <v>0</v>
      </c>
      <c r="P18" s="218">
        <f t="shared" si="8"/>
        <v>0</v>
      </c>
      <c r="Q18" s="216"/>
    </row>
    <row r="19" spans="2:24">
      <c r="B19" s="312">
        <v>11</v>
      </c>
      <c r="C19" s="216"/>
      <c r="D19" s="216"/>
      <c r="E19" s="218">
        <f t="shared" si="0"/>
        <v>0</v>
      </c>
      <c r="F19" s="216"/>
      <c r="G19" s="216"/>
      <c r="H19" s="317">
        <f t="shared" si="1"/>
        <v>0</v>
      </c>
      <c r="I19" s="216">
        <f t="shared" si="2"/>
        <v>0</v>
      </c>
      <c r="J19" s="218">
        <f t="shared" si="3"/>
        <v>0</v>
      </c>
      <c r="K19" s="216"/>
      <c r="L19" s="218">
        <f t="shared" si="4"/>
        <v>0</v>
      </c>
      <c r="M19" s="317">
        <f t="shared" si="5"/>
        <v>0</v>
      </c>
      <c r="N19" s="218">
        <f t="shared" si="6"/>
        <v>0</v>
      </c>
      <c r="O19" s="216">
        <f t="shared" si="7"/>
        <v>0</v>
      </c>
      <c r="P19" s="218">
        <f t="shared" si="8"/>
        <v>0</v>
      </c>
      <c r="Q19" s="216"/>
    </row>
    <row r="20" spans="2:24">
      <c r="B20" s="312">
        <v>12</v>
      </c>
      <c r="C20" s="216"/>
      <c r="D20" s="216"/>
      <c r="E20" s="218">
        <f t="shared" si="0"/>
        <v>0</v>
      </c>
      <c r="F20" s="216"/>
      <c r="G20" s="216"/>
      <c r="H20" s="317">
        <f t="shared" si="1"/>
        <v>0</v>
      </c>
      <c r="I20" s="216">
        <f t="shared" si="2"/>
        <v>0</v>
      </c>
      <c r="J20" s="218">
        <f t="shared" si="3"/>
        <v>0</v>
      </c>
      <c r="K20" s="216"/>
      <c r="L20" s="218">
        <f t="shared" si="4"/>
        <v>0</v>
      </c>
      <c r="M20" s="317">
        <f t="shared" si="5"/>
        <v>0</v>
      </c>
      <c r="N20" s="218">
        <f t="shared" si="6"/>
        <v>0</v>
      </c>
      <c r="O20" s="216">
        <f t="shared" si="7"/>
        <v>0</v>
      </c>
      <c r="P20" s="218">
        <f t="shared" si="8"/>
        <v>0</v>
      </c>
      <c r="Q20" s="216"/>
    </row>
    <row r="21" spans="2:24">
      <c r="B21" s="312">
        <v>13</v>
      </c>
      <c r="C21" s="216"/>
      <c r="D21" s="216"/>
      <c r="E21" s="218">
        <f t="shared" si="0"/>
        <v>0</v>
      </c>
      <c r="F21" s="216"/>
      <c r="G21" s="216"/>
      <c r="H21" s="317">
        <f t="shared" si="1"/>
        <v>0</v>
      </c>
      <c r="I21" s="216">
        <f t="shared" si="2"/>
        <v>0</v>
      </c>
      <c r="J21" s="218">
        <f t="shared" si="3"/>
        <v>0</v>
      </c>
      <c r="K21" s="216"/>
      <c r="L21" s="218">
        <f t="shared" si="4"/>
        <v>0</v>
      </c>
      <c r="M21" s="317">
        <f t="shared" si="5"/>
        <v>0</v>
      </c>
      <c r="N21" s="218">
        <f t="shared" si="6"/>
        <v>0</v>
      </c>
      <c r="O21" s="216">
        <f t="shared" si="7"/>
        <v>0</v>
      </c>
      <c r="P21" s="218">
        <f t="shared" si="8"/>
        <v>0</v>
      </c>
      <c r="Q21" s="216"/>
    </row>
    <row r="22" spans="2:24">
      <c r="B22" s="312">
        <v>14</v>
      </c>
      <c r="C22" s="216"/>
      <c r="D22" s="216"/>
      <c r="E22" s="218">
        <f t="shared" si="0"/>
        <v>0</v>
      </c>
      <c r="F22" s="216"/>
      <c r="G22" s="216"/>
      <c r="H22" s="317">
        <f t="shared" si="1"/>
        <v>0</v>
      </c>
      <c r="I22" s="216">
        <f t="shared" si="2"/>
        <v>0</v>
      </c>
      <c r="J22" s="218">
        <f t="shared" si="3"/>
        <v>0</v>
      </c>
      <c r="K22" s="216"/>
      <c r="L22" s="218">
        <f t="shared" si="4"/>
        <v>0</v>
      </c>
      <c r="M22" s="317">
        <f t="shared" si="5"/>
        <v>0</v>
      </c>
      <c r="N22" s="218">
        <f t="shared" si="6"/>
        <v>0</v>
      </c>
      <c r="O22" s="216">
        <f t="shared" si="7"/>
        <v>0</v>
      </c>
      <c r="P22" s="218">
        <f t="shared" si="8"/>
        <v>0</v>
      </c>
      <c r="Q22" s="216"/>
    </row>
    <row r="23" spans="2:24">
      <c r="B23" s="312">
        <v>15</v>
      </c>
      <c r="C23" s="216"/>
      <c r="D23" s="216"/>
      <c r="E23" s="218">
        <f t="shared" si="0"/>
        <v>0</v>
      </c>
      <c r="F23" s="216"/>
      <c r="G23" s="216"/>
      <c r="H23" s="317">
        <f t="shared" si="1"/>
        <v>0</v>
      </c>
      <c r="I23" s="216">
        <f t="shared" si="2"/>
        <v>0</v>
      </c>
      <c r="J23" s="218">
        <f t="shared" si="3"/>
        <v>0</v>
      </c>
      <c r="K23" s="216"/>
      <c r="L23" s="218">
        <f t="shared" si="4"/>
        <v>0</v>
      </c>
      <c r="M23" s="317">
        <f t="shared" si="5"/>
        <v>0</v>
      </c>
      <c r="N23" s="218">
        <f t="shared" si="6"/>
        <v>0</v>
      </c>
      <c r="O23" s="216">
        <f t="shared" si="7"/>
        <v>0</v>
      </c>
      <c r="P23" s="218">
        <f t="shared" si="8"/>
        <v>0</v>
      </c>
      <c r="Q23" s="216"/>
    </row>
    <row r="24" spans="2:24">
      <c r="B24" s="312">
        <v>16</v>
      </c>
      <c r="C24" s="216"/>
      <c r="D24" s="216"/>
      <c r="E24" s="218">
        <f t="shared" si="0"/>
        <v>0</v>
      </c>
      <c r="F24" s="216"/>
      <c r="G24" s="216"/>
      <c r="H24" s="317">
        <f t="shared" si="1"/>
        <v>0</v>
      </c>
      <c r="I24" s="216">
        <f t="shared" si="2"/>
        <v>0</v>
      </c>
      <c r="J24" s="218">
        <f t="shared" si="3"/>
        <v>0</v>
      </c>
      <c r="K24" s="216"/>
      <c r="L24" s="218">
        <f t="shared" si="4"/>
        <v>0</v>
      </c>
      <c r="M24" s="317">
        <f t="shared" si="5"/>
        <v>0</v>
      </c>
      <c r="N24" s="218">
        <f t="shared" si="6"/>
        <v>0</v>
      </c>
      <c r="O24" s="216">
        <f t="shared" si="7"/>
        <v>0</v>
      </c>
      <c r="P24" s="218">
        <f t="shared" si="8"/>
        <v>0</v>
      </c>
      <c r="Q24" s="216"/>
      <c r="X24" s="232"/>
    </row>
    <row r="25" spans="2:24">
      <c r="B25" s="312">
        <v>17</v>
      </c>
      <c r="C25" s="216"/>
      <c r="D25" s="216">
        <f t="shared" ref="D25:D39" si="9">+O24</f>
        <v>0</v>
      </c>
      <c r="E25" s="218">
        <f t="shared" si="0"/>
        <v>0</v>
      </c>
      <c r="F25" s="216"/>
      <c r="G25" s="216"/>
      <c r="H25" s="317">
        <f t="shared" si="1"/>
        <v>0</v>
      </c>
      <c r="I25" s="216">
        <f t="shared" si="2"/>
        <v>0</v>
      </c>
      <c r="J25" s="218">
        <f t="shared" si="3"/>
        <v>0</v>
      </c>
      <c r="K25" s="216"/>
      <c r="L25" s="218">
        <f t="shared" si="4"/>
        <v>0</v>
      </c>
      <c r="M25" s="317">
        <f t="shared" si="5"/>
        <v>0</v>
      </c>
      <c r="N25" s="218">
        <f t="shared" si="6"/>
        <v>0</v>
      </c>
      <c r="O25" s="216">
        <f t="shared" si="7"/>
        <v>0</v>
      </c>
      <c r="P25" s="218">
        <f t="shared" si="8"/>
        <v>0</v>
      </c>
      <c r="Q25" s="216"/>
    </row>
    <row r="26" spans="2:24">
      <c r="B26" s="312">
        <v>18</v>
      </c>
      <c r="C26" s="216"/>
      <c r="D26" s="216">
        <f t="shared" si="9"/>
        <v>0</v>
      </c>
      <c r="E26" s="218">
        <f t="shared" si="0"/>
        <v>0</v>
      </c>
      <c r="F26" s="216"/>
      <c r="G26" s="216"/>
      <c r="H26" s="317">
        <f t="shared" si="1"/>
        <v>0</v>
      </c>
      <c r="I26" s="216">
        <f t="shared" si="2"/>
        <v>0</v>
      </c>
      <c r="J26" s="218">
        <f t="shared" si="3"/>
        <v>0</v>
      </c>
      <c r="K26" s="216"/>
      <c r="L26" s="218">
        <f t="shared" si="4"/>
        <v>0</v>
      </c>
      <c r="M26" s="317">
        <f t="shared" si="5"/>
        <v>0</v>
      </c>
      <c r="N26" s="218">
        <f t="shared" si="6"/>
        <v>0</v>
      </c>
      <c r="O26" s="216">
        <f t="shared" si="7"/>
        <v>0</v>
      </c>
      <c r="P26" s="218">
        <f t="shared" si="8"/>
        <v>0</v>
      </c>
      <c r="Q26" s="216"/>
      <c r="S26" s="151"/>
    </row>
    <row r="27" spans="2:24">
      <c r="B27" s="312">
        <v>19</v>
      </c>
      <c r="C27" s="216"/>
      <c r="D27" s="216">
        <f t="shared" si="9"/>
        <v>0</v>
      </c>
      <c r="E27" s="218">
        <f t="shared" si="0"/>
        <v>0</v>
      </c>
      <c r="F27" s="216"/>
      <c r="G27" s="216"/>
      <c r="H27" s="317">
        <f t="shared" si="1"/>
        <v>0</v>
      </c>
      <c r="I27" s="216">
        <f t="shared" si="2"/>
        <v>0</v>
      </c>
      <c r="J27" s="218">
        <f t="shared" si="3"/>
        <v>0</v>
      </c>
      <c r="K27" s="216"/>
      <c r="L27" s="218">
        <f t="shared" si="4"/>
        <v>0</v>
      </c>
      <c r="M27" s="317">
        <f t="shared" si="5"/>
        <v>0</v>
      </c>
      <c r="N27" s="218">
        <f t="shared" si="6"/>
        <v>0</v>
      </c>
      <c r="O27" s="216">
        <f t="shared" si="7"/>
        <v>0</v>
      </c>
      <c r="P27" s="218">
        <f t="shared" si="8"/>
        <v>0</v>
      </c>
      <c r="Q27" s="216"/>
      <c r="S27" s="151"/>
    </row>
    <row r="28" spans="2:24">
      <c r="B28" s="312">
        <v>20</v>
      </c>
      <c r="C28" s="216"/>
      <c r="D28" s="216">
        <f t="shared" si="9"/>
        <v>0</v>
      </c>
      <c r="E28" s="218">
        <f t="shared" si="0"/>
        <v>0</v>
      </c>
      <c r="F28" s="216"/>
      <c r="G28" s="216"/>
      <c r="H28" s="317">
        <f t="shared" si="1"/>
        <v>0</v>
      </c>
      <c r="I28" s="216">
        <f t="shared" si="2"/>
        <v>0</v>
      </c>
      <c r="J28" s="218">
        <f t="shared" si="3"/>
        <v>0</v>
      </c>
      <c r="K28" s="216"/>
      <c r="L28" s="218">
        <f t="shared" si="4"/>
        <v>0</v>
      </c>
      <c r="M28" s="317">
        <f t="shared" si="5"/>
        <v>0</v>
      </c>
      <c r="N28" s="218">
        <f t="shared" si="6"/>
        <v>0</v>
      </c>
      <c r="O28" s="216">
        <f t="shared" si="7"/>
        <v>0</v>
      </c>
      <c r="P28" s="218">
        <f t="shared" si="8"/>
        <v>0</v>
      </c>
      <c r="Q28" s="216"/>
    </row>
    <row r="29" spans="2:24">
      <c r="B29" s="312">
        <v>21</v>
      </c>
      <c r="C29" s="216"/>
      <c r="D29" s="216">
        <f t="shared" si="9"/>
        <v>0</v>
      </c>
      <c r="E29" s="218">
        <f t="shared" si="0"/>
        <v>0</v>
      </c>
      <c r="F29" s="216"/>
      <c r="G29" s="216"/>
      <c r="H29" s="317">
        <f t="shared" si="1"/>
        <v>0</v>
      </c>
      <c r="I29" s="216">
        <f t="shared" si="2"/>
        <v>0</v>
      </c>
      <c r="J29" s="218">
        <f t="shared" si="3"/>
        <v>0</v>
      </c>
      <c r="K29" s="216"/>
      <c r="L29" s="218">
        <f t="shared" si="4"/>
        <v>0</v>
      </c>
      <c r="M29" s="317">
        <f t="shared" si="5"/>
        <v>0</v>
      </c>
      <c r="N29" s="218">
        <f t="shared" si="6"/>
        <v>0</v>
      </c>
      <c r="O29" s="216">
        <f t="shared" si="7"/>
        <v>0</v>
      </c>
      <c r="P29" s="218">
        <f t="shared" si="8"/>
        <v>0</v>
      </c>
      <c r="Q29" s="216"/>
    </row>
    <row r="30" spans="2:24">
      <c r="B30" s="312">
        <v>22</v>
      </c>
      <c r="C30" s="216"/>
      <c r="D30" s="216">
        <f t="shared" si="9"/>
        <v>0</v>
      </c>
      <c r="E30" s="218">
        <f t="shared" si="0"/>
        <v>0</v>
      </c>
      <c r="F30" s="216"/>
      <c r="G30" s="216"/>
      <c r="H30" s="317">
        <f t="shared" si="1"/>
        <v>0</v>
      </c>
      <c r="I30" s="216">
        <f t="shared" si="2"/>
        <v>0</v>
      </c>
      <c r="J30" s="218">
        <f t="shared" si="3"/>
        <v>0</v>
      </c>
      <c r="K30" s="216"/>
      <c r="L30" s="218">
        <f t="shared" si="4"/>
        <v>0</v>
      </c>
      <c r="M30" s="317">
        <f t="shared" si="5"/>
        <v>0</v>
      </c>
      <c r="N30" s="218">
        <f t="shared" si="6"/>
        <v>0</v>
      </c>
      <c r="O30" s="216">
        <f t="shared" si="7"/>
        <v>0</v>
      </c>
      <c r="P30" s="218">
        <f t="shared" si="8"/>
        <v>0</v>
      </c>
      <c r="Q30" s="216"/>
    </row>
    <row r="31" spans="2:24">
      <c r="B31" s="312">
        <v>23</v>
      </c>
      <c r="C31" s="216"/>
      <c r="D31" s="216">
        <f t="shared" si="9"/>
        <v>0</v>
      </c>
      <c r="E31" s="218">
        <f t="shared" si="0"/>
        <v>0</v>
      </c>
      <c r="F31" s="216"/>
      <c r="G31" s="216"/>
      <c r="H31" s="317">
        <f t="shared" si="1"/>
        <v>0</v>
      </c>
      <c r="I31" s="216">
        <f t="shared" si="2"/>
        <v>0</v>
      </c>
      <c r="J31" s="218">
        <f t="shared" si="3"/>
        <v>0</v>
      </c>
      <c r="K31" s="216"/>
      <c r="L31" s="218">
        <f t="shared" si="4"/>
        <v>0</v>
      </c>
      <c r="M31" s="317">
        <f t="shared" si="5"/>
        <v>0</v>
      </c>
      <c r="N31" s="218">
        <f t="shared" si="6"/>
        <v>0</v>
      </c>
      <c r="O31" s="216">
        <f t="shared" si="7"/>
        <v>0</v>
      </c>
      <c r="P31" s="218">
        <f t="shared" si="8"/>
        <v>0</v>
      </c>
      <c r="Q31" s="216"/>
    </row>
    <row r="32" spans="2:24">
      <c r="B32" s="312">
        <v>24</v>
      </c>
      <c r="C32" s="216"/>
      <c r="D32" s="216">
        <f t="shared" si="9"/>
        <v>0</v>
      </c>
      <c r="E32" s="218">
        <f t="shared" si="0"/>
        <v>0</v>
      </c>
      <c r="F32" s="216"/>
      <c r="G32" s="216"/>
      <c r="H32" s="317">
        <f t="shared" si="1"/>
        <v>0</v>
      </c>
      <c r="I32" s="216">
        <f t="shared" si="2"/>
        <v>0</v>
      </c>
      <c r="J32" s="218">
        <f t="shared" si="3"/>
        <v>0</v>
      </c>
      <c r="K32" s="216"/>
      <c r="L32" s="218">
        <f t="shared" si="4"/>
        <v>0</v>
      </c>
      <c r="M32" s="317">
        <f t="shared" si="5"/>
        <v>0</v>
      </c>
      <c r="N32" s="218">
        <f t="shared" si="6"/>
        <v>0</v>
      </c>
      <c r="O32" s="216">
        <f t="shared" si="7"/>
        <v>0</v>
      </c>
      <c r="P32" s="218">
        <f t="shared" si="8"/>
        <v>0</v>
      </c>
      <c r="Q32" s="216"/>
    </row>
    <row r="33" spans="2:18">
      <c r="B33" s="312">
        <v>25</v>
      </c>
      <c r="C33" s="216"/>
      <c r="D33" s="216">
        <f t="shared" si="9"/>
        <v>0</v>
      </c>
      <c r="E33" s="218">
        <f t="shared" si="0"/>
        <v>0</v>
      </c>
      <c r="F33" s="216"/>
      <c r="G33" s="216"/>
      <c r="H33" s="317">
        <f t="shared" si="1"/>
        <v>0</v>
      </c>
      <c r="I33" s="216">
        <f t="shared" si="2"/>
        <v>0</v>
      </c>
      <c r="J33" s="218">
        <f t="shared" si="3"/>
        <v>0</v>
      </c>
      <c r="K33" s="216"/>
      <c r="L33" s="218">
        <f t="shared" si="4"/>
        <v>0</v>
      </c>
      <c r="M33" s="317">
        <f t="shared" si="5"/>
        <v>0</v>
      </c>
      <c r="N33" s="218">
        <f t="shared" si="6"/>
        <v>0</v>
      </c>
      <c r="O33" s="216">
        <f t="shared" si="7"/>
        <v>0</v>
      </c>
      <c r="P33" s="218">
        <f t="shared" si="8"/>
        <v>0</v>
      </c>
      <c r="Q33" s="216"/>
    </row>
    <row r="34" spans="2:18">
      <c r="B34" s="312">
        <v>26</v>
      </c>
      <c r="C34" s="216"/>
      <c r="D34" s="216">
        <f t="shared" si="9"/>
        <v>0</v>
      </c>
      <c r="E34" s="218">
        <f t="shared" si="0"/>
        <v>0</v>
      </c>
      <c r="F34" s="216"/>
      <c r="G34" s="216"/>
      <c r="H34" s="317">
        <f t="shared" si="1"/>
        <v>0</v>
      </c>
      <c r="I34" s="216">
        <f t="shared" si="2"/>
        <v>0</v>
      </c>
      <c r="J34" s="218">
        <f t="shared" si="3"/>
        <v>0</v>
      </c>
      <c r="K34" s="216"/>
      <c r="L34" s="218">
        <f t="shared" si="4"/>
        <v>0</v>
      </c>
      <c r="M34" s="317">
        <f t="shared" si="5"/>
        <v>0</v>
      </c>
      <c r="N34" s="218">
        <f t="shared" si="6"/>
        <v>0</v>
      </c>
      <c r="O34" s="216">
        <f t="shared" si="7"/>
        <v>0</v>
      </c>
      <c r="P34" s="218">
        <f t="shared" si="8"/>
        <v>0</v>
      </c>
      <c r="Q34" s="216"/>
    </row>
    <row r="35" spans="2:18">
      <c r="B35" s="312">
        <v>27</v>
      </c>
      <c r="C35" s="216"/>
      <c r="D35" s="216">
        <f t="shared" si="9"/>
        <v>0</v>
      </c>
      <c r="E35" s="218">
        <f t="shared" si="0"/>
        <v>0</v>
      </c>
      <c r="F35" s="216"/>
      <c r="G35" s="216"/>
      <c r="H35" s="317">
        <f t="shared" si="1"/>
        <v>0</v>
      </c>
      <c r="I35" s="216">
        <f t="shared" si="2"/>
        <v>0</v>
      </c>
      <c r="J35" s="218">
        <f t="shared" si="3"/>
        <v>0</v>
      </c>
      <c r="K35" s="216"/>
      <c r="L35" s="218">
        <f t="shared" si="4"/>
        <v>0</v>
      </c>
      <c r="M35" s="317">
        <f t="shared" si="5"/>
        <v>0</v>
      </c>
      <c r="N35" s="218">
        <f t="shared" si="6"/>
        <v>0</v>
      </c>
      <c r="O35" s="216">
        <f t="shared" si="7"/>
        <v>0</v>
      </c>
      <c r="P35" s="218">
        <f t="shared" si="8"/>
        <v>0</v>
      </c>
      <c r="Q35" s="216"/>
    </row>
    <row r="36" spans="2:18">
      <c r="B36" s="312">
        <v>28</v>
      </c>
      <c r="C36" s="216"/>
      <c r="D36" s="216">
        <f t="shared" si="9"/>
        <v>0</v>
      </c>
      <c r="E36" s="218">
        <f t="shared" si="0"/>
        <v>0</v>
      </c>
      <c r="F36" s="216"/>
      <c r="G36" s="216"/>
      <c r="H36" s="317">
        <f t="shared" si="1"/>
        <v>0</v>
      </c>
      <c r="I36" s="216">
        <f t="shared" si="2"/>
        <v>0</v>
      </c>
      <c r="J36" s="218">
        <f t="shared" si="3"/>
        <v>0</v>
      </c>
      <c r="K36" s="216"/>
      <c r="L36" s="218">
        <f t="shared" si="4"/>
        <v>0</v>
      </c>
      <c r="M36" s="317">
        <f t="shared" si="5"/>
        <v>0</v>
      </c>
      <c r="N36" s="218">
        <f t="shared" si="6"/>
        <v>0</v>
      </c>
      <c r="O36" s="216">
        <f t="shared" si="7"/>
        <v>0</v>
      </c>
      <c r="P36" s="218">
        <f t="shared" si="8"/>
        <v>0</v>
      </c>
      <c r="Q36" s="216"/>
    </row>
    <row r="37" spans="2:18">
      <c r="B37" s="312">
        <v>29</v>
      </c>
      <c r="C37" s="216"/>
      <c r="D37" s="216">
        <f t="shared" si="9"/>
        <v>0</v>
      </c>
      <c r="E37" s="218">
        <f t="shared" si="0"/>
        <v>0</v>
      </c>
      <c r="F37" s="216"/>
      <c r="G37" s="216"/>
      <c r="H37" s="317">
        <f t="shared" si="1"/>
        <v>0</v>
      </c>
      <c r="I37" s="216">
        <f t="shared" si="2"/>
        <v>0</v>
      </c>
      <c r="J37" s="218">
        <f t="shared" si="3"/>
        <v>0</v>
      </c>
      <c r="K37" s="216"/>
      <c r="L37" s="218">
        <f t="shared" si="4"/>
        <v>0</v>
      </c>
      <c r="M37" s="317">
        <f t="shared" si="5"/>
        <v>0</v>
      </c>
      <c r="N37" s="218">
        <f t="shared" si="6"/>
        <v>0</v>
      </c>
      <c r="O37" s="216">
        <f t="shared" si="7"/>
        <v>0</v>
      </c>
      <c r="P37" s="218">
        <f t="shared" si="8"/>
        <v>0</v>
      </c>
      <c r="Q37" s="216"/>
    </row>
    <row r="38" spans="2:18">
      <c r="B38" s="312">
        <v>30</v>
      </c>
      <c r="D38" s="216">
        <f t="shared" si="9"/>
        <v>0</v>
      </c>
      <c r="E38" s="218">
        <f t="shared" si="0"/>
        <v>0</v>
      </c>
      <c r="F38" s="216"/>
      <c r="G38" s="216"/>
      <c r="H38" s="317">
        <f t="shared" si="1"/>
        <v>0</v>
      </c>
      <c r="I38" s="216">
        <f t="shared" si="2"/>
        <v>0</v>
      </c>
      <c r="J38" s="218">
        <f t="shared" si="3"/>
        <v>0</v>
      </c>
      <c r="K38" s="216"/>
      <c r="L38" s="218">
        <f t="shared" si="4"/>
        <v>0</v>
      </c>
      <c r="M38" s="317">
        <f t="shared" si="5"/>
        <v>0</v>
      </c>
      <c r="N38" s="218">
        <f t="shared" si="6"/>
        <v>0</v>
      </c>
      <c r="O38" s="216">
        <f t="shared" si="7"/>
        <v>0</v>
      </c>
      <c r="P38" s="218">
        <f t="shared" si="8"/>
        <v>0</v>
      </c>
    </row>
    <row r="39" spans="2:18">
      <c r="B39" s="321">
        <v>31</v>
      </c>
      <c r="D39" s="216">
        <f t="shared" si="9"/>
        <v>0</v>
      </c>
      <c r="E39" s="218">
        <f t="shared" si="0"/>
        <v>0</v>
      </c>
      <c r="F39" s="216"/>
      <c r="G39" s="216"/>
      <c r="H39" s="317">
        <f t="shared" si="1"/>
        <v>0</v>
      </c>
      <c r="I39" s="216">
        <f t="shared" si="2"/>
        <v>0</v>
      </c>
      <c r="J39" s="218">
        <f t="shared" si="3"/>
        <v>0</v>
      </c>
      <c r="K39" s="216"/>
      <c r="L39" s="218">
        <f t="shared" si="4"/>
        <v>0</v>
      </c>
      <c r="M39" s="317">
        <f t="shared" si="5"/>
        <v>0</v>
      </c>
      <c r="N39" s="218">
        <f t="shared" si="6"/>
        <v>0</v>
      </c>
      <c r="O39" s="216">
        <f t="shared" si="7"/>
        <v>0</v>
      </c>
      <c r="P39" s="218">
        <f t="shared" si="8"/>
        <v>0</v>
      </c>
    </row>
    <row r="40" spans="2:18">
      <c r="B40" s="928" t="s">
        <v>10</v>
      </c>
      <c r="C40" s="929"/>
      <c r="D40" s="929"/>
      <c r="E40" s="930"/>
      <c r="F40" s="3"/>
      <c r="G40" s="839">
        <f>SUM(G9:G39)</f>
        <v>0</v>
      </c>
      <c r="H40" s="834">
        <f t="shared" ref="H40:N40" si="10">SUM(H9:H39)</f>
        <v>0</v>
      </c>
      <c r="I40" s="840"/>
      <c r="J40" s="840"/>
      <c r="K40" s="839">
        <f t="shared" si="10"/>
        <v>0</v>
      </c>
      <c r="L40" s="834">
        <f t="shared" si="10"/>
        <v>0</v>
      </c>
      <c r="M40" s="834">
        <f t="shared" si="10"/>
        <v>0</v>
      </c>
      <c r="N40" s="130">
        <f t="shared" si="10"/>
        <v>0</v>
      </c>
      <c r="O40" s="130"/>
      <c r="P40" s="130"/>
    </row>
    <row r="42" spans="2:18">
      <c r="B42" s="931" t="s">
        <v>25</v>
      </c>
      <c r="C42" s="931"/>
      <c r="D42" s="931"/>
      <c r="E42" s="931"/>
      <c r="F42" s="3"/>
      <c r="G42" s="130">
        <f>G40*S7/1000</f>
        <v>0</v>
      </c>
      <c r="H42" s="835">
        <f>+G40*S6/1000</f>
        <v>0</v>
      </c>
      <c r="J42" s="931" t="s">
        <v>26</v>
      </c>
      <c r="K42" s="931"/>
      <c r="L42" s="130">
        <f>+K40*S7/1000</f>
        <v>0</v>
      </c>
      <c r="R42" s="151"/>
    </row>
    <row r="43" spans="2:18">
      <c r="Q43" s="151"/>
    </row>
    <row r="45" spans="2:18">
      <c r="H45" s="922" t="s">
        <v>27</v>
      </c>
      <c r="I45" s="922"/>
      <c r="J45" s="922"/>
      <c r="K45" s="842">
        <f>+G42+'20 X10 '!G42+'38-8.12-OZ '!G42+'44-8.12 OZ'!G42+'40-4.5-OZ'!G42+'36-4.05 OZ'!G42+'34-9.82'!G42+'54-6.5'!G42+'44-7.15 '!G42+'48-8.4-OZ  '!G42+'40-6.5'!G42+'48-7.80 EXP'!E42+'40-5-OZ-EXP'!E42+'48-6 EXPORT'!G42</f>
        <v>0.49407062499999999</v>
      </c>
      <c r="R45" s="151"/>
    </row>
    <row r="46" spans="2:18">
      <c r="K46" s="170"/>
    </row>
    <row r="47" spans="2:18">
      <c r="H47" s="923" t="s">
        <v>28</v>
      </c>
      <c r="I47" s="923"/>
      <c r="J47" s="923"/>
      <c r="K47" s="843">
        <f>+'40-5-OZ-EXP'!E42+'EXPORT '!E42</f>
        <v>0</v>
      </c>
      <c r="L47" s="924" t="s">
        <v>29</v>
      </c>
      <c r="M47" s="925"/>
      <c r="N47" s="925"/>
      <c r="O47" s="151">
        <f>+L42+'20 X10 '!L42+'38-8.12-OZ '!L42+'44-8.12 OZ'!L42+'40-4.5-OZ'!L42+'36-4.05 OZ'!L42+'34-9.82'!L42+'54-6.5'!L42+'44-7.15 '!L42+'48-8.4-OZ  '!K42+'40-6.5'!L42+'51-11.36-OZ '!L42+'48-7.80 EXP'!L42+'40-5-OZ-EXP'!L42+'48-6 EXPORT'!L42</f>
        <v>0.53306112499999991</v>
      </c>
    </row>
    <row r="48" spans="2:18">
      <c r="H48" s="926" t="s">
        <v>30</v>
      </c>
      <c r="I48" s="926"/>
      <c r="J48" s="926"/>
      <c r="K48" s="224">
        <f>K45+K47</f>
        <v>0.49407062499999999</v>
      </c>
    </row>
    <row r="49" spans="8:15">
      <c r="L49" s="924" t="s">
        <v>31</v>
      </c>
      <c r="M49" s="925"/>
      <c r="N49" s="925"/>
      <c r="O49" s="151">
        <f>+'TYPE A GOV'!L42+'767 GMS 500 PCS'!L42</f>
        <v>2.0814749999999997</v>
      </c>
    </row>
    <row r="50" spans="8:15">
      <c r="H50" s="916" t="s">
        <v>32</v>
      </c>
      <c r="I50" s="916"/>
      <c r="J50" s="916"/>
      <c r="K50" s="844">
        <f>+'TYPE A GOV'!G42+'767 GMS 500 PCS'!G42</f>
        <v>1.4224499999999998</v>
      </c>
    </row>
    <row r="52" spans="8:15">
      <c r="H52" s="917" t="s">
        <v>33</v>
      </c>
      <c r="I52" s="917"/>
      <c r="J52" s="917"/>
      <c r="K52" s="845">
        <f>K45+K47+K50</f>
        <v>1.9165206249999998</v>
      </c>
    </row>
  </sheetData>
  <mergeCells count="28">
    <mergeCell ref="B2:Q2"/>
    <mergeCell ref="S2:T2"/>
    <mergeCell ref="B3:Q3"/>
    <mergeCell ref="S3:V3"/>
    <mergeCell ref="B4:Q4"/>
    <mergeCell ref="S4:V4"/>
    <mergeCell ref="A5:Q5"/>
    <mergeCell ref="S5:V5"/>
    <mergeCell ref="D6:F6"/>
    <mergeCell ref="G6:H6"/>
    <mergeCell ref="I6:J6"/>
    <mergeCell ref="K6:L6"/>
    <mergeCell ref="O6:P6"/>
    <mergeCell ref="S6:V6"/>
    <mergeCell ref="S7:V7"/>
    <mergeCell ref="S8:V8"/>
    <mergeCell ref="B40:E40"/>
    <mergeCell ref="B42:E42"/>
    <mergeCell ref="J42:K42"/>
    <mergeCell ref="H50:J50"/>
    <mergeCell ref="H52:J52"/>
    <mergeCell ref="H7:H8"/>
    <mergeCell ref="M6:M8"/>
    <mergeCell ref="H45:J45"/>
    <mergeCell ref="H47:J47"/>
    <mergeCell ref="L47:N47"/>
    <mergeCell ref="H48:J48"/>
    <mergeCell ref="L49:N49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52"/>
  <sheetViews>
    <sheetView topLeftCell="B1" zoomScale="80" zoomScaleNormal="80" workbookViewId="0">
      <pane ySplit="8" topLeftCell="A28" activePane="bottomLeft" state="frozen"/>
      <selection pane="bottomLeft" activeCell="K34" sqref="K34"/>
    </sheetView>
  </sheetViews>
  <sheetFormatPr defaultColWidth="9" defaultRowHeight="21"/>
  <cols>
    <col min="1" max="1" width="9" hidden="1" customWidth="1"/>
    <col min="2" max="2" width="9.140625" style="831"/>
    <col min="3" max="3" width="9" hidden="1" customWidth="1"/>
    <col min="5" max="5" width="10.5703125" customWidth="1"/>
    <col min="6" max="6" width="9" hidden="1" customWidth="1"/>
    <col min="8" max="8" width="13.42578125" style="831" customWidth="1"/>
    <col min="10" max="10" width="10.42578125" customWidth="1"/>
    <col min="11" max="11" width="10.5703125" customWidth="1"/>
    <col min="12" max="12" width="10.42578125" customWidth="1"/>
    <col min="13" max="13" width="11" style="831" customWidth="1"/>
    <col min="14" max="14" width="12" customWidth="1"/>
    <col min="15" max="15" width="8.28515625" customWidth="1"/>
    <col min="16" max="17" width="10.42578125" customWidth="1"/>
    <col min="18" max="18" width="18.28515625" customWidth="1"/>
    <col min="19" max="19" width="10.85546875" customWidth="1"/>
    <col min="20" max="20" width="3" hidden="1" customWidth="1"/>
    <col min="21" max="21" width="6.5703125" customWidth="1"/>
    <col min="22" max="22" width="6.28515625" customWidth="1"/>
    <col min="23" max="23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129"/>
      <c r="S2" s="931"/>
      <c r="T2" s="931"/>
      <c r="U2" s="129" t="s">
        <v>1</v>
      </c>
      <c r="V2" s="227">
        <v>2023</v>
      </c>
      <c r="W2" s="228"/>
    </row>
    <row r="3" spans="1:23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129" t="s">
        <v>3</v>
      </c>
      <c r="S3" s="931"/>
      <c r="T3" s="931"/>
      <c r="U3" s="931"/>
      <c r="V3" s="931"/>
      <c r="W3" s="170"/>
    </row>
    <row r="4" spans="1:23">
      <c r="B4" s="939" t="s">
        <v>49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129" t="s">
        <v>5</v>
      </c>
      <c r="S4" s="931"/>
      <c r="T4" s="931"/>
      <c r="U4" s="931"/>
      <c r="V4" s="931"/>
      <c r="W4" s="170"/>
    </row>
    <row r="5" spans="1:23">
      <c r="A5" s="932" t="s">
        <v>6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933"/>
      <c r="R5" s="129" t="s">
        <v>7</v>
      </c>
      <c r="S5" s="931"/>
      <c r="T5" s="931"/>
      <c r="U5" s="931"/>
      <c r="V5" s="931"/>
      <c r="W5" s="170"/>
    </row>
    <row r="6" spans="1:23" ht="21" customHeight="1">
      <c r="B6" s="314"/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920" t="s">
        <v>12</v>
      </c>
      <c r="N6" s="215"/>
      <c r="O6" s="934" t="s">
        <v>13</v>
      </c>
      <c r="P6" s="934"/>
      <c r="Q6" s="225" t="s">
        <v>14</v>
      </c>
      <c r="R6" s="129" t="s">
        <v>15</v>
      </c>
      <c r="S6" s="944">
        <v>311.85000000000002</v>
      </c>
      <c r="T6" s="944"/>
      <c r="U6" s="944"/>
      <c r="V6" s="944"/>
      <c r="W6" s="170"/>
    </row>
    <row r="7" spans="1:23">
      <c r="B7" s="312"/>
      <c r="C7" s="216"/>
      <c r="D7" s="217" t="s">
        <v>16</v>
      </c>
      <c r="E7" s="217" t="s">
        <v>17</v>
      </c>
      <c r="F7" s="217"/>
      <c r="G7" s="217" t="s">
        <v>16</v>
      </c>
      <c r="H7" s="918" t="s">
        <v>50</v>
      </c>
      <c r="I7" s="217" t="s">
        <v>16</v>
      </c>
      <c r="J7" s="217" t="s">
        <v>17</v>
      </c>
      <c r="K7" s="217" t="s">
        <v>16</v>
      </c>
      <c r="L7" s="217" t="s">
        <v>18</v>
      </c>
      <c r="M7" s="921"/>
      <c r="N7" s="217"/>
      <c r="O7" s="217" t="s">
        <v>16</v>
      </c>
      <c r="P7" s="217" t="s">
        <v>17</v>
      </c>
      <c r="Q7" s="226"/>
      <c r="R7" s="129" t="s">
        <v>19</v>
      </c>
      <c r="S7" s="944">
        <f>+S6*0.75%</f>
        <v>2.3388749999999998</v>
      </c>
      <c r="T7" s="944"/>
      <c r="U7" s="944"/>
      <c r="V7" s="944"/>
      <c r="W7" s="170"/>
    </row>
    <row r="8" spans="1:23">
      <c r="B8" s="314" t="s">
        <v>20</v>
      </c>
      <c r="C8" s="216"/>
      <c r="D8" s="217" t="s">
        <v>21</v>
      </c>
      <c r="E8" s="217" t="s">
        <v>22</v>
      </c>
      <c r="F8" s="217"/>
      <c r="G8" s="217" t="s">
        <v>21</v>
      </c>
      <c r="H8" s="919"/>
      <c r="I8" s="217" t="s">
        <v>21</v>
      </c>
      <c r="J8" s="217" t="s">
        <v>22</v>
      </c>
      <c r="K8" s="217" t="s">
        <v>21</v>
      </c>
      <c r="L8" s="217" t="s">
        <v>22</v>
      </c>
      <c r="M8" s="919"/>
      <c r="N8" s="215" t="s">
        <v>23</v>
      </c>
      <c r="O8" s="217" t="s">
        <v>21</v>
      </c>
      <c r="P8" s="217" t="s">
        <v>22</v>
      </c>
      <c r="Q8" s="226"/>
      <c r="R8" s="129" t="s">
        <v>24</v>
      </c>
      <c r="S8" s="944">
        <f>S6+S7</f>
        <v>314.188875</v>
      </c>
      <c r="T8" s="944"/>
      <c r="U8" s="944"/>
      <c r="V8" s="944"/>
      <c r="W8" s="170"/>
    </row>
    <row r="9" spans="1:23">
      <c r="B9" s="312">
        <v>1</v>
      </c>
      <c r="C9" s="216"/>
      <c r="D9" s="216"/>
      <c r="E9" s="218">
        <f>$S$8*D9/1000</f>
        <v>0</v>
      </c>
      <c r="F9" s="216"/>
      <c r="G9" s="216"/>
      <c r="H9" s="317">
        <f>G9*S$8/1000</f>
        <v>0</v>
      </c>
      <c r="I9" s="216">
        <f>D9+G9</f>
        <v>0</v>
      </c>
      <c r="J9" s="218">
        <f>$S$8*I9/1000</f>
        <v>0</v>
      </c>
      <c r="K9" s="216"/>
      <c r="L9" s="218">
        <f>K9*S$6/1000</f>
        <v>0</v>
      </c>
      <c r="M9" s="317">
        <f>K9*S$8/1000</f>
        <v>0</v>
      </c>
      <c r="N9" s="218">
        <f>K9*S$7/1000</f>
        <v>0</v>
      </c>
      <c r="O9" s="216">
        <f>I9-K9</f>
        <v>0</v>
      </c>
      <c r="P9" s="218">
        <f>$S$8*O9/1000</f>
        <v>0</v>
      </c>
      <c r="Q9" s="216"/>
      <c r="W9" s="170"/>
    </row>
    <row r="10" spans="1:23">
      <c r="B10" s="312">
        <v>2</v>
      </c>
      <c r="C10" s="216"/>
      <c r="D10" s="216"/>
      <c r="E10" s="218">
        <f t="shared" ref="E10:E39" si="0">$S$8*D10/1000</f>
        <v>0</v>
      </c>
      <c r="F10" s="216"/>
      <c r="G10" s="216"/>
      <c r="H10" s="317">
        <f t="shared" ref="H10:H39" si="1">G10*S$8/1000</f>
        <v>0</v>
      </c>
      <c r="I10" s="216">
        <f t="shared" ref="I10:I39" si="2">D10+G10</f>
        <v>0</v>
      </c>
      <c r="J10" s="218">
        <f t="shared" ref="J10:J39" si="3">$S$8*I10/1000</f>
        <v>0</v>
      </c>
      <c r="K10" s="216"/>
      <c r="L10" s="218">
        <f t="shared" ref="L10:L39" si="4">K10*S$6/1000</f>
        <v>0</v>
      </c>
      <c r="M10" s="317">
        <f t="shared" ref="M10:M39" si="5">K10*S$8/1000</f>
        <v>0</v>
      </c>
      <c r="N10" s="218">
        <f t="shared" ref="N10:N39" si="6">K10*S$7/1000</f>
        <v>0</v>
      </c>
      <c r="O10" s="216">
        <f t="shared" ref="O10:O39" si="7">I10-K10</f>
        <v>0</v>
      </c>
      <c r="P10" s="218">
        <f t="shared" ref="P10:P39" si="8">$S$8*O10/1000</f>
        <v>0</v>
      </c>
      <c r="Q10" s="216"/>
    </row>
    <row r="11" spans="1:23">
      <c r="B11" s="312">
        <v>3</v>
      </c>
      <c r="C11" s="216"/>
      <c r="D11" s="216"/>
      <c r="E11" s="218">
        <f t="shared" si="0"/>
        <v>0</v>
      </c>
      <c r="F11" s="216"/>
      <c r="G11" s="216"/>
      <c r="H11" s="317">
        <f t="shared" si="1"/>
        <v>0</v>
      </c>
      <c r="I11" s="216">
        <f t="shared" si="2"/>
        <v>0</v>
      </c>
      <c r="J11" s="218">
        <f t="shared" si="3"/>
        <v>0</v>
      </c>
      <c r="K11" s="216"/>
      <c r="L11" s="218">
        <f t="shared" si="4"/>
        <v>0</v>
      </c>
      <c r="M11" s="317">
        <f t="shared" si="5"/>
        <v>0</v>
      </c>
      <c r="N11" s="218">
        <f t="shared" si="6"/>
        <v>0</v>
      </c>
      <c r="O11" s="216">
        <f t="shared" si="7"/>
        <v>0</v>
      </c>
      <c r="P11" s="218">
        <f t="shared" si="8"/>
        <v>0</v>
      </c>
      <c r="Q11" s="216"/>
      <c r="U11" s="151"/>
    </row>
    <row r="12" spans="1:23">
      <c r="B12" s="312">
        <v>4</v>
      </c>
      <c r="C12" s="216"/>
      <c r="D12" s="216"/>
      <c r="E12" s="218">
        <f t="shared" si="0"/>
        <v>0</v>
      </c>
      <c r="F12" s="216"/>
      <c r="G12" s="216"/>
      <c r="H12" s="317">
        <f t="shared" si="1"/>
        <v>0</v>
      </c>
      <c r="I12" s="216">
        <f t="shared" si="2"/>
        <v>0</v>
      </c>
      <c r="J12" s="218">
        <f t="shared" si="3"/>
        <v>0</v>
      </c>
      <c r="K12" s="216"/>
      <c r="L12" s="218">
        <f t="shared" si="4"/>
        <v>0</v>
      </c>
      <c r="M12" s="317">
        <f t="shared" si="5"/>
        <v>0</v>
      </c>
      <c r="N12" s="218">
        <f t="shared" si="6"/>
        <v>0</v>
      </c>
      <c r="O12" s="216">
        <f t="shared" si="7"/>
        <v>0</v>
      </c>
      <c r="P12" s="218">
        <f t="shared" si="8"/>
        <v>0</v>
      </c>
      <c r="Q12" s="216"/>
      <c r="R12" s="151"/>
      <c r="U12" s="151"/>
    </row>
    <row r="13" spans="1:23">
      <c r="B13" s="312">
        <v>5</v>
      </c>
      <c r="C13" s="216"/>
      <c r="D13" s="216"/>
      <c r="E13" s="218">
        <f t="shared" si="0"/>
        <v>0</v>
      </c>
      <c r="F13" s="216"/>
      <c r="G13" s="216"/>
      <c r="H13" s="317">
        <f t="shared" si="1"/>
        <v>0</v>
      </c>
      <c r="I13" s="216">
        <f t="shared" si="2"/>
        <v>0</v>
      </c>
      <c r="J13" s="218">
        <f t="shared" si="3"/>
        <v>0</v>
      </c>
      <c r="K13" s="216"/>
      <c r="L13" s="218">
        <f t="shared" si="4"/>
        <v>0</v>
      </c>
      <c r="M13" s="317">
        <f t="shared" si="5"/>
        <v>0</v>
      </c>
      <c r="N13" s="218">
        <f t="shared" si="6"/>
        <v>0</v>
      </c>
      <c r="O13" s="216">
        <f t="shared" si="7"/>
        <v>0</v>
      </c>
      <c r="P13" s="218">
        <f t="shared" si="8"/>
        <v>0</v>
      </c>
      <c r="Q13" s="216"/>
    </row>
    <row r="14" spans="1:23">
      <c r="B14" s="312">
        <v>6</v>
      </c>
      <c r="C14" s="216"/>
      <c r="D14" s="216"/>
      <c r="E14" s="218">
        <f t="shared" si="0"/>
        <v>0</v>
      </c>
      <c r="F14" s="216"/>
      <c r="G14" s="216"/>
      <c r="H14" s="317">
        <f t="shared" si="1"/>
        <v>0</v>
      </c>
      <c r="I14" s="216">
        <f t="shared" si="2"/>
        <v>0</v>
      </c>
      <c r="J14" s="218">
        <f t="shared" si="3"/>
        <v>0</v>
      </c>
      <c r="K14" s="216"/>
      <c r="L14" s="218">
        <f t="shared" si="4"/>
        <v>0</v>
      </c>
      <c r="M14" s="317">
        <f t="shared" si="5"/>
        <v>0</v>
      </c>
      <c r="N14" s="218">
        <f t="shared" si="6"/>
        <v>0</v>
      </c>
      <c r="O14" s="216">
        <f t="shared" si="7"/>
        <v>0</v>
      </c>
      <c r="P14" s="218">
        <f t="shared" si="8"/>
        <v>0</v>
      </c>
      <c r="Q14" s="216"/>
      <c r="R14" s="151"/>
    </row>
    <row r="15" spans="1:23">
      <c r="B15" s="312">
        <v>7</v>
      </c>
      <c r="C15" s="216"/>
      <c r="D15" s="216"/>
      <c r="E15" s="218">
        <f t="shared" si="0"/>
        <v>0</v>
      </c>
      <c r="F15" s="216"/>
      <c r="G15" s="216"/>
      <c r="H15" s="317">
        <f t="shared" si="1"/>
        <v>0</v>
      </c>
      <c r="I15" s="216">
        <f t="shared" si="2"/>
        <v>0</v>
      </c>
      <c r="J15" s="218">
        <f t="shared" si="3"/>
        <v>0</v>
      </c>
      <c r="K15" s="216"/>
      <c r="L15" s="218">
        <f t="shared" si="4"/>
        <v>0</v>
      </c>
      <c r="M15" s="317">
        <f t="shared" si="5"/>
        <v>0</v>
      </c>
      <c r="N15" s="218">
        <f t="shared" si="6"/>
        <v>0</v>
      </c>
      <c r="O15" s="216">
        <f t="shared" si="7"/>
        <v>0</v>
      </c>
      <c r="P15" s="218">
        <f t="shared" si="8"/>
        <v>0</v>
      </c>
      <c r="Q15" s="216"/>
      <c r="S15" s="151">
        <f>5.5*28.35*2</f>
        <v>311.85000000000002</v>
      </c>
    </row>
    <row r="16" spans="1:23">
      <c r="B16" s="312">
        <v>8</v>
      </c>
      <c r="C16" s="216"/>
      <c r="D16" s="216"/>
      <c r="E16" s="218">
        <f t="shared" si="0"/>
        <v>0</v>
      </c>
      <c r="F16" s="216"/>
      <c r="G16" s="216"/>
      <c r="H16" s="317">
        <f t="shared" si="1"/>
        <v>0</v>
      </c>
      <c r="I16" s="216">
        <f t="shared" si="2"/>
        <v>0</v>
      </c>
      <c r="J16" s="218">
        <f t="shared" si="3"/>
        <v>0</v>
      </c>
      <c r="K16" s="216"/>
      <c r="L16" s="218">
        <f t="shared" si="4"/>
        <v>0</v>
      </c>
      <c r="M16" s="317">
        <f t="shared" si="5"/>
        <v>0</v>
      </c>
      <c r="N16" s="218">
        <f t="shared" si="6"/>
        <v>0</v>
      </c>
      <c r="O16" s="216">
        <f t="shared" si="7"/>
        <v>0</v>
      </c>
      <c r="P16" s="218">
        <f t="shared" si="8"/>
        <v>0</v>
      </c>
      <c r="Q16" s="216"/>
      <c r="S16" s="151">
        <f>+S15*0.75%</f>
        <v>2.3388749999999998</v>
      </c>
    </row>
    <row r="17" spans="2:24">
      <c r="B17" s="312">
        <v>9</v>
      </c>
      <c r="C17" s="216"/>
      <c r="D17" s="216"/>
      <c r="E17" s="218">
        <f t="shared" si="0"/>
        <v>0</v>
      </c>
      <c r="F17" s="216"/>
      <c r="G17" s="216"/>
      <c r="H17" s="317">
        <f t="shared" si="1"/>
        <v>0</v>
      </c>
      <c r="I17" s="216">
        <f t="shared" si="2"/>
        <v>0</v>
      </c>
      <c r="J17" s="218">
        <f t="shared" si="3"/>
        <v>0</v>
      </c>
      <c r="K17" s="216"/>
      <c r="L17" s="218">
        <f t="shared" si="4"/>
        <v>0</v>
      </c>
      <c r="M17" s="317">
        <f t="shared" si="5"/>
        <v>0</v>
      </c>
      <c r="N17" s="218">
        <f t="shared" si="6"/>
        <v>0</v>
      </c>
      <c r="O17" s="216">
        <f t="shared" si="7"/>
        <v>0</v>
      </c>
      <c r="P17" s="218">
        <f t="shared" si="8"/>
        <v>0</v>
      </c>
      <c r="Q17" s="216"/>
      <c r="S17" s="151">
        <f>+S15+S16</f>
        <v>314.188875</v>
      </c>
    </row>
    <row r="18" spans="2:24">
      <c r="B18" s="312">
        <v>10</v>
      </c>
      <c r="C18" s="216"/>
      <c r="D18" s="216"/>
      <c r="E18" s="218">
        <f t="shared" si="0"/>
        <v>0</v>
      </c>
      <c r="F18" s="216"/>
      <c r="G18" s="216"/>
      <c r="H18" s="317">
        <f t="shared" si="1"/>
        <v>0</v>
      </c>
      <c r="I18" s="216">
        <f t="shared" si="2"/>
        <v>0</v>
      </c>
      <c r="J18" s="218">
        <f t="shared" si="3"/>
        <v>0</v>
      </c>
      <c r="K18" s="216"/>
      <c r="L18" s="218">
        <f t="shared" si="4"/>
        <v>0</v>
      </c>
      <c r="M18" s="317">
        <f t="shared" si="5"/>
        <v>0</v>
      </c>
      <c r="N18" s="218">
        <f t="shared" si="6"/>
        <v>0</v>
      </c>
      <c r="O18" s="216">
        <f t="shared" si="7"/>
        <v>0</v>
      </c>
      <c r="P18" s="218">
        <f t="shared" si="8"/>
        <v>0</v>
      </c>
      <c r="Q18" s="216"/>
    </row>
    <row r="19" spans="2:24">
      <c r="B19" s="312">
        <v>11</v>
      </c>
      <c r="C19" s="216"/>
      <c r="D19" s="216"/>
      <c r="E19" s="218">
        <f t="shared" si="0"/>
        <v>0</v>
      </c>
      <c r="F19" s="216"/>
      <c r="G19" s="216"/>
      <c r="H19" s="317">
        <f t="shared" si="1"/>
        <v>0</v>
      </c>
      <c r="I19" s="216">
        <f t="shared" si="2"/>
        <v>0</v>
      </c>
      <c r="J19" s="218">
        <f t="shared" si="3"/>
        <v>0</v>
      </c>
      <c r="K19" s="216"/>
      <c r="L19" s="218">
        <f t="shared" si="4"/>
        <v>0</v>
      </c>
      <c r="M19" s="317">
        <f t="shared" si="5"/>
        <v>0</v>
      </c>
      <c r="N19" s="218">
        <f t="shared" si="6"/>
        <v>0</v>
      </c>
      <c r="O19" s="216">
        <f t="shared" si="7"/>
        <v>0</v>
      </c>
      <c r="P19" s="218">
        <f t="shared" si="8"/>
        <v>0</v>
      </c>
      <c r="Q19" s="216"/>
    </row>
    <row r="20" spans="2:24">
      <c r="B20" s="312">
        <v>12</v>
      </c>
      <c r="C20" s="216"/>
      <c r="D20" s="216"/>
      <c r="E20" s="218">
        <f t="shared" si="0"/>
        <v>0</v>
      </c>
      <c r="F20" s="216"/>
      <c r="G20" s="216"/>
      <c r="H20" s="317">
        <f t="shared" si="1"/>
        <v>0</v>
      </c>
      <c r="I20" s="216">
        <f t="shared" si="2"/>
        <v>0</v>
      </c>
      <c r="J20" s="218">
        <f t="shared" si="3"/>
        <v>0</v>
      </c>
      <c r="K20" s="216"/>
      <c r="L20" s="218">
        <f t="shared" si="4"/>
        <v>0</v>
      </c>
      <c r="M20" s="317">
        <f t="shared" si="5"/>
        <v>0</v>
      </c>
      <c r="N20" s="218">
        <f t="shared" si="6"/>
        <v>0</v>
      </c>
      <c r="O20" s="216">
        <f t="shared" si="7"/>
        <v>0</v>
      </c>
      <c r="P20" s="218">
        <f t="shared" si="8"/>
        <v>0</v>
      </c>
      <c r="Q20" s="216"/>
    </row>
    <row r="21" spans="2:24">
      <c r="B21" s="312">
        <v>13</v>
      </c>
      <c r="C21" s="216"/>
      <c r="D21" s="216"/>
      <c r="E21" s="218">
        <f t="shared" si="0"/>
        <v>0</v>
      </c>
      <c r="F21" s="216"/>
      <c r="G21" s="216"/>
      <c r="H21" s="317">
        <f t="shared" si="1"/>
        <v>0</v>
      </c>
      <c r="I21" s="216">
        <f t="shared" si="2"/>
        <v>0</v>
      </c>
      <c r="J21" s="218">
        <f t="shared" si="3"/>
        <v>0</v>
      </c>
      <c r="K21" s="216"/>
      <c r="L21" s="218">
        <f t="shared" si="4"/>
        <v>0</v>
      </c>
      <c r="M21" s="317">
        <f t="shared" si="5"/>
        <v>0</v>
      </c>
      <c r="N21" s="218">
        <f t="shared" si="6"/>
        <v>0</v>
      </c>
      <c r="O21" s="216">
        <f t="shared" si="7"/>
        <v>0</v>
      </c>
      <c r="P21" s="218">
        <f t="shared" si="8"/>
        <v>0</v>
      </c>
      <c r="Q21" s="216"/>
    </row>
    <row r="22" spans="2:24">
      <c r="B22" s="312">
        <v>14</v>
      </c>
      <c r="C22" s="216"/>
      <c r="D22" s="216"/>
      <c r="E22" s="218">
        <f t="shared" si="0"/>
        <v>0</v>
      </c>
      <c r="F22" s="216"/>
      <c r="G22" s="216"/>
      <c r="H22" s="317">
        <f t="shared" si="1"/>
        <v>0</v>
      </c>
      <c r="I22" s="216">
        <f t="shared" si="2"/>
        <v>0</v>
      </c>
      <c r="J22" s="218">
        <f t="shared" si="3"/>
        <v>0</v>
      </c>
      <c r="K22" s="216"/>
      <c r="L22" s="218">
        <f t="shared" si="4"/>
        <v>0</v>
      </c>
      <c r="M22" s="317">
        <f t="shared" si="5"/>
        <v>0</v>
      </c>
      <c r="N22" s="218">
        <f t="shared" si="6"/>
        <v>0</v>
      </c>
      <c r="O22" s="216">
        <f t="shared" si="7"/>
        <v>0</v>
      </c>
      <c r="P22" s="218">
        <f t="shared" si="8"/>
        <v>0</v>
      </c>
      <c r="Q22" s="216"/>
    </row>
    <row r="23" spans="2:24">
      <c r="B23" s="312">
        <v>15</v>
      </c>
      <c r="C23" s="216"/>
      <c r="D23" s="216"/>
      <c r="E23" s="218">
        <f t="shared" si="0"/>
        <v>0</v>
      </c>
      <c r="F23" s="216"/>
      <c r="G23" s="216"/>
      <c r="H23" s="317">
        <f t="shared" si="1"/>
        <v>0</v>
      </c>
      <c r="I23" s="216">
        <f t="shared" si="2"/>
        <v>0</v>
      </c>
      <c r="J23" s="218">
        <f t="shared" si="3"/>
        <v>0</v>
      </c>
      <c r="K23" s="216"/>
      <c r="L23" s="218">
        <f t="shared" si="4"/>
        <v>0</v>
      </c>
      <c r="M23" s="317">
        <f t="shared" si="5"/>
        <v>0</v>
      </c>
      <c r="N23" s="218">
        <f t="shared" si="6"/>
        <v>0</v>
      </c>
      <c r="O23" s="216">
        <f t="shared" si="7"/>
        <v>0</v>
      </c>
      <c r="P23" s="218">
        <f t="shared" si="8"/>
        <v>0</v>
      </c>
      <c r="Q23" s="216"/>
    </row>
    <row r="24" spans="2:24">
      <c r="B24" s="312">
        <v>16</v>
      </c>
      <c r="C24" s="216"/>
      <c r="D24" s="216">
        <f t="shared" ref="D24:D39" si="9">+O23</f>
        <v>0</v>
      </c>
      <c r="E24" s="218">
        <f t="shared" si="0"/>
        <v>0</v>
      </c>
      <c r="F24" s="216"/>
      <c r="G24" s="216"/>
      <c r="H24" s="317">
        <f t="shared" si="1"/>
        <v>0</v>
      </c>
      <c r="I24" s="216">
        <f t="shared" si="2"/>
        <v>0</v>
      </c>
      <c r="J24" s="218">
        <f t="shared" si="3"/>
        <v>0</v>
      </c>
      <c r="K24" s="216"/>
      <c r="L24" s="218">
        <f t="shared" si="4"/>
        <v>0</v>
      </c>
      <c r="M24" s="317">
        <f t="shared" si="5"/>
        <v>0</v>
      </c>
      <c r="N24" s="218">
        <f t="shared" si="6"/>
        <v>0</v>
      </c>
      <c r="O24" s="216">
        <f t="shared" si="7"/>
        <v>0</v>
      </c>
      <c r="P24" s="218">
        <f t="shared" si="8"/>
        <v>0</v>
      </c>
      <c r="Q24" s="216"/>
      <c r="X24" s="232"/>
    </row>
    <row r="25" spans="2:24">
      <c r="B25" s="312">
        <v>17</v>
      </c>
      <c r="C25" s="216"/>
      <c r="D25" s="216">
        <f t="shared" si="9"/>
        <v>0</v>
      </c>
      <c r="E25" s="218">
        <f t="shared" si="0"/>
        <v>0</v>
      </c>
      <c r="F25" s="216"/>
      <c r="G25" s="216"/>
      <c r="H25" s="317">
        <f t="shared" si="1"/>
        <v>0</v>
      </c>
      <c r="I25" s="216">
        <f t="shared" si="2"/>
        <v>0</v>
      </c>
      <c r="J25" s="218">
        <f t="shared" si="3"/>
        <v>0</v>
      </c>
      <c r="K25" s="216"/>
      <c r="L25" s="218">
        <f t="shared" si="4"/>
        <v>0</v>
      </c>
      <c r="M25" s="317">
        <f t="shared" si="5"/>
        <v>0</v>
      </c>
      <c r="N25" s="218">
        <f t="shared" si="6"/>
        <v>0</v>
      </c>
      <c r="O25" s="216">
        <f t="shared" si="7"/>
        <v>0</v>
      </c>
      <c r="P25" s="218">
        <f t="shared" si="8"/>
        <v>0</v>
      </c>
      <c r="Q25" s="216"/>
    </row>
    <row r="26" spans="2:24">
      <c r="B26" s="312">
        <v>18</v>
      </c>
      <c r="C26" s="216"/>
      <c r="D26" s="216">
        <f t="shared" si="9"/>
        <v>0</v>
      </c>
      <c r="E26" s="218">
        <f t="shared" si="0"/>
        <v>0</v>
      </c>
      <c r="F26" s="216"/>
      <c r="G26" s="216"/>
      <c r="H26" s="317">
        <f t="shared" si="1"/>
        <v>0</v>
      </c>
      <c r="I26" s="216">
        <f t="shared" si="2"/>
        <v>0</v>
      </c>
      <c r="J26" s="218">
        <f t="shared" si="3"/>
        <v>0</v>
      </c>
      <c r="K26" s="216"/>
      <c r="L26" s="218">
        <f t="shared" si="4"/>
        <v>0</v>
      </c>
      <c r="M26" s="317">
        <f t="shared" si="5"/>
        <v>0</v>
      </c>
      <c r="N26" s="218">
        <f t="shared" si="6"/>
        <v>0</v>
      </c>
      <c r="O26" s="216">
        <f t="shared" si="7"/>
        <v>0</v>
      </c>
      <c r="P26" s="218">
        <f t="shared" si="8"/>
        <v>0</v>
      </c>
      <c r="Q26" s="216"/>
      <c r="S26" s="151"/>
    </row>
    <row r="27" spans="2:24">
      <c r="B27" s="312">
        <v>19</v>
      </c>
      <c r="C27" s="216"/>
      <c r="D27" s="216">
        <f t="shared" si="9"/>
        <v>0</v>
      </c>
      <c r="E27" s="218">
        <f t="shared" si="0"/>
        <v>0</v>
      </c>
      <c r="F27" s="216"/>
      <c r="G27" s="216"/>
      <c r="H27" s="317">
        <f t="shared" si="1"/>
        <v>0</v>
      </c>
      <c r="I27" s="216">
        <f t="shared" si="2"/>
        <v>0</v>
      </c>
      <c r="J27" s="218">
        <f t="shared" si="3"/>
        <v>0</v>
      </c>
      <c r="K27" s="216"/>
      <c r="L27" s="218">
        <f t="shared" si="4"/>
        <v>0</v>
      </c>
      <c r="M27" s="317">
        <f t="shared" si="5"/>
        <v>0</v>
      </c>
      <c r="N27" s="218">
        <f t="shared" si="6"/>
        <v>0</v>
      </c>
      <c r="O27" s="216">
        <f t="shared" si="7"/>
        <v>0</v>
      </c>
      <c r="P27" s="218">
        <f t="shared" si="8"/>
        <v>0</v>
      </c>
      <c r="Q27" s="216"/>
      <c r="S27" s="151"/>
    </row>
    <row r="28" spans="2:24">
      <c r="B28" s="312">
        <v>20</v>
      </c>
      <c r="C28" s="216"/>
      <c r="D28" s="216">
        <f t="shared" si="9"/>
        <v>0</v>
      </c>
      <c r="E28" s="218">
        <f t="shared" si="0"/>
        <v>0</v>
      </c>
      <c r="F28" s="216"/>
      <c r="G28" s="216"/>
      <c r="H28" s="317">
        <f t="shared" si="1"/>
        <v>0</v>
      </c>
      <c r="I28" s="216">
        <f t="shared" si="2"/>
        <v>0</v>
      </c>
      <c r="J28" s="218">
        <f t="shared" si="3"/>
        <v>0</v>
      </c>
      <c r="K28" s="216"/>
      <c r="L28" s="218">
        <f t="shared" si="4"/>
        <v>0</v>
      </c>
      <c r="M28" s="317">
        <f t="shared" si="5"/>
        <v>0</v>
      </c>
      <c r="N28" s="218">
        <f t="shared" si="6"/>
        <v>0</v>
      </c>
      <c r="O28" s="216">
        <f t="shared" si="7"/>
        <v>0</v>
      </c>
      <c r="P28" s="218">
        <f t="shared" si="8"/>
        <v>0</v>
      </c>
      <c r="Q28" s="216"/>
    </row>
    <row r="29" spans="2:24">
      <c r="B29" s="312">
        <v>21</v>
      </c>
      <c r="C29" s="216"/>
      <c r="D29" s="216">
        <f t="shared" si="9"/>
        <v>0</v>
      </c>
      <c r="E29" s="218">
        <f t="shared" si="0"/>
        <v>0</v>
      </c>
      <c r="F29" s="216"/>
      <c r="G29" s="216"/>
      <c r="H29" s="317">
        <f t="shared" si="1"/>
        <v>0</v>
      </c>
      <c r="I29" s="216">
        <f t="shared" si="2"/>
        <v>0</v>
      </c>
      <c r="J29" s="218">
        <f t="shared" si="3"/>
        <v>0</v>
      </c>
      <c r="K29" s="216"/>
      <c r="L29" s="218">
        <f t="shared" si="4"/>
        <v>0</v>
      </c>
      <c r="M29" s="317">
        <f t="shared" si="5"/>
        <v>0</v>
      </c>
      <c r="N29" s="218">
        <f t="shared" si="6"/>
        <v>0</v>
      </c>
      <c r="O29" s="216">
        <f t="shared" si="7"/>
        <v>0</v>
      </c>
      <c r="P29" s="218">
        <f t="shared" si="8"/>
        <v>0</v>
      </c>
      <c r="Q29" s="216"/>
    </row>
    <row r="30" spans="2:24">
      <c r="B30" s="312">
        <v>22</v>
      </c>
      <c r="C30" s="216"/>
      <c r="D30" s="216">
        <f t="shared" si="9"/>
        <v>0</v>
      </c>
      <c r="E30" s="218">
        <f t="shared" si="0"/>
        <v>0</v>
      </c>
      <c r="F30" s="216"/>
      <c r="G30" s="216"/>
      <c r="H30" s="317">
        <f t="shared" si="1"/>
        <v>0</v>
      </c>
      <c r="I30" s="216">
        <f t="shared" si="2"/>
        <v>0</v>
      </c>
      <c r="J30" s="218">
        <f t="shared" si="3"/>
        <v>0</v>
      </c>
      <c r="K30" s="216"/>
      <c r="L30" s="218">
        <f t="shared" si="4"/>
        <v>0</v>
      </c>
      <c r="M30" s="317">
        <f t="shared" si="5"/>
        <v>0</v>
      </c>
      <c r="N30" s="218">
        <f t="shared" si="6"/>
        <v>0</v>
      </c>
      <c r="O30" s="216">
        <f t="shared" si="7"/>
        <v>0</v>
      </c>
      <c r="P30" s="218">
        <f t="shared" si="8"/>
        <v>0</v>
      </c>
      <c r="Q30" s="216"/>
    </row>
    <row r="31" spans="2:24">
      <c r="B31" s="312">
        <v>23</v>
      </c>
      <c r="C31" s="216"/>
      <c r="D31" s="216">
        <f t="shared" si="9"/>
        <v>0</v>
      </c>
      <c r="E31" s="218">
        <f t="shared" si="0"/>
        <v>0</v>
      </c>
      <c r="F31" s="216"/>
      <c r="G31" s="216"/>
      <c r="H31" s="317">
        <f t="shared" si="1"/>
        <v>0</v>
      </c>
      <c r="I31" s="216">
        <f t="shared" si="2"/>
        <v>0</v>
      </c>
      <c r="J31" s="218">
        <f t="shared" si="3"/>
        <v>0</v>
      </c>
      <c r="K31" s="216"/>
      <c r="L31" s="218">
        <f t="shared" si="4"/>
        <v>0</v>
      </c>
      <c r="M31" s="317">
        <f t="shared" si="5"/>
        <v>0</v>
      </c>
      <c r="N31" s="218">
        <f t="shared" si="6"/>
        <v>0</v>
      </c>
      <c r="O31" s="216">
        <f t="shared" si="7"/>
        <v>0</v>
      </c>
      <c r="P31" s="218">
        <f t="shared" si="8"/>
        <v>0</v>
      </c>
      <c r="Q31" s="216"/>
    </row>
    <row r="32" spans="2:24">
      <c r="B32" s="312">
        <v>24</v>
      </c>
      <c r="C32" s="216"/>
      <c r="D32" s="216">
        <f t="shared" si="9"/>
        <v>0</v>
      </c>
      <c r="E32" s="218">
        <f t="shared" si="0"/>
        <v>0</v>
      </c>
      <c r="F32" s="216"/>
      <c r="G32" s="216"/>
      <c r="H32" s="317">
        <f t="shared" si="1"/>
        <v>0</v>
      </c>
      <c r="I32" s="216">
        <f t="shared" si="2"/>
        <v>0</v>
      </c>
      <c r="J32" s="218">
        <f t="shared" si="3"/>
        <v>0</v>
      </c>
      <c r="K32" s="216"/>
      <c r="L32" s="218">
        <f t="shared" si="4"/>
        <v>0</v>
      </c>
      <c r="M32" s="317">
        <f t="shared" si="5"/>
        <v>0</v>
      </c>
      <c r="N32" s="218">
        <f t="shared" si="6"/>
        <v>0</v>
      </c>
      <c r="O32" s="216">
        <f t="shared" si="7"/>
        <v>0</v>
      </c>
      <c r="P32" s="218">
        <f t="shared" si="8"/>
        <v>0</v>
      </c>
      <c r="Q32" s="216"/>
    </row>
    <row r="33" spans="2:18">
      <c r="B33" s="312">
        <v>25</v>
      </c>
      <c r="C33" s="216"/>
      <c r="D33" s="216">
        <f t="shared" si="9"/>
        <v>0</v>
      </c>
      <c r="E33" s="218">
        <f t="shared" si="0"/>
        <v>0</v>
      </c>
      <c r="F33" s="216"/>
      <c r="G33" s="216"/>
      <c r="H33" s="317">
        <f t="shared" si="1"/>
        <v>0</v>
      </c>
      <c r="I33" s="216">
        <f t="shared" si="2"/>
        <v>0</v>
      </c>
      <c r="J33" s="218">
        <f t="shared" si="3"/>
        <v>0</v>
      </c>
      <c r="K33" s="216"/>
      <c r="L33" s="218">
        <f t="shared" si="4"/>
        <v>0</v>
      </c>
      <c r="M33" s="317">
        <f t="shared" si="5"/>
        <v>0</v>
      </c>
      <c r="N33" s="218">
        <f t="shared" si="6"/>
        <v>0</v>
      </c>
      <c r="O33" s="216">
        <f t="shared" si="7"/>
        <v>0</v>
      </c>
      <c r="P33" s="218">
        <f t="shared" si="8"/>
        <v>0</v>
      </c>
      <c r="Q33" s="216"/>
    </row>
    <row r="34" spans="2:18">
      <c r="B34" s="312">
        <v>26</v>
      </c>
      <c r="C34" s="216"/>
      <c r="D34" s="216">
        <f t="shared" si="9"/>
        <v>0</v>
      </c>
      <c r="E34" s="218">
        <f t="shared" si="0"/>
        <v>0</v>
      </c>
      <c r="F34" s="216"/>
      <c r="G34" s="216"/>
      <c r="H34" s="317">
        <f t="shared" si="1"/>
        <v>0</v>
      </c>
      <c r="I34" s="216">
        <f t="shared" si="2"/>
        <v>0</v>
      </c>
      <c r="J34" s="218">
        <f t="shared" si="3"/>
        <v>0</v>
      </c>
      <c r="K34" s="216"/>
      <c r="L34" s="218">
        <f t="shared" si="4"/>
        <v>0</v>
      </c>
      <c r="M34" s="317">
        <f t="shared" si="5"/>
        <v>0</v>
      </c>
      <c r="N34" s="218">
        <f t="shared" si="6"/>
        <v>0</v>
      </c>
      <c r="O34" s="216">
        <f t="shared" si="7"/>
        <v>0</v>
      </c>
      <c r="P34" s="218">
        <f t="shared" si="8"/>
        <v>0</v>
      </c>
      <c r="Q34" s="216"/>
    </row>
    <row r="35" spans="2:18">
      <c r="B35" s="312">
        <v>27</v>
      </c>
      <c r="C35" s="216"/>
      <c r="D35" s="216">
        <f t="shared" si="9"/>
        <v>0</v>
      </c>
      <c r="E35" s="218">
        <f t="shared" si="0"/>
        <v>0</v>
      </c>
      <c r="F35" s="216"/>
      <c r="G35" s="216"/>
      <c r="H35" s="317">
        <f t="shared" si="1"/>
        <v>0</v>
      </c>
      <c r="I35" s="216">
        <f t="shared" si="2"/>
        <v>0</v>
      </c>
      <c r="J35" s="218">
        <f t="shared" si="3"/>
        <v>0</v>
      </c>
      <c r="K35" s="216"/>
      <c r="L35" s="218">
        <f t="shared" si="4"/>
        <v>0</v>
      </c>
      <c r="M35" s="317">
        <f t="shared" si="5"/>
        <v>0</v>
      </c>
      <c r="N35" s="218">
        <f t="shared" si="6"/>
        <v>0</v>
      </c>
      <c r="O35" s="216">
        <f t="shared" si="7"/>
        <v>0</v>
      </c>
      <c r="P35" s="218">
        <f t="shared" si="8"/>
        <v>0</v>
      </c>
      <c r="Q35" s="216"/>
    </row>
    <row r="36" spans="2:18">
      <c r="B36" s="312">
        <v>28</v>
      </c>
      <c r="C36" s="216"/>
      <c r="D36" s="216">
        <f t="shared" si="9"/>
        <v>0</v>
      </c>
      <c r="E36" s="218">
        <f t="shared" si="0"/>
        <v>0</v>
      </c>
      <c r="F36" s="216"/>
      <c r="G36" s="216"/>
      <c r="H36" s="317">
        <f t="shared" si="1"/>
        <v>0</v>
      </c>
      <c r="I36" s="216">
        <f t="shared" si="2"/>
        <v>0</v>
      </c>
      <c r="J36" s="218">
        <f t="shared" si="3"/>
        <v>0</v>
      </c>
      <c r="K36" s="216"/>
      <c r="L36" s="218">
        <f t="shared" si="4"/>
        <v>0</v>
      </c>
      <c r="M36" s="317">
        <f t="shared" si="5"/>
        <v>0</v>
      </c>
      <c r="N36" s="218">
        <f t="shared" si="6"/>
        <v>0</v>
      </c>
      <c r="O36" s="216">
        <f t="shared" si="7"/>
        <v>0</v>
      </c>
      <c r="P36" s="218">
        <f t="shared" si="8"/>
        <v>0</v>
      </c>
      <c r="Q36" s="216"/>
    </row>
    <row r="37" spans="2:18">
      <c r="B37" s="312">
        <v>29</v>
      </c>
      <c r="C37" s="216"/>
      <c r="D37" s="216">
        <f t="shared" si="9"/>
        <v>0</v>
      </c>
      <c r="E37" s="218">
        <f t="shared" si="0"/>
        <v>0</v>
      </c>
      <c r="F37" s="216"/>
      <c r="G37" s="216"/>
      <c r="H37" s="317">
        <f t="shared" si="1"/>
        <v>0</v>
      </c>
      <c r="I37" s="216">
        <f t="shared" si="2"/>
        <v>0</v>
      </c>
      <c r="J37" s="218">
        <f t="shared" si="3"/>
        <v>0</v>
      </c>
      <c r="K37" s="216"/>
      <c r="L37" s="218">
        <f t="shared" si="4"/>
        <v>0</v>
      </c>
      <c r="M37" s="317">
        <f t="shared" si="5"/>
        <v>0</v>
      </c>
      <c r="N37" s="218">
        <f t="shared" si="6"/>
        <v>0</v>
      </c>
      <c r="O37" s="216">
        <f t="shared" si="7"/>
        <v>0</v>
      </c>
      <c r="P37" s="218">
        <f t="shared" si="8"/>
        <v>0</v>
      </c>
      <c r="Q37" s="216"/>
    </row>
    <row r="38" spans="2:18">
      <c r="B38" s="312">
        <v>30</v>
      </c>
      <c r="D38" s="216">
        <f t="shared" si="9"/>
        <v>0</v>
      </c>
      <c r="E38" s="218">
        <f t="shared" si="0"/>
        <v>0</v>
      </c>
      <c r="F38" s="216"/>
      <c r="G38" s="216"/>
      <c r="H38" s="317">
        <f t="shared" si="1"/>
        <v>0</v>
      </c>
      <c r="I38" s="216">
        <f t="shared" si="2"/>
        <v>0</v>
      </c>
      <c r="J38" s="218">
        <f t="shared" si="3"/>
        <v>0</v>
      </c>
      <c r="K38" s="216"/>
      <c r="L38" s="218">
        <f t="shared" si="4"/>
        <v>0</v>
      </c>
      <c r="M38" s="317">
        <f t="shared" si="5"/>
        <v>0</v>
      </c>
      <c r="N38" s="218">
        <f t="shared" si="6"/>
        <v>0</v>
      </c>
      <c r="O38" s="216">
        <f t="shared" si="7"/>
        <v>0</v>
      </c>
      <c r="P38" s="218">
        <f t="shared" si="8"/>
        <v>0</v>
      </c>
    </row>
    <row r="39" spans="2:18">
      <c r="B39" s="321">
        <v>31</v>
      </c>
      <c r="D39" s="216">
        <f t="shared" si="9"/>
        <v>0</v>
      </c>
      <c r="E39" s="218">
        <f t="shared" si="0"/>
        <v>0</v>
      </c>
      <c r="F39" s="216"/>
      <c r="G39" s="216"/>
      <c r="H39" s="317">
        <f t="shared" si="1"/>
        <v>0</v>
      </c>
      <c r="I39" s="216">
        <f t="shared" si="2"/>
        <v>0</v>
      </c>
      <c r="J39" s="218">
        <f t="shared" si="3"/>
        <v>0</v>
      </c>
      <c r="K39" s="216"/>
      <c r="L39" s="218">
        <f t="shared" si="4"/>
        <v>0</v>
      </c>
      <c r="M39" s="317">
        <f t="shared" si="5"/>
        <v>0</v>
      </c>
      <c r="N39" s="218">
        <f t="shared" si="6"/>
        <v>0</v>
      </c>
      <c r="O39" s="216">
        <f t="shared" si="7"/>
        <v>0</v>
      </c>
      <c r="P39" s="218">
        <f t="shared" si="8"/>
        <v>0</v>
      </c>
    </row>
    <row r="40" spans="2:18">
      <c r="B40" s="928" t="s">
        <v>10</v>
      </c>
      <c r="C40" s="929"/>
      <c r="D40" s="929"/>
      <c r="E40" s="930"/>
      <c r="F40" s="3"/>
      <c r="G40" s="839">
        <f>SUM(G9:G39)</f>
        <v>0</v>
      </c>
      <c r="H40" s="834">
        <f t="shared" ref="H40:N40" si="10">SUM(H9:H39)</f>
        <v>0</v>
      </c>
      <c r="I40" s="840"/>
      <c r="J40" s="840"/>
      <c r="K40" s="839">
        <f t="shared" si="10"/>
        <v>0</v>
      </c>
      <c r="L40" s="834">
        <f t="shared" si="10"/>
        <v>0</v>
      </c>
      <c r="M40" s="834">
        <f t="shared" si="10"/>
        <v>0</v>
      </c>
      <c r="N40" s="130">
        <f t="shared" si="10"/>
        <v>0</v>
      </c>
      <c r="O40" s="130"/>
      <c r="P40" s="130"/>
    </row>
    <row r="42" spans="2:18">
      <c r="B42" s="931" t="s">
        <v>25</v>
      </c>
      <c r="C42" s="931"/>
      <c r="D42" s="931"/>
      <c r="E42" s="931"/>
      <c r="F42" s="3"/>
      <c r="G42" s="130">
        <f>G40*S7/1000</f>
        <v>0</v>
      </c>
      <c r="H42" s="835">
        <f>+G40*S6/1000</f>
        <v>0</v>
      </c>
      <c r="J42" s="931" t="s">
        <v>26</v>
      </c>
      <c r="K42" s="931"/>
      <c r="L42" s="130">
        <f>+K40*S7/1000</f>
        <v>0</v>
      </c>
      <c r="R42" s="151"/>
    </row>
    <row r="43" spans="2:18">
      <c r="Q43" s="151"/>
    </row>
    <row r="45" spans="2:18">
      <c r="H45" s="922" t="s">
        <v>27</v>
      </c>
      <c r="I45" s="922"/>
      <c r="J45" s="922"/>
      <c r="K45" s="842">
        <f>+G42+'20 X10 '!G42+'38-8.12-OZ '!G42+'44-8.12 OZ'!G42+'40-4.5-OZ'!G42+'36-4.05 OZ'!G42+'34-9.82'!G42+'54-6.5'!G42+'44-7.15 '!G42+'48-8.4-OZ  '!G42+'40-6.5'!G42+'48-7.80 EXP'!E42+'40-5-OZ-EXP'!E42+'48-6 EXPORT'!G42</f>
        <v>0.49407062499999999</v>
      </c>
      <c r="R45" s="151"/>
    </row>
    <row r="46" spans="2:18">
      <c r="K46" s="170"/>
    </row>
    <row r="47" spans="2:18">
      <c r="H47" s="923" t="s">
        <v>28</v>
      </c>
      <c r="I47" s="923"/>
      <c r="J47" s="923"/>
      <c r="K47" s="843">
        <f>+'40-5-OZ-EXP'!E42+'EXPORT '!E42</f>
        <v>0</v>
      </c>
      <c r="L47" s="924" t="s">
        <v>29</v>
      </c>
      <c r="M47" s="925"/>
      <c r="N47" s="925"/>
      <c r="O47" s="151">
        <f>+L42+'20 X10 '!L42+'38-8.12-OZ '!L42+'44-8.12 OZ'!L42+'40-4.5-OZ'!L42+'36-4.05 OZ'!L42+'34-9.82'!L42+'54-6.5'!L42+'44-7.15 '!L42+'48-8.4-OZ  '!K42+'40-6.5'!L42+'51-11.36-OZ '!L42+'48-7.80 EXP'!L42+'40-5-OZ-EXP'!L42+'48-6 EXPORT'!L42</f>
        <v>0.53306112499999991</v>
      </c>
    </row>
    <row r="48" spans="2:18">
      <c r="H48" s="926" t="s">
        <v>30</v>
      </c>
      <c r="I48" s="926"/>
      <c r="J48" s="926"/>
      <c r="K48" s="224">
        <f>K45+K47</f>
        <v>0.49407062499999999</v>
      </c>
    </row>
    <row r="49" spans="8:15">
      <c r="L49" s="924" t="s">
        <v>31</v>
      </c>
      <c r="M49" s="925"/>
      <c r="N49" s="925"/>
      <c r="O49" s="151">
        <f>+'TYPE A GOV'!L42+'767 GMS 500 PCS'!L42</f>
        <v>2.0814749999999997</v>
      </c>
    </row>
    <row r="50" spans="8:15">
      <c r="H50" s="916" t="s">
        <v>32</v>
      </c>
      <c r="I50" s="916"/>
      <c r="J50" s="916"/>
      <c r="K50" s="844">
        <f>+'TYPE A GOV'!G42+'767 GMS 500 PCS'!G42</f>
        <v>1.4224499999999998</v>
      </c>
    </row>
    <row r="52" spans="8:15">
      <c r="H52" s="917" t="s">
        <v>33</v>
      </c>
      <c r="I52" s="917"/>
      <c r="J52" s="917"/>
      <c r="K52" s="845">
        <f>K45+K47+K50</f>
        <v>1.9165206249999998</v>
      </c>
    </row>
  </sheetData>
  <mergeCells count="28">
    <mergeCell ref="B2:Q2"/>
    <mergeCell ref="S2:T2"/>
    <mergeCell ref="B3:Q3"/>
    <mergeCell ref="S3:V3"/>
    <mergeCell ref="B4:Q4"/>
    <mergeCell ref="S4:V4"/>
    <mergeCell ref="A5:Q5"/>
    <mergeCell ref="S5:V5"/>
    <mergeCell ref="D6:F6"/>
    <mergeCell ref="G6:H6"/>
    <mergeCell ref="I6:J6"/>
    <mergeCell ref="K6:L6"/>
    <mergeCell ref="O6:P6"/>
    <mergeCell ref="S6:V6"/>
    <mergeCell ref="S7:V7"/>
    <mergeCell ref="S8:V8"/>
    <mergeCell ref="B40:E40"/>
    <mergeCell ref="B42:E42"/>
    <mergeCell ref="J42:K42"/>
    <mergeCell ref="H50:J50"/>
    <mergeCell ref="H52:J52"/>
    <mergeCell ref="H7:H8"/>
    <mergeCell ref="M6:M8"/>
    <mergeCell ref="H45:J45"/>
    <mergeCell ref="H47:J47"/>
    <mergeCell ref="L47:N47"/>
    <mergeCell ref="H48:J48"/>
    <mergeCell ref="L49:N49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47"/>
  <sheetViews>
    <sheetView topLeftCell="B1" zoomScale="80" zoomScaleNormal="80" workbookViewId="0">
      <pane ySplit="8" topLeftCell="A33" activePane="bottomLeft" state="frozen"/>
      <selection pane="bottomLeft" activeCell="R2" sqref="R2:V2"/>
    </sheetView>
  </sheetViews>
  <sheetFormatPr defaultColWidth="9" defaultRowHeight="15"/>
  <cols>
    <col min="1" max="1" width="9" hidden="1" customWidth="1"/>
    <col min="3" max="3" width="9" hidden="1" customWidth="1"/>
    <col min="5" max="5" width="10.42578125" customWidth="1"/>
    <col min="6" max="6" width="9" hidden="1" customWidth="1"/>
    <col min="8" max="8" width="10.42578125" customWidth="1"/>
    <col min="10" max="10" width="10.42578125" customWidth="1"/>
    <col min="11" max="11" width="10.28515625" customWidth="1"/>
    <col min="12" max="13" width="10.42578125" customWidth="1"/>
    <col min="14" max="14" width="12" customWidth="1"/>
    <col min="15" max="15" width="8.28515625" customWidth="1"/>
    <col min="16" max="16" width="10.42578125" customWidth="1"/>
    <col min="17" max="17" width="14.42578125" customWidth="1"/>
    <col min="18" max="18" width="18.28515625" customWidth="1"/>
    <col min="19" max="19" width="8" customWidth="1"/>
    <col min="20" max="20" width="2.5703125" customWidth="1"/>
    <col min="21" max="21" width="9" customWidth="1"/>
    <col min="22" max="22" width="6.28515625" customWidth="1"/>
    <col min="23" max="23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129"/>
      <c r="S2" s="931"/>
      <c r="T2" s="931"/>
      <c r="U2" s="129"/>
      <c r="V2" s="227"/>
      <c r="W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129" t="s">
        <v>3</v>
      </c>
      <c r="S3" s="931"/>
      <c r="T3" s="931"/>
      <c r="U3" s="931"/>
      <c r="V3" s="931"/>
      <c r="W3" s="170"/>
    </row>
    <row r="4" spans="1:23" ht="21">
      <c r="B4" s="939" t="s">
        <v>51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129" t="s">
        <v>5</v>
      </c>
      <c r="S4" s="931"/>
      <c r="T4" s="931"/>
      <c r="U4" s="931"/>
      <c r="V4" s="931"/>
      <c r="W4" s="170"/>
    </row>
    <row r="5" spans="1:23" ht="21">
      <c r="A5" s="932" t="s">
        <v>45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933"/>
      <c r="R5" s="129" t="s">
        <v>7</v>
      </c>
      <c r="S5" s="931"/>
      <c r="T5" s="931"/>
      <c r="U5" s="931"/>
      <c r="V5" s="931"/>
      <c r="W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942" t="s">
        <v>12</v>
      </c>
      <c r="N6" s="215"/>
      <c r="O6" s="934" t="s">
        <v>13</v>
      </c>
      <c r="P6" s="934"/>
      <c r="Q6" s="225" t="s">
        <v>14</v>
      </c>
      <c r="R6" s="129" t="s">
        <v>15</v>
      </c>
      <c r="S6" s="941">
        <v>497.53300000000002</v>
      </c>
      <c r="T6" s="941"/>
      <c r="U6" s="941"/>
      <c r="V6" s="941"/>
      <c r="W6" s="170"/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16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18</v>
      </c>
      <c r="M7" s="943"/>
      <c r="N7" s="217"/>
      <c r="O7" s="217" t="s">
        <v>16</v>
      </c>
      <c r="P7" s="217" t="s">
        <v>17</v>
      </c>
      <c r="Q7" s="226"/>
      <c r="R7" s="129" t="s">
        <v>19</v>
      </c>
      <c r="S7" s="941">
        <f>S6*0.75%</f>
        <v>3.7314975000000001</v>
      </c>
      <c r="T7" s="941"/>
      <c r="U7" s="941"/>
      <c r="V7" s="941"/>
      <c r="W7" s="170"/>
    </row>
    <row r="8" spans="1:23">
      <c r="B8" s="216"/>
      <c r="C8" s="216"/>
      <c r="D8" s="217" t="s">
        <v>21</v>
      </c>
      <c r="E8" s="217" t="s">
        <v>22</v>
      </c>
      <c r="F8" s="217"/>
      <c r="G8" s="217" t="s">
        <v>21</v>
      </c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934"/>
      <c r="N8" s="217" t="s">
        <v>23</v>
      </c>
      <c r="O8" s="217" t="s">
        <v>21</v>
      </c>
      <c r="P8" s="217" t="s">
        <v>22</v>
      </c>
      <c r="Q8" s="226"/>
      <c r="R8" s="129" t="s">
        <v>24</v>
      </c>
      <c r="S8" s="941">
        <f>S6+S7</f>
        <v>501.2644975</v>
      </c>
      <c r="T8" s="941"/>
      <c r="U8" s="941"/>
      <c r="V8" s="941"/>
      <c r="W8" s="170"/>
    </row>
    <row r="9" spans="1:23">
      <c r="B9" s="216">
        <v>1</v>
      </c>
      <c r="C9" s="216"/>
      <c r="D9" s="13"/>
      <c r="E9" s="219">
        <f>$S$8*D9/1000</f>
        <v>0</v>
      </c>
      <c r="F9" s="13"/>
      <c r="G9" s="13"/>
      <c r="H9" s="219">
        <f>$S$8*G9/1000</f>
        <v>0</v>
      </c>
      <c r="I9" s="13">
        <f>D9+G9</f>
        <v>0</v>
      </c>
      <c r="J9" s="219">
        <f>$S$8*I9/1000</f>
        <v>0</v>
      </c>
      <c r="K9" s="13"/>
      <c r="L9" s="219">
        <f>K9*S$6/1000</f>
        <v>0</v>
      </c>
      <c r="M9" s="219">
        <f>+K9*S$8/1000</f>
        <v>0</v>
      </c>
      <c r="N9" s="218">
        <f>K9*S$7/1000</f>
        <v>0</v>
      </c>
      <c r="O9" s="841">
        <f>D9+G9-K9</f>
        <v>0</v>
      </c>
      <c r="P9" s="219">
        <f>$S$8*O9/1000</f>
        <v>0</v>
      </c>
      <c r="Q9" s="218">
        <f>P9*T8/1000</f>
        <v>0</v>
      </c>
      <c r="W9" s="170"/>
    </row>
    <row r="10" spans="1:23">
      <c r="B10" s="216">
        <v>2</v>
      </c>
      <c r="C10" s="216"/>
      <c r="D10" s="841"/>
      <c r="E10" s="219">
        <f t="shared" ref="E10:E39" si="0">$S$8*D10/1000</f>
        <v>0</v>
      </c>
      <c r="F10" s="216"/>
      <c r="G10" s="13"/>
      <c r="H10" s="219">
        <f t="shared" ref="H10:H39" si="1">$S$8*G10/1000</f>
        <v>0</v>
      </c>
      <c r="I10" s="13">
        <f t="shared" ref="I10:I39" si="2">D10+G10</f>
        <v>0</v>
      </c>
      <c r="J10" s="219">
        <f t="shared" ref="J10:J39" si="3">$S$8*I10/1000</f>
        <v>0</v>
      </c>
      <c r="K10" s="216"/>
      <c r="L10" s="219">
        <f>K10*S$8/1000</f>
        <v>0</v>
      </c>
      <c r="M10" s="219">
        <f t="shared" ref="M10:M39" si="4">+K10*S$8/1000</f>
        <v>0</v>
      </c>
      <c r="N10" s="218">
        <f t="shared" ref="N10:N39" si="5">K10*S$7/1000</f>
        <v>0</v>
      </c>
      <c r="O10" s="841">
        <f t="shared" ref="O10:O39" si="6">D10+G10-K10</f>
        <v>0</v>
      </c>
      <c r="P10" s="219">
        <f t="shared" ref="P10:P39" si="7">$S$8*O10/1000</f>
        <v>0</v>
      </c>
      <c r="Q10" s="216"/>
    </row>
    <row r="11" spans="1:23">
      <c r="B11" s="216">
        <v>3</v>
      </c>
      <c r="C11" s="216"/>
      <c r="D11" s="841"/>
      <c r="E11" s="219">
        <f t="shared" si="0"/>
        <v>0</v>
      </c>
      <c r="F11" s="216"/>
      <c r="G11" s="13"/>
      <c r="H11" s="219">
        <f t="shared" si="1"/>
        <v>0</v>
      </c>
      <c r="I11" s="13">
        <f t="shared" si="2"/>
        <v>0</v>
      </c>
      <c r="J11" s="219">
        <f t="shared" si="3"/>
        <v>0</v>
      </c>
      <c r="K11" s="216"/>
      <c r="L11" s="219">
        <f>K11*S$6/1000</f>
        <v>0</v>
      </c>
      <c r="M11" s="219">
        <f t="shared" si="4"/>
        <v>0</v>
      </c>
      <c r="N11" s="218">
        <f t="shared" si="5"/>
        <v>0</v>
      </c>
      <c r="O11" s="841">
        <f t="shared" si="6"/>
        <v>0</v>
      </c>
      <c r="P11" s="219">
        <f t="shared" si="7"/>
        <v>0</v>
      </c>
      <c r="Q11" s="216"/>
    </row>
    <row r="12" spans="1:23">
      <c r="B12" s="216">
        <v>4</v>
      </c>
      <c r="C12" s="216"/>
      <c r="D12" s="841"/>
      <c r="E12" s="219">
        <f t="shared" si="0"/>
        <v>0</v>
      </c>
      <c r="F12" s="216"/>
      <c r="G12" s="13"/>
      <c r="H12" s="219">
        <f t="shared" si="1"/>
        <v>0</v>
      </c>
      <c r="I12" s="13">
        <f t="shared" si="2"/>
        <v>0</v>
      </c>
      <c r="J12" s="219">
        <f t="shared" si="3"/>
        <v>0</v>
      </c>
      <c r="K12" s="216"/>
      <c r="L12" s="219">
        <f t="shared" ref="L12:L39" si="8">K12*S$6/1000</f>
        <v>0</v>
      </c>
      <c r="M12" s="219">
        <f t="shared" si="4"/>
        <v>0</v>
      </c>
      <c r="N12" s="218">
        <f t="shared" si="5"/>
        <v>0</v>
      </c>
      <c r="O12" s="841">
        <f t="shared" si="6"/>
        <v>0</v>
      </c>
      <c r="P12" s="219">
        <f t="shared" si="7"/>
        <v>0</v>
      </c>
      <c r="Q12" s="216"/>
    </row>
    <row r="13" spans="1:23">
      <c r="B13" s="216">
        <v>5</v>
      </c>
      <c r="C13" s="216"/>
      <c r="D13" s="841">
        <f t="shared" ref="D13:D39" si="9">+D12</f>
        <v>0</v>
      </c>
      <c r="E13" s="219">
        <f t="shared" si="0"/>
        <v>0</v>
      </c>
      <c r="F13" s="216"/>
      <c r="G13" s="13"/>
      <c r="H13" s="219">
        <f t="shared" si="1"/>
        <v>0</v>
      </c>
      <c r="I13" s="13">
        <f t="shared" si="2"/>
        <v>0</v>
      </c>
      <c r="J13" s="219">
        <f t="shared" si="3"/>
        <v>0</v>
      </c>
      <c r="K13" s="216"/>
      <c r="L13" s="219">
        <f t="shared" si="8"/>
        <v>0</v>
      </c>
      <c r="M13" s="219">
        <f t="shared" si="4"/>
        <v>0</v>
      </c>
      <c r="N13" s="218">
        <f t="shared" si="5"/>
        <v>0</v>
      </c>
      <c r="O13" s="841">
        <f t="shared" si="6"/>
        <v>0</v>
      </c>
      <c r="P13" s="219">
        <f t="shared" si="7"/>
        <v>0</v>
      </c>
      <c r="Q13" s="216"/>
    </row>
    <row r="14" spans="1:23">
      <c r="B14" s="216">
        <v>6</v>
      </c>
      <c r="C14" s="216"/>
      <c r="D14" s="841">
        <f t="shared" si="9"/>
        <v>0</v>
      </c>
      <c r="E14" s="219">
        <f t="shared" si="0"/>
        <v>0</v>
      </c>
      <c r="F14" s="216"/>
      <c r="G14" s="13"/>
      <c r="H14" s="219">
        <f t="shared" si="1"/>
        <v>0</v>
      </c>
      <c r="I14" s="13">
        <f t="shared" si="2"/>
        <v>0</v>
      </c>
      <c r="J14" s="219">
        <f t="shared" si="3"/>
        <v>0</v>
      </c>
      <c r="K14" s="216"/>
      <c r="L14" s="219">
        <f t="shared" si="8"/>
        <v>0</v>
      </c>
      <c r="M14" s="219">
        <f t="shared" si="4"/>
        <v>0</v>
      </c>
      <c r="N14" s="218">
        <f t="shared" si="5"/>
        <v>0</v>
      </c>
      <c r="O14" s="841">
        <f t="shared" si="6"/>
        <v>0</v>
      </c>
      <c r="P14" s="219">
        <f t="shared" si="7"/>
        <v>0</v>
      </c>
      <c r="Q14" s="216"/>
      <c r="S14" s="216"/>
    </row>
    <row r="15" spans="1:23">
      <c r="B15" s="216">
        <v>7</v>
      </c>
      <c r="C15" s="216"/>
      <c r="D15" s="841">
        <f t="shared" si="9"/>
        <v>0</v>
      </c>
      <c r="E15" s="219">
        <f t="shared" si="0"/>
        <v>0</v>
      </c>
      <c r="F15" s="216"/>
      <c r="G15" s="13"/>
      <c r="H15" s="219">
        <f t="shared" si="1"/>
        <v>0</v>
      </c>
      <c r="I15" s="13">
        <f t="shared" si="2"/>
        <v>0</v>
      </c>
      <c r="J15" s="219">
        <f t="shared" si="3"/>
        <v>0</v>
      </c>
      <c r="K15" s="216"/>
      <c r="L15" s="219">
        <f t="shared" si="8"/>
        <v>0</v>
      </c>
      <c r="M15" s="219">
        <f t="shared" si="4"/>
        <v>0</v>
      </c>
      <c r="N15" s="218">
        <f t="shared" si="5"/>
        <v>0</v>
      </c>
      <c r="O15" s="841">
        <f t="shared" si="6"/>
        <v>0</v>
      </c>
      <c r="P15" s="219">
        <f t="shared" si="7"/>
        <v>0</v>
      </c>
      <c r="Q15" s="216"/>
    </row>
    <row r="16" spans="1:23">
      <c r="B16" s="216">
        <v>8</v>
      </c>
      <c r="C16" s="216"/>
      <c r="D16" s="841">
        <f t="shared" si="9"/>
        <v>0</v>
      </c>
      <c r="E16" s="219">
        <f t="shared" si="0"/>
        <v>0</v>
      </c>
      <c r="F16" s="216"/>
      <c r="G16" s="13"/>
      <c r="H16" s="219">
        <f t="shared" si="1"/>
        <v>0</v>
      </c>
      <c r="I16" s="13">
        <f t="shared" si="2"/>
        <v>0</v>
      </c>
      <c r="J16" s="219">
        <f t="shared" si="3"/>
        <v>0</v>
      </c>
      <c r="K16" s="216"/>
      <c r="L16" s="219">
        <f t="shared" si="8"/>
        <v>0</v>
      </c>
      <c r="M16" s="219">
        <f t="shared" si="4"/>
        <v>0</v>
      </c>
      <c r="N16" s="218">
        <f t="shared" si="5"/>
        <v>0</v>
      </c>
      <c r="O16" s="841">
        <f t="shared" si="6"/>
        <v>0</v>
      </c>
      <c r="P16" s="219">
        <f t="shared" si="7"/>
        <v>0</v>
      </c>
      <c r="Q16" s="216"/>
    </row>
    <row r="17" spans="2:17">
      <c r="B17" s="216">
        <v>9</v>
      </c>
      <c r="C17" s="216"/>
      <c r="D17" s="841">
        <f t="shared" si="9"/>
        <v>0</v>
      </c>
      <c r="E17" s="219">
        <f t="shared" si="0"/>
        <v>0</v>
      </c>
      <c r="F17" s="216"/>
      <c r="G17" s="216"/>
      <c r="H17" s="219">
        <f t="shared" si="1"/>
        <v>0</v>
      </c>
      <c r="I17" s="13">
        <f t="shared" si="2"/>
        <v>0</v>
      </c>
      <c r="J17" s="219">
        <f t="shared" si="3"/>
        <v>0</v>
      </c>
      <c r="K17" s="216"/>
      <c r="L17" s="219">
        <f t="shared" si="8"/>
        <v>0</v>
      </c>
      <c r="M17" s="219">
        <f t="shared" si="4"/>
        <v>0</v>
      </c>
      <c r="N17" s="218">
        <f t="shared" si="5"/>
        <v>0</v>
      </c>
      <c r="O17" s="841">
        <f t="shared" si="6"/>
        <v>0</v>
      </c>
      <c r="P17" s="219">
        <f t="shared" si="7"/>
        <v>0</v>
      </c>
      <c r="Q17" s="216"/>
    </row>
    <row r="18" spans="2:17">
      <c r="B18" s="216">
        <v>10</v>
      </c>
      <c r="C18" s="216"/>
      <c r="D18" s="841">
        <f t="shared" si="9"/>
        <v>0</v>
      </c>
      <c r="E18" s="219">
        <f t="shared" si="0"/>
        <v>0</v>
      </c>
      <c r="F18" s="216"/>
      <c r="G18" s="216"/>
      <c r="H18" s="219">
        <f t="shared" si="1"/>
        <v>0</v>
      </c>
      <c r="I18" s="13">
        <f t="shared" si="2"/>
        <v>0</v>
      </c>
      <c r="J18" s="219">
        <f t="shared" si="3"/>
        <v>0</v>
      </c>
      <c r="K18" s="216"/>
      <c r="L18" s="219">
        <f t="shared" si="8"/>
        <v>0</v>
      </c>
      <c r="M18" s="219">
        <f t="shared" si="4"/>
        <v>0</v>
      </c>
      <c r="N18" s="218">
        <f t="shared" si="5"/>
        <v>0</v>
      </c>
      <c r="O18" s="841">
        <f t="shared" si="6"/>
        <v>0</v>
      </c>
      <c r="P18" s="219">
        <f t="shared" si="7"/>
        <v>0</v>
      </c>
      <c r="Q18" s="216"/>
    </row>
    <row r="19" spans="2:17">
      <c r="B19" s="216">
        <v>11</v>
      </c>
      <c r="C19" s="216"/>
      <c r="D19" s="841">
        <f t="shared" si="9"/>
        <v>0</v>
      </c>
      <c r="E19" s="219">
        <f t="shared" si="0"/>
        <v>0</v>
      </c>
      <c r="F19" s="216"/>
      <c r="G19" s="216"/>
      <c r="H19" s="219">
        <f t="shared" si="1"/>
        <v>0</v>
      </c>
      <c r="I19" s="13">
        <f t="shared" si="2"/>
        <v>0</v>
      </c>
      <c r="J19" s="219">
        <f t="shared" si="3"/>
        <v>0</v>
      </c>
      <c r="K19" s="216"/>
      <c r="L19" s="219">
        <f t="shared" si="8"/>
        <v>0</v>
      </c>
      <c r="M19" s="219">
        <f t="shared" si="4"/>
        <v>0</v>
      </c>
      <c r="N19" s="218">
        <f t="shared" si="5"/>
        <v>0</v>
      </c>
      <c r="O19" s="841">
        <f t="shared" si="6"/>
        <v>0</v>
      </c>
      <c r="P19" s="219">
        <f t="shared" si="7"/>
        <v>0</v>
      </c>
      <c r="Q19" s="216"/>
    </row>
    <row r="20" spans="2:17">
      <c r="B20" s="216">
        <v>12</v>
      </c>
      <c r="C20" s="216"/>
      <c r="D20" s="841">
        <f t="shared" si="9"/>
        <v>0</v>
      </c>
      <c r="E20" s="219">
        <f t="shared" si="0"/>
        <v>0</v>
      </c>
      <c r="F20" s="216"/>
      <c r="G20" s="216"/>
      <c r="H20" s="219">
        <f t="shared" si="1"/>
        <v>0</v>
      </c>
      <c r="I20" s="13">
        <f t="shared" si="2"/>
        <v>0</v>
      </c>
      <c r="J20" s="219">
        <f t="shared" si="3"/>
        <v>0</v>
      </c>
      <c r="K20" s="216"/>
      <c r="L20" s="219">
        <f t="shared" si="8"/>
        <v>0</v>
      </c>
      <c r="M20" s="219">
        <f t="shared" si="4"/>
        <v>0</v>
      </c>
      <c r="N20" s="218">
        <f t="shared" si="5"/>
        <v>0</v>
      </c>
      <c r="O20" s="841">
        <f t="shared" si="6"/>
        <v>0</v>
      </c>
      <c r="P20" s="219">
        <f t="shared" si="7"/>
        <v>0</v>
      </c>
      <c r="Q20" s="216"/>
    </row>
    <row r="21" spans="2:17">
      <c r="B21" s="216">
        <v>13</v>
      </c>
      <c r="C21" s="216"/>
      <c r="D21" s="841">
        <f t="shared" si="9"/>
        <v>0</v>
      </c>
      <c r="E21" s="219">
        <f t="shared" si="0"/>
        <v>0</v>
      </c>
      <c r="F21" s="216"/>
      <c r="G21" s="216"/>
      <c r="H21" s="219">
        <f t="shared" si="1"/>
        <v>0</v>
      </c>
      <c r="I21" s="13">
        <f t="shared" si="2"/>
        <v>0</v>
      </c>
      <c r="J21" s="219">
        <f t="shared" si="3"/>
        <v>0</v>
      </c>
      <c r="K21" s="216"/>
      <c r="L21" s="219">
        <f t="shared" si="8"/>
        <v>0</v>
      </c>
      <c r="M21" s="219">
        <f t="shared" si="4"/>
        <v>0</v>
      </c>
      <c r="N21" s="218">
        <f t="shared" si="5"/>
        <v>0</v>
      </c>
      <c r="O21" s="841">
        <f t="shared" si="6"/>
        <v>0</v>
      </c>
      <c r="P21" s="219">
        <f t="shared" si="7"/>
        <v>0</v>
      </c>
      <c r="Q21" s="216"/>
    </row>
    <row r="22" spans="2:17">
      <c r="B22" s="216">
        <v>14</v>
      </c>
      <c r="C22" s="216"/>
      <c r="D22" s="841">
        <f t="shared" si="9"/>
        <v>0</v>
      </c>
      <c r="E22" s="219">
        <f t="shared" si="0"/>
        <v>0</v>
      </c>
      <c r="F22" s="216"/>
      <c r="G22" s="216"/>
      <c r="H22" s="219">
        <f t="shared" si="1"/>
        <v>0</v>
      </c>
      <c r="I22" s="13">
        <f t="shared" si="2"/>
        <v>0</v>
      </c>
      <c r="J22" s="219">
        <f t="shared" si="3"/>
        <v>0</v>
      </c>
      <c r="K22" s="216"/>
      <c r="L22" s="219">
        <f t="shared" si="8"/>
        <v>0</v>
      </c>
      <c r="M22" s="219">
        <f t="shared" si="4"/>
        <v>0</v>
      </c>
      <c r="N22" s="218">
        <f t="shared" si="5"/>
        <v>0</v>
      </c>
      <c r="O22" s="841">
        <f t="shared" si="6"/>
        <v>0</v>
      </c>
      <c r="P22" s="219">
        <f t="shared" si="7"/>
        <v>0</v>
      </c>
      <c r="Q22" s="216"/>
    </row>
    <row r="23" spans="2:17">
      <c r="B23" s="216">
        <v>15</v>
      </c>
      <c r="C23" s="216"/>
      <c r="D23" s="841">
        <f t="shared" si="9"/>
        <v>0</v>
      </c>
      <c r="E23" s="219">
        <f t="shared" si="0"/>
        <v>0</v>
      </c>
      <c r="F23" s="216"/>
      <c r="G23" s="216"/>
      <c r="H23" s="219">
        <f t="shared" si="1"/>
        <v>0</v>
      </c>
      <c r="I23" s="13">
        <f t="shared" si="2"/>
        <v>0</v>
      </c>
      <c r="J23" s="219">
        <f t="shared" si="3"/>
        <v>0</v>
      </c>
      <c r="K23" s="216"/>
      <c r="L23" s="219">
        <f t="shared" si="8"/>
        <v>0</v>
      </c>
      <c r="M23" s="219">
        <f t="shared" si="4"/>
        <v>0</v>
      </c>
      <c r="N23" s="218">
        <f t="shared" si="5"/>
        <v>0</v>
      </c>
      <c r="O23" s="841">
        <f t="shared" si="6"/>
        <v>0</v>
      </c>
      <c r="P23" s="219">
        <f t="shared" si="7"/>
        <v>0</v>
      </c>
      <c r="Q23" s="216"/>
    </row>
    <row r="24" spans="2:17">
      <c r="B24" s="216">
        <v>16</v>
      </c>
      <c r="C24" s="216"/>
      <c r="D24" s="841">
        <f t="shared" si="9"/>
        <v>0</v>
      </c>
      <c r="E24" s="219">
        <f t="shared" si="0"/>
        <v>0</v>
      </c>
      <c r="F24" s="216"/>
      <c r="G24" s="216"/>
      <c r="H24" s="219">
        <f t="shared" si="1"/>
        <v>0</v>
      </c>
      <c r="I24" s="13">
        <f t="shared" si="2"/>
        <v>0</v>
      </c>
      <c r="J24" s="219">
        <f t="shared" si="3"/>
        <v>0</v>
      </c>
      <c r="K24" s="216"/>
      <c r="L24" s="219">
        <f t="shared" si="8"/>
        <v>0</v>
      </c>
      <c r="M24" s="219">
        <f t="shared" si="4"/>
        <v>0</v>
      </c>
      <c r="N24" s="218">
        <f t="shared" si="5"/>
        <v>0</v>
      </c>
      <c r="O24" s="841">
        <f t="shared" si="6"/>
        <v>0</v>
      </c>
      <c r="P24" s="219">
        <f t="shared" si="7"/>
        <v>0</v>
      </c>
      <c r="Q24" s="216"/>
    </row>
    <row r="25" spans="2:17">
      <c r="B25" s="216">
        <v>17</v>
      </c>
      <c r="C25" s="216"/>
      <c r="D25" s="841">
        <f t="shared" si="9"/>
        <v>0</v>
      </c>
      <c r="E25" s="219">
        <f t="shared" si="0"/>
        <v>0</v>
      </c>
      <c r="F25" s="216"/>
      <c r="G25" s="216"/>
      <c r="H25" s="219">
        <f t="shared" si="1"/>
        <v>0</v>
      </c>
      <c r="I25" s="13">
        <f t="shared" si="2"/>
        <v>0</v>
      </c>
      <c r="J25" s="219">
        <f t="shared" si="3"/>
        <v>0</v>
      </c>
      <c r="K25" s="216"/>
      <c r="L25" s="219">
        <f t="shared" si="8"/>
        <v>0</v>
      </c>
      <c r="M25" s="219">
        <f t="shared" si="4"/>
        <v>0</v>
      </c>
      <c r="N25" s="218">
        <f t="shared" si="5"/>
        <v>0</v>
      </c>
      <c r="O25" s="841">
        <f t="shared" si="6"/>
        <v>0</v>
      </c>
      <c r="P25" s="219">
        <f t="shared" si="7"/>
        <v>0</v>
      </c>
      <c r="Q25" s="216"/>
    </row>
    <row r="26" spans="2:17">
      <c r="B26" s="216">
        <v>18</v>
      </c>
      <c r="C26" s="216"/>
      <c r="D26" s="841">
        <f t="shared" si="9"/>
        <v>0</v>
      </c>
      <c r="E26" s="219">
        <f t="shared" si="0"/>
        <v>0</v>
      </c>
      <c r="F26" s="216"/>
      <c r="G26" s="216"/>
      <c r="H26" s="219">
        <f t="shared" si="1"/>
        <v>0</v>
      </c>
      <c r="I26" s="13">
        <f t="shared" si="2"/>
        <v>0</v>
      </c>
      <c r="J26" s="219">
        <f t="shared" si="3"/>
        <v>0</v>
      </c>
      <c r="K26" s="216"/>
      <c r="L26" s="219">
        <f t="shared" si="8"/>
        <v>0</v>
      </c>
      <c r="M26" s="219">
        <f t="shared" si="4"/>
        <v>0</v>
      </c>
      <c r="N26" s="218">
        <f t="shared" si="5"/>
        <v>0</v>
      </c>
      <c r="O26" s="841">
        <f t="shared" si="6"/>
        <v>0</v>
      </c>
      <c r="P26" s="219">
        <f t="shared" si="7"/>
        <v>0</v>
      </c>
      <c r="Q26" s="216"/>
    </row>
    <row r="27" spans="2:17">
      <c r="B27" s="216">
        <v>19</v>
      </c>
      <c r="C27" s="216"/>
      <c r="D27" s="841">
        <f t="shared" si="9"/>
        <v>0</v>
      </c>
      <c r="E27" s="219">
        <f t="shared" si="0"/>
        <v>0</v>
      </c>
      <c r="F27" s="216"/>
      <c r="G27" s="216"/>
      <c r="H27" s="219">
        <f t="shared" si="1"/>
        <v>0</v>
      </c>
      <c r="I27" s="13">
        <f t="shared" si="2"/>
        <v>0</v>
      </c>
      <c r="J27" s="219">
        <f t="shared" si="3"/>
        <v>0</v>
      </c>
      <c r="K27" s="216"/>
      <c r="L27" s="219">
        <f t="shared" si="8"/>
        <v>0</v>
      </c>
      <c r="M27" s="219">
        <f t="shared" si="4"/>
        <v>0</v>
      </c>
      <c r="N27" s="218">
        <f t="shared" si="5"/>
        <v>0</v>
      </c>
      <c r="O27" s="841">
        <f t="shared" si="6"/>
        <v>0</v>
      </c>
      <c r="P27" s="219">
        <f t="shared" si="7"/>
        <v>0</v>
      </c>
      <c r="Q27" s="216"/>
    </row>
    <row r="28" spans="2:17">
      <c r="B28" s="216">
        <v>20</v>
      </c>
      <c r="C28" s="216"/>
      <c r="D28" s="841">
        <f t="shared" si="9"/>
        <v>0</v>
      </c>
      <c r="E28" s="219">
        <f t="shared" si="0"/>
        <v>0</v>
      </c>
      <c r="F28" s="216"/>
      <c r="G28" s="216"/>
      <c r="H28" s="219">
        <f t="shared" si="1"/>
        <v>0</v>
      </c>
      <c r="I28" s="13">
        <f t="shared" si="2"/>
        <v>0</v>
      </c>
      <c r="J28" s="219">
        <f t="shared" si="3"/>
        <v>0</v>
      </c>
      <c r="K28" s="216"/>
      <c r="L28" s="219">
        <f t="shared" si="8"/>
        <v>0</v>
      </c>
      <c r="M28" s="219">
        <f t="shared" si="4"/>
        <v>0</v>
      </c>
      <c r="N28" s="218">
        <f t="shared" si="5"/>
        <v>0</v>
      </c>
      <c r="O28" s="841">
        <f t="shared" si="6"/>
        <v>0</v>
      </c>
      <c r="P28" s="219">
        <f t="shared" si="7"/>
        <v>0</v>
      </c>
      <c r="Q28" s="216"/>
    </row>
    <row r="29" spans="2:17">
      <c r="B29" s="216">
        <v>21</v>
      </c>
      <c r="C29" s="216"/>
      <c r="D29" s="841">
        <f t="shared" si="9"/>
        <v>0</v>
      </c>
      <c r="E29" s="219">
        <f t="shared" si="0"/>
        <v>0</v>
      </c>
      <c r="F29" s="216"/>
      <c r="G29" s="216"/>
      <c r="H29" s="219">
        <f t="shared" si="1"/>
        <v>0</v>
      </c>
      <c r="I29" s="13">
        <f t="shared" si="2"/>
        <v>0</v>
      </c>
      <c r="J29" s="219">
        <f t="shared" si="3"/>
        <v>0</v>
      </c>
      <c r="K29" s="216"/>
      <c r="L29" s="219">
        <f t="shared" si="8"/>
        <v>0</v>
      </c>
      <c r="M29" s="219">
        <f t="shared" si="4"/>
        <v>0</v>
      </c>
      <c r="N29" s="218">
        <f t="shared" si="5"/>
        <v>0</v>
      </c>
      <c r="O29" s="841">
        <f t="shared" si="6"/>
        <v>0</v>
      </c>
      <c r="P29" s="219">
        <f t="shared" si="7"/>
        <v>0</v>
      </c>
      <c r="Q29" s="232"/>
    </row>
    <row r="30" spans="2:17">
      <c r="B30" s="216">
        <v>22</v>
      </c>
      <c r="C30" s="216"/>
      <c r="D30" s="841">
        <f t="shared" si="9"/>
        <v>0</v>
      </c>
      <c r="E30" s="219">
        <f t="shared" si="0"/>
        <v>0</v>
      </c>
      <c r="F30" s="216"/>
      <c r="G30" s="216"/>
      <c r="H30" s="219">
        <f t="shared" si="1"/>
        <v>0</v>
      </c>
      <c r="I30" s="13">
        <f t="shared" si="2"/>
        <v>0</v>
      </c>
      <c r="J30" s="219">
        <f t="shared" si="3"/>
        <v>0</v>
      </c>
      <c r="K30" s="216"/>
      <c r="L30" s="219">
        <f t="shared" si="8"/>
        <v>0</v>
      </c>
      <c r="M30" s="219">
        <f t="shared" si="4"/>
        <v>0</v>
      </c>
      <c r="N30" s="218">
        <f t="shared" si="5"/>
        <v>0</v>
      </c>
      <c r="O30" s="841">
        <f t="shared" si="6"/>
        <v>0</v>
      </c>
      <c r="P30" s="219">
        <f t="shared" si="7"/>
        <v>0</v>
      </c>
      <c r="Q30" s="216"/>
    </row>
    <row r="31" spans="2:17">
      <c r="B31" s="216">
        <v>23</v>
      </c>
      <c r="C31" s="216"/>
      <c r="D31" s="841">
        <f t="shared" si="9"/>
        <v>0</v>
      </c>
      <c r="E31" s="219">
        <f t="shared" si="0"/>
        <v>0</v>
      </c>
      <c r="F31" s="216"/>
      <c r="G31" s="216"/>
      <c r="H31" s="219">
        <f t="shared" si="1"/>
        <v>0</v>
      </c>
      <c r="I31" s="13">
        <f t="shared" si="2"/>
        <v>0</v>
      </c>
      <c r="J31" s="219">
        <f t="shared" si="3"/>
        <v>0</v>
      </c>
      <c r="K31" s="216"/>
      <c r="L31" s="219">
        <f t="shared" si="8"/>
        <v>0</v>
      </c>
      <c r="M31" s="219">
        <f t="shared" si="4"/>
        <v>0</v>
      </c>
      <c r="N31" s="218">
        <f t="shared" si="5"/>
        <v>0</v>
      </c>
      <c r="O31" s="841">
        <f t="shared" si="6"/>
        <v>0</v>
      </c>
      <c r="P31" s="219">
        <f t="shared" si="7"/>
        <v>0</v>
      </c>
      <c r="Q31" s="216"/>
    </row>
    <row r="32" spans="2:17">
      <c r="B32" s="216">
        <v>24</v>
      </c>
      <c r="C32" s="216"/>
      <c r="D32" s="841">
        <f t="shared" si="9"/>
        <v>0</v>
      </c>
      <c r="E32" s="219">
        <f t="shared" si="0"/>
        <v>0</v>
      </c>
      <c r="F32" s="216"/>
      <c r="G32" s="216"/>
      <c r="H32" s="219">
        <f t="shared" si="1"/>
        <v>0</v>
      </c>
      <c r="I32" s="13">
        <f t="shared" si="2"/>
        <v>0</v>
      </c>
      <c r="J32" s="219">
        <f t="shared" si="3"/>
        <v>0</v>
      </c>
      <c r="K32" s="216"/>
      <c r="L32" s="219">
        <f t="shared" si="8"/>
        <v>0</v>
      </c>
      <c r="M32" s="219">
        <f t="shared" si="4"/>
        <v>0</v>
      </c>
      <c r="N32" s="218">
        <f t="shared" si="5"/>
        <v>0</v>
      </c>
      <c r="O32" s="841">
        <f t="shared" si="6"/>
        <v>0</v>
      </c>
      <c r="P32" s="219">
        <f t="shared" si="7"/>
        <v>0</v>
      </c>
      <c r="Q32" s="216"/>
    </row>
    <row r="33" spans="2:24">
      <c r="B33" s="216">
        <v>25</v>
      </c>
      <c r="C33" s="216"/>
      <c r="D33" s="841">
        <f t="shared" si="9"/>
        <v>0</v>
      </c>
      <c r="E33" s="219">
        <f t="shared" si="0"/>
        <v>0</v>
      </c>
      <c r="F33" s="216"/>
      <c r="G33" s="216"/>
      <c r="H33" s="219">
        <f t="shared" si="1"/>
        <v>0</v>
      </c>
      <c r="I33" s="13">
        <f t="shared" si="2"/>
        <v>0</v>
      </c>
      <c r="J33" s="219">
        <f t="shared" si="3"/>
        <v>0</v>
      </c>
      <c r="K33" s="216"/>
      <c r="L33" s="219">
        <f t="shared" si="8"/>
        <v>0</v>
      </c>
      <c r="M33" s="219">
        <f t="shared" si="4"/>
        <v>0</v>
      </c>
      <c r="N33" s="218">
        <f t="shared" si="5"/>
        <v>0</v>
      </c>
      <c r="O33" s="841">
        <f t="shared" si="6"/>
        <v>0</v>
      </c>
      <c r="P33" s="219">
        <f t="shared" si="7"/>
        <v>0</v>
      </c>
      <c r="Q33" s="216"/>
    </row>
    <row r="34" spans="2:24">
      <c r="B34" s="216">
        <v>26</v>
      </c>
      <c r="C34" s="216"/>
      <c r="D34" s="841">
        <f t="shared" si="9"/>
        <v>0</v>
      </c>
      <c r="E34" s="219">
        <f t="shared" si="0"/>
        <v>0</v>
      </c>
      <c r="F34" s="216"/>
      <c r="G34" s="216"/>
      <c r="H34" s="219">
        <f t="shared" si="1"/>
        <v>0</v>
      </c>
      <c r="I34" s="13">
        <f t="shared" si="2"/>
        <v>0</v>
      </c>
      <c r="J34" s="219">
        <f t="shared" si="3"/>
        <v>0</v>
      </c>
      <c r="K34" s="216"/>
      <c r="L34" s="219">
        <f t="shared" si="8"/>
        <v>0</v>
      </c>
      <c r="M34" s="219">
        <f t="shared" si="4"/>
        <v>0</v>
      </c>
      <c r="N34" s="218">
        <f t="shared" si="5"/>
        <v>0</v>
      </c>
      <c r="O34" s="841">
        <f t="shared" si="6"/>
        <v>0</v>
      </c>
      <c r="P34" s="219">
        <f t="shared" si="7"/>
        <v>0</v>
      </c>
      <c r="Q34" s="216"/>
    </row>
    <row r="35" spans="2:24">
      <c r="B35" s="216">
        <v>27</v>
      </c>
      <c r="C35" s="216"/>
      <c r="D35" s="841">
        <f t="shared" si="9"/>
        <v>0</v>
      </c>
      <c r="E35" s="219">
        <f t="shared" si="0"/>
        <v>0</v>
      </c>
      <c r="F35" s="216"/>
      <c r="G35" s="216"/>
      <c r="H35" s="219">
        <f t="shared" si="1"/>
        <v>0</v>
      </c>
      <c r="I35" s="13">
        <f t="shared" si="2"/>
        <v>0</v>
      </c>
      <c r="J35" s="219">
        <f t="shared" si="3"/>
        <v>0</v>
      </c>
      <c r="K35" s="216"/>
      <c r="L35" s="219">
        <f t="shared" si="8"/>
        <v>0</v>
      </c>
      <c r="M35" s="219">
        <f t="shared" si="4"/>
        <v>0</v>
      </c>
      <c r="N35" s="218">
        <f t="shared" si="5"/>
        <v>0</v>
      </c>
      <c r="O35" s="841">
        <f t="shared" si="6"/>
        <v>0</v>
      </c>
      <c r="P35" s="219">
        <f t="shared" si="7"/>
        <v>0</v>
      </c>
      <c r="Q35" s="216"/>
    </row>
    <row r="36" spans="2:24">
      <c r="B36" s="216">
        <v>28</v>
      </c>
      <c r="C36" s="216"/>
      <c r="D36" s="841">
        <f t="shared" si="9"/>
        <v>0</v>
      </c>
      <c r="E36" s="219">
        <f t="shared" si="0"/>
        <v>0</v>
      </c>
      <c r="F36" s="216"/>
      <c r="G36" s="216"/>
      <c r="H36" s="219">
        <f t="shared" si="1"/>
        <v>0</v>
      </c>
      <c r="I36" s="13">
        <f t="shared" si="2"/>
        <v>0</v>
      </c>
      <c r="J36" s="219">
        <f t="shared" si="3"/>
        <v>0</v>
      </c>
      <c r="K36" s="216"/>
      <c r="L36" s="219">
        <f t="shared" si="8"/>
        <v>0</v>
      </c>
      <c r="M36" s="219">
        <f t="shared" si="4"/>
        <v>0</v>
      </c>
      <c r="N36" s="218">
        <f t="shared" si="5"/>
        <v>0</v>
      </c>
      <c r="O36" s="841">
        <f t="shared" si="6"/>
        <v>0</v>
      </c>
      <c r="P36" s="219">
        <f t="shared" si="7"/>
        <v>0</v>
      </c>
      <c r="Q36" s="216"/>
    </row>
    <row r="37" spans="2:24">
      <c r="B37" s="216">
        <v>29</v>
      </c>
      <c r="C37" s="226"/>
      <c r="D37" s="841">
        <f t="shared" si="9"/>
        <v>0</v>
      </c>
      <c r="E37" s="219">
        <f t="shared" si="0"/>
        <v>0</v>
      </c>
      <c r="F37" s="216"/>
      <c r="G37" s="216"/>
      <c r="H37" s="219">
        <f t="shared" si="1"/>
        <v>0</v>
      </c>
      <c r="I37" s="13">
        <f t="shared" si="2"/>
        <v>0</v>
      </c>
      <c r="J37" s="219">
        <f t="shared" si="3"/>
        <v>0</v>
      </c>
      <c r="K37" s="216"/>
      <c r="L37" s="219">
        <f t="shared" si="8"/>
        <v>0</v>
      </c>
      <c r="M37" s="219">
        <f t="shared" si="4"/>
        <v>0</v>
      </c>
      <c r="N37" s="218">
        <f t="shared" si="5"/>
        <v>0</v>
      </c>
      <c r="O37" s="841">
        <f t="shared" si="6"/>
        <v>0</v>
      </c>
      <c r="P37" s="219">
        <f t="shared" si="7"/>
        <v>0</v>
      </c>
      <c r="Q37" s="216"/>
    </row>
    <row r="38" spans="2:24">
      <c r="B38" s="216">
        <v>30</v>
      </c>
      <c r="D38" s="841">
        <f t="shared" si="9"/>
        <v>0</v>
      </c>
      <c r="E38" s="219">
        <f t="shared" si="0"/>
        <v>0</v>
      </c>
      <c r="F38" s="3"/>
      <c r="G38" s="216"/>
      <c r="H38" s="219">
        <f t="shared" si="1"/>
        <v>0</v>
      </c>
      <c r="I38" s="13">
        <f t="shared" si="2"/>
        <v>0</v>
      </c>
      <c r="J38" s="219">
        <f t="shared" si="3"/>
        <v>0</v>
      </c>
      <c r="K38" s="216"/>
      <c r="L38" s="219">
        <f t="shared" si="8"/>
        <v>0</v>
      </c>
      <c r="M38" s="219">
        <f t="shared" si="4"/>
        <v>0</v>
      </c>
      <c r="N38" s="218">
        <f t="shared" si="5"/>
        <v>0</v>
      </c>
      <c r="O38" s="841">
        <f t="shared" si="6"/>
        <v>0</v>
      </c>
      <c r="P38" s="219">
        <f t="shared" si="7"/>
        <v>0</v>
      </c>
      <c r="Q38" s="3"/>
    </row>
    <row r="39" spans="2:24">
      <c r="B39" s="222">
        <v>31</v>
      </c>
      <c r="D39" s="841">
        <f t="shared" si="9"/>
        <v>0</v>
      </c>
      <c r="E39" s="219">
        <f t="shared" si="0"/>
        <v>0</v>
      </c>
      <c r="F39" s="223"/>
      <c r="G39" s="223"/>
      <c r="H39" s="219">
        <f t="shared" si="1"/>
        <v>0</v>
      </c>
      <c r="I39" s="13">
        <f t="shared" si="2"/>
        <v>0</v>
      </c>
      <c r="J39" s="219">
        <f t="shared" si="3"/>
        <v>0</v>
      </c>
      <c r="K39" s="216"/>
      <c r="L39" s="219">
        <f t="shared" si="8"/>
        <v>0</v>
      </c>
      <c r="M39" s="219">
        <f t="shared" si="4"/>
        <v>0</v>
      </c>
      <c r="N39" s="218">
        <f t="shared" si="5"/>
        <v>0</v>
      </c>
      <c r="O39" s="841">
        <f t="shared" si="6"/>
        <v>0</v>
      </c>
      <c r="P39" s="219">
        <f t="shared" si="7"/>
        <v>0</v>
      </c>
      <c r="Q39" s="223"/>
    </row>
    <row r="40" spans="2:24">
      <c r="B40" s="928" t="s">
        <v>10</v>
      </c>
      <c r="C40" s="929"/>
      <c r="D40" s="929"/>
      <c r="E40" s="930"/>
      <c r="F40" s="130">
        <f t="shared" ref="F40:N40" si="10">SUM(F9:F39)</f>
        <v>0</v>
      </c>
      <c r="G40" s="239">
        <f t="shared" si="10"/>
        <v>0</v>
      </c>
      <c r="H40" s="224">
        <f t="shared" si="10"/>
        <v>0</v>
      </c>
      <c r="I40" s="130"/>
      <c r="J40" s="130"/>
      <c r="K40" s="239">
        <f t="shared" si="10"/>
        <v>0</v>
      </c>
      <c r="L40" s="224">
        <f t="shared" si="10"/>
        <v>0</v>
      </c>
      <c r="M40" s="224">
        <f t="shared" si="10"/>
        <v>0</v>
      </c>
      <c r="N40" s="130">
        <f t="shared" si="10"/>
        <v>0</v>
      </c>
      <c r="O40" s="130"/>
      <c r="P40" s="130"/>
      <c r="Q40" s="3"/>
      <c r="R40">
        <v>40</v>
      </c>
      <c r="S40">
        <v>6.5</v>
      </c>
      <c r="U40">
        <v>40</v>
      </c>
      <c r="V40">
        <v>28.35</v>
      </c>
      <c r="X40">
        <v>2000</v>
      </c>
    </row>
    <row r="41" spans="2:24">
      <c r="U41">
        <f>R40*S40/U40*V40*X40/1000</f>
        <v>368.55</v>
      </c>
    </row>
    <row r="42" spans="2:24">
      <c r="B42" s="931" t="s">
        <v>23</v>
      </c>
      <c r="C42" s="931"/>
      <c r="D42" s="931"/>
      <c r="E42" s="931"/>
      <c r="F42" s="3"/>
      <c r="G42" s="130">
        <f>G40*S7/1000</f>
        <v>0</v>
      </c>
      <c r="H42" s="151">
        <f>+G40*S6/1000</f>
        <v>0</v>
      </c>
      <c r="J42" s="3" t="s">
        <v>36</v>
      </c>
      <c r="K42" s="3"/>
      <c r="L42" s="130">
        <f>K40*S7/1000</f>
        <v>0</v>
      </c>
      <c r="S42">
        <v>0.75</v>
      </c>
      <c r="U42">
        <f>U41*S42%</f>
        <v>2.7641249999999999</v>
      </c>
    </row>
    <row r="43" spans="2:24">
      <c r="U43" s="151">
        <f>U41+U42</f>
        <v>371.31412499999999</v>
      </c>
    </row>
    <row r="47" spans="2:24">
      <c r="M47" s="151"/>
    </row>
  </sheetData>
  <mergeCells count="19">
    <mergeCell ref="B2:Q2"/>
    <mergeCell ref="S2:T2"/>
    <mergeCell ref="B3:Q3"/>
    <mergeCell ref="S3:V3"/>
    <mergeCell ref="B4:Q4"/>
    <mergeCell ref="S4:V4"/>
    <mergeCell ref="A5:Q5"/>
    <mergeCell ref="S5:V5"/>
    <mergeCell ref="D6:F6"/>
    <mergeCell ref="G6:H6"/>
    <mergeCell ref="I6:J6"/>
    <mergeCell ref="K6:L6"/>
    <mergeCell ref="O6:P6"/>
    <mergeCell ref="S6:V6"/>
    <mergeCell ref="S7:V7"/>
    <mergeCell ref="S8:V8"/>
    <mergeCell ref="B40:E40"/>
    <mergeCell ref="B42:E42"/>
    <mergeCell ref="M6:M8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43"/>
  <sheetViews>
    <sheetView topLeftCell="B1" zoomScale="80" zoomScaleNormal="80" workbookViewId="0">
      <pane ySplit="8" topLeftCell="A9" activePane="bottomLeft" state="frozen"/>
      <selection pane="bottomLeft" activeCell="D9" sqref="D9"/>
    </sheetView>
  </sheetViews>
  <sheetFormatPr defaultColWidth="9" defaultRowHeight="15"/>
  <cols>
    <col min="1" max="1" width="9" hidden="1" customWidth="1"/>
    <col min="3" max="3" width="9" hidden="1" customWidth="1"/>
    <col min="5" max="5" width="10.42578125" customWidth="1"/>
    <col min="6" max="6" width="9" hidden="1" customWidth="1"/>
    <col min="8" max="8" width="10.42578125" customWidth="1"/>
    <col min="10" max="10" width="10.42578125" customWidth="1"/>
    <col min="11" max="11" width="10.7109375" customWidth="1"/>
    <col min="12" max="13" width="10.42578125" customWidth="1"/>
    <col min="14" max="14" width="12" customWidth="1"/>
    <col min="15" max="15" width="8.28515625" customWidth="1"/>
    <col min="16" max="17" width="10.42578125" customWidth="1"/>
    <col min="18" max="18" width="18.28515625" customWidth="1"/>
    <col min="19" max="19" width="10.5703125" customWidth="1"/>
    <col min="20" max="20" width="3" hidden="1" customWidth="1"/>
    <col min="21" max="21" width="8.5703125" customWidth="1"/>
    <col min="22" max="22" width="6.28515625" customWidth="1"/>
    <col min="23" max="23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129"/>
      <c r="S2" s="931"/>
      <c r="T2" s="931"/>
      <c r="U2" s="129"/>
      <c r="V2" s="227"/>
      <c r="W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129" t="s">
        <v>3</v>
      </c>
      <c r="S3" s="916"/>
      <c r="T3" s="916"/>
      <c r="U3" s="916"/>
      <c r="V3" s="916"/>
      <c r="W3" s="170"/>
    </row>
    <row r="4" spans="1:23" ht="21">
      <c r="B4" s="939" t="s">
        <v>52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129" t="s">
        <v>5</v>
      </c>
      <c r="S4" s="931"/>
      <c r="T4" s="931"/>
      <c r="U4" s="931"/>
      <c r="V4" s="931"/>
      <c r="W4" s="170"/>
    </row>
    <row r="5" spans="1:23" ht="21">
      <c r="A5" s="932" t="s">
        <v>6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933"/>
      <c r="R5" s="129" t="s">
        <v>7</v>
      </c>
      <c r="S5" s="931"/>
      <c r="T5" s="931"/>
      <c r="U5" s="931"/>
      <c r="V5" s="931"/>
      <c r="W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942" t="s">
        <v>12</v>
      </c>
      <c r="N6" s="215"/>
      <c r="O6" s="934" t="s">
        <v>13</v>
      </c>
      <c r="P6" s="934"/>
      <c r="Q6" s="225" t="s">
        <v>14</v>
      </c>
      <c r="R6" s="129" t="s">
        <v>15</v>
      </c>
      <c r="S6" s="941">
        <v>405.40499999999997</v>
      </c>
      <c r="T6" s="941"/>
      <c r="U6" s="941"/>
      <c r="V6" s="941"/>
      <c r="W6" s="170"/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16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18</v>
      </c>
      <c r="M7" s="943"/>
      <c r="N7" s="217"/>
      <c r="O7" s="217" t="s">
        <v>16</v>
      </c>
      <c r="P7" s="217" t="s">
        <v>17</v>
      </c>
      <c r="Q7" s="226"/>
      <c r="R7" s="129" t="s">
        <v>19</v>
      </c>
      <c r="S7" s="941">
        <f>+S6*0.75%</f>
        <v>3.0405375000000001</v>
      </c>
      <c r="T7" s="941"/>
      <c r="U7" s="941"/>
      <c r="V7" s="941"/>
      <c r="W7" s="170"/>
    </row>
    <row r="8" spans="1:23">
      <c r="B8" s="216"/>
      <c r="C8" s="216"/>
      <c r="D8" s="217" t="s">
        <v>21</v>
      </c>
      <c r="E8" s="217" t="s">
        <v>22</v>
      </c>
      <c r="F8" s="217"/>
      <c r="G8" s="217" t="s">
        <v>21</v>
      </c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934"/>
      <c r="N8" s="217" t="s">
        <v>23</v>
      </c>
      <c r="O8" s="217" t="s">
        <v>21</v>
      </c>
      <c r="P8" s="217" t="s">
        <v>22</v>
      </c>
      <c r="Q8" s="226"/>
      <c r="R8" s="129" t="s">
        <v>24</v>
      </c>
      <c r="S8" s="941">
        <f>S6+S7</f>
        <v>408.4455375</v>
      </c>
      <c r="T8" s="941"/>
      <c r="U8" s="941"/>
      <c r="V8" s="941"/>
      <c r="W8" s="170"/>
    </row>
    <row r="9" spans="1:23">
      <c r="B9" s="216">
        <v>1</v>
      </c>
      <c r="C9" s="216"/>
      <c r="D9" s="13"/>
      <c r="E9" s="219">
        <f>$S$8*D9/1000</f>
        <v>0</v>
      </c>
      <c r="F9" s="13"/>
      <c r="G9" s="13"/>
      <c r="H9" s="219">
        <f>$S$8*G9/1000</f>
        <v>0</v>
      </c>
      <c r="I9" s="841">
        <f t="shared" ref="I9:I18" si="0">+D9+G9</f>
        <v>0</v>
      </c>
      <c r="J9" s="219">
        <f>$S$8*I9/1000</f>
        <v>0</v>
      </c>
      <c r="K9" s="13">
        <v>0</v>
      </c>
      <c r="L9" s="219">
        <f>K9*S$6/1000</f>
        <v>0</v>
      </c>
      <c r="M9" s="219">
        <f>K9*S$8/1000</f>
        <v>0</v>
      </c>
      <c r="N9" s="218">
        <f>K9*S$7/1000</f>
        <v>0</v>
      </c>
      <c r="O9" s="841">
        <f>D9+G9-K9</f>
        <v>0</v>
      </c>
      <c r="P9" s="219">
        <f>$S$8*O9/1000</f>
        <v>0</v>
      </c>
      <c r="Q9" s="218">
        <f>P9*T8/1000</f>
        <v>0</v>
      </c>
      <c r="W9" s="170"/>
    </row>
    <row r="10" spans="1:23">
      <c r="B10" s="216">
        <v>2</v>
      </c>
      <c r="C10" s="216"/>
      <c r="D10" s="838">
        <f>+O9</f>
        <v>0</v>
      </c>
      <c r="E10" s="219">
        <f t="shared" ref="E10:E39" si="1">$S$8*D10/1000</f>
        <v>0</v>
      </c>
      <c r="F10" s="216"/>
      <c r="G10" s="216"/>
      <c r="H10" s="219">
        <f t="shared" ref="H10:H39" si="2">$S$8*G10/1000</f>
        <v>0</v>
      </c>
      <c r="I10" s="841">
        <f t="shared" si="0"/>
        <v>0</v>
      </c>
      <c r="J10" s="219">
        <f t="shared" ref="J10:J39" si="3">$S$8*I10/1000</f>
        <v>0</v>
      </c>
      <c r="K10" s="216">
        <v>0</v>
      </c>
      <c r="L10" s="219">
        <f t="shared" ref="L10:L39" si="4">K10*S$6/1000</f>
        <v>0</v>
      </c>
      <c r="M10" s="219">
        <f t="shared" ref="M10:M39" si="5">K10*S$8/1000</f>
        <v>0</v>
      </c>
      <c r="N10" s="218">
        <f t="shared" ref="N10:N39" si="6">K10*S$7/1000</f>
        <v>0</v>
      </c>
      <c r="O10" s="841">
        <f t="shared" ref="O10:O39" si="7">D10+G10-K10</f>
        <v>0</v>
      </c>
      <c r="P10" s="219">
        <f t="shared" ref="P10:P39" si="8">$S$8*O10/1000</f>
        <v>0</v>
      </c>
      <c r="Q10" s="216"/>
    </row>
    <row r="11" spans="1:23">
      <c r="B11" s="216">
        <v>3</v>
      </c>
      <c r="C11" s="216"/>
      <c r="D11" s="838">
        <f>+O10</f>
        <v>0</v>
      </c>
      <c r="E11" s="219">
        <f t="shared" si="1"/>
        <v>0</v>
      </c>
      <c r="F11" s="216"/>
      <c r="G11" s="216"/>
      <c r="H11" s="219">
        <f t="shared" si="2"/>
        <v>0</v>
      </c>
      <c r="I11" s="841">
        <f t="shared" si="0"/>
        <v>0</v>
      </c>
      <c r="J11" s="219">
        <f t="shared" si="3"/>
        <v>0</v>
      </c>
      <c r="K11" s="216">
        <v>0</v>
      </c>
      <c r="L11" s="219">
        <f t="shared" si="4"/>
        <v>0</v>
      </c>
      <c r="M11" s="219">
        <f t="shared" si="5"/>
        <v>0</v>
      </c>
      <c r="N11" s="218">
        <f t="shared" si="6"/>
        <v>0</v>
      </c>
      <c r="O11" s="841">
        <f t="shared" si="7"/>
        <v>0</v>
      </c>
      <c r="P11" s="219">
        <f t="shared" si="8"/>
        <v>0</v>
      </c>
      <c r="Q11" s="216"/>
    </row>
    <row r="12" spans="1:23">
      <c r="B12" s="216">
        <v>4</v>
      </c>
      <c r="C12" s="216"/>
      <c r="D12" s="838">
        <f t="shared" ref="D12:D27" si="9">+O11</f>
        <v>0</v>
      </c>
      <c r="E12" s="219">
        <f t="shared" si="1"/>
        <v>0</v>
      </c>
      <c r="F12" s="216"/>
      <c r="G12" s="216"/>
      <c r="H12" s="219">
        <f t="shared" si="2"/>
        <v>0</v>
      </c>
      <c r="I12" s="841">
        <f t="shared" si="0"/>
        <v>0</v>
      </c>
      <c r="J12" s="219">
        <f t="shared" si="3"/>
        <v>0</v>
      </c>
      <c r="K12" s="216">
        <v>0</v>
      </c>
      <c r="L12" s="219">
        <f t="shared" si="4"/>
        <v>0</v>
      </c>
      <c r="M12" s="219">
        <f t="shared" si="5"/>
        <v>0</v>
      </c>
      <c r="N12" s="218">
        <f t="shared" si="6"/>
        <v>0</v>
      </c>
      <c r="O12" s="841">
        <f t="shared" si="7"/>
        <v>0</v>
      </c>
      <c r="P12" s="219">
        <f t="shared" si="8"/>
        <v>0</v>
      </c>
      <c r="Q12" s="216"/>
    </row>
    <row r="13" spans="1:23">
      <c r="B13" s="216">
        <v>5</v>
      </c>
      <c r="C13" s="216"/>
      <c r="D13" s="838">
        <f t="shared" si="9"/>
        <v>0</v>
      </c>
      <c r="E13" s="219">
        <f t="shared" si="1"/>
        <v>0</v>
      </c>
      <c r="F13" s="216"/>
      <c r="G13" s="216"/>
      <c r="H13" s="219">
        <f t="shared" si="2"/>
        <v>0</v>
      </c>
      <c r="I13" s="841">
        <f t="shared" si="0"/>
        <v>0</v>
      </c>
      <c r="J13" s="219">
        <f t="shared" si="3"/>
        <v>0</v>
      </c>
      <c r="K13" s="216">
        <v>0</v>
      </c>
      <c r="L13" s="219">
        <f t="shared" si="4"/>
        <v>0</v>
      </c>
      <c r="M13" s="219">
        <f t="shared" si="5"/>
        <v>0</v>
      </c>
      <c r="N13" s="218">
        <f t="shared" si="6"/>
        <v>0</v>
      </c>
      <c r="O13" s="841">
        <f t="shared" si="7"/>
        <v>0</v>
      </c>
      <c r="P13" s="219">
        <f t="shared" si="8"/>
        <v>0</v>
      </c>
      <c r="Q13" s="216"/>
    </row>
    <row r="14" spans="1:23">
      <c r="B14" s="216">
        <v>6</v>
      </c>
      <c r="C14" s="216"/>
      <c r="D14" s="838">
        <f t="shared" si="9"/>
        <v>0</v>
      </c>
      <c r="E14" s="219">
        <f t="shared" si="1"/>
        <v>0</v>
      </c>
      <c r="F14" s="216"/>
      <c r="G14" s="216"/>
      <c r="H14" s="219">
        <f t="shared" si="2"/>
        <v>0</v>
      </c>
      <c r="I14" s="841">
        <f t="shared" si="0"/>
        <v>0</v>
      </c>
      <c r="J14" s="219">
        <f t="shared" si="3"/>
        <v>0</v>
      </c>
      <c r="K14" s="216">
        <v>0</v>
      </c>
      <c r="L14" s="219">
        <f t="shared" si="4"/>
        <v>0</v>
      </c>
      <c r="M14" s="219">
        <f t="shared" si="5"/>
        <v>0</v>
      </c>
      <c r="N14" s="218">
        <f t="shared" si="6"/>
        <v>0</v>
      </c>
      <c r="O14" s="841">
        <f t="shared" si="7"/>
        <v>0</v>
      </c>
      <c r="P14" s="219">
        <f t="shared" si="8"/>
        <v>0</v>
      </c>
      <c r="Q14" s="216"/>
    </row>
    <row r="15" spans="1:23">
      <c r="B15" s="216">
        <v>7</v>
      </c>
      <c r="C15" s="216"/>
      <c r="D15" s="838">
        <f t="shared" si="9"/>
        <v>0</v>
      </c>
      <c r="E15" s="219">
        <f t="shared" si="1"/>
        <v>0</v>
      </c>
      <c r="F15" s="216"/>
      <c r="G15" s="216"/>
      <c r="H15" s="219">
        <f t="shared" si="2"/>
        <v>0</v>
      </c>
      <c r="I15" s="841">
        <f t="shared" si="0"/>
        <v>0</v>
      </c>
      <c r="J15" s="219">
        <f t="shared" si="3"/>
        <v>0</v>
      </c>
      <c r="K15" s="216">
        <v>0</v>
      </c>
      <c r="L15" s="219">
        <f t="shared" si="4"/>
        <v>0</v>
      </c>
      <c r="M15" s="219">
        <f t="shared" si="5"/>
        <v>0</v>
      </c>
      <c r="N15" s="218">
        <f t="shared" si="6"/>
        <v>0</v>
      </c>
      <c r="O15" s="841">
        <f t="shared" si="7"/>
        <v>0</v>
      </c>
      <c r="P15" s="219">
        <f t="shared" si="8"/>
        <v>0</v>
      </c>
      <c r="Q15" s="216"/>
    </row>
    <row r="16" spans="1:23">
      <c r="B16" s="216">
        <v>8</v>
      </c>
      <c r="C16" s="216"/>
      <c r="D16" s="838">
        <f t="shared" si="9"/>
        <v>0</v>
      </c>
      <c r="E16" s="219">
        <f t="shared" si="1"/>
        <v>0</v>
      </c>
      <c r="F16" s="216"/>
      <c r="G16" s="216"/>
      <c r="H16" s="219">
        <f t="shared" si="2"/>
        <v>0</v>
      </c>
      <c r="I16" s="841">
        <f t="shared" si="0"/>
        <v>0</v>
      </c>
      <c r="J16" s="219">
        <f t="shared" si="3"/>
        <v>0</v>
      </c>
      <c r="K16" s="216">
        <v>0</v>
      </c>
      <c r="L16" s="219">
        <f t="shared" si="4"/>
        <v>0</v>
      </c>
      <c r="M16" s="219">
        <f t="shared" si="5"/>
        <v>0</v>
      </c>
      <c r="N16" s="218">
        <f t="shared" si="6"/>
        <v>0</v>
      </c>
      <c r="O16" s="841">
        <f t="shared" si="7"/>
        <v>0</v>
      </c>
      <c r="P16" s="219">
        <f t="shared" si="8"/>
        <v>0</v>
      </c>
      <c r="Q16" s="216"/>
    </row>
    <row r="17" spans="2:17">
      <c r="B17" s="216">
        <v>9</v>
      </c>
      <c r="C17" s="216"/>
      <c r="D17" s="838">
        <f t="shared" si="9"/>
        <v>0</v>
      </c>
      <c r="E17" s="219">
        <f t="shared" si="1"/>
        <v>0</v>
      </c>
      <c r="F17" s="216"/>
      <c r="G17" s="216"/>
      <c r="H17" s="219">
        <f t="shared" si="2"/>
        <v>0</v>
      </c>
      <c r="I17" s="841">
        <f t="shared" si="0"/>
        <v>0</v>
      </c>
      <c r="J17" s="219">
        <f t="shared" si="3"/>
        <v>0</v>
      </c>
      <c r="K17" s="216">
        <v>0</v>
      </c>
      <c r="L17" s="219">
        <f t="shared" si="4"/>
        <v>0</v>
      </c>
      <c r="M17" s="219">
        <f t="shared" si="5"/>
        <v>0</v>
      </c>
      <c r="N17" s="218">
        <f t="shared" si="6"/>
        <v>0</v>
      </c>
      <c r="O17" s="841">
        <f t="shared" si="7"/>
        <v>0</v>
      </c>
      <c r="P17" s="219">
        <f t="shared" si="8"/>
        <v>0</v>
      </c>
      <c r="Q17" s="216"/>
    </row>
    <row r="18" spans="2:17">
      <c r="B18" s="216">
        <v>10</v>
      </c>
      <c r="C18" s="216"/>
      <c r="D18" s="838">
        <f t="shared" si="9"/>
        <v>0</v>
      </c>
      <c r="E18" s="219">
        <f t="shared" si="1"/>
        <v>0</v>
      </c>
      <c r="F18" s="216"/>
      <c r="G18" s="216"/>
      <c r="H18" s="219">
        <f t="shared" si="2"/>
        <v>0</v>
      </c>
      <c r="I18" s="841">
        <f t="shared" si="0"/>
        <v>0</v>
      </c>
      <c r="J18" s="219">
        <f t="shared" si="3"/>
        <v>0</v>
      </c>
      <c r="K18" s="216">
        <v>0</v>
      </c>
      <c r="L18" s="219">
        <f t="shared" si="4"/>
        <v>0</v>
      </c>
      <c r="M18" s="219">
        <f t="shared" si="5"/>
        <v>0</v>
      </c>
      <c r="N18" s="218">
        <f t="shared" si="6"/>
        <v>0</v>
      </c>
      <c r="O18" s="841">
        <f t="shared" si="7"/>
        <v>0</v>
      </c>
      <c r="P18" s="219">
        <f t="shared" si="8"/>
        <v>0</v>
      </c>
      <c r="Q18" s="216"/>
    </row>
    <row r="19" spans="2:17">
      <c r="B19" s="216">
        <v>11</v>
      </c>
      <c r="C19" s="216"/>
      <c r="D19" s="838">
        <f t="shared" si="9"/>
        <v>0</v>
      </c>
      <c r="E19" s="219">
        <f t="shared" si="1"/>
        <v>0</v>
      </c>
      <c r="F19" s="216"/>
      <c r="G19" s="216"/>
      <c r="H19" s="219">
        <f t="shared" si="2"/>
        <v>0</v>
      </c>
      <c r="I19" s="841">
        <f t="shared" ref="I19:I39" si="10">+D19+G19</f>
        <v>0</v>
      </c>
      <c r="J19" s="219">
        <f t="shared" si="3"/>
        <v>0</v>
      </c>
      <c r="K19" s="216">
        <v>0</v>
      </c>
      <c r="L19" s="219">
        <f t="shared" si="4"/>
        <v>0</v>
      </c>
      <c r="M19" s="219">
        <f t="shared" si="5"/>
        <v>0</v>
      </c>
      <c r="N19" s="218">
        <f t="shared" si="6"/>
        <v>0</v>
      </c>
      <c r="O19" s="841">
        <f t="shared" si="7"/>
        <v>0</v>
      </c>
      <c r="P19" s="219">
        <f t="shared" si="8"/>
        <v>0</v>
      </c>
      <c r="Q19" s="216"/>
    </row>
    <row r="20" spans="2:17">
      <c r="B20" s="216">
        <v>12</v>
      </c>
      <c r="C20" s="216"/>
      <c r="D20" s="838">
        <f t="shared" si="9"/>
        <v>0</v>
      </c>
      <c r="E20" s="219">
        <f t="shared" si="1"/>
        <v>0</v>
      </c>
      <c r="F20" s="216"/>
      <c r="G20" s="216"/>
      <c r="H20" s="219">
        <f t="shared" si="2"/>
        <v>0</v>
      </c>
      <c r="I20" s="841">
        <f t="shared" si="10"/>
        <v>0</v>
      </c>
      <c r="J20" s="219">
        <f t="shared" si="3"/>
        <v>0</v>
      </c>
      <c r="K20" s="216">
        <v>0</v>
      </c>
      <c r="L20" s="219">
        <f t="shared" si="4"/>
        <v>0</v>
      </c>
      <c r="M20" s="219">
        <f t="shared" si="5"/>
        <v>0</v>
      </c>
      <c r="N20" s="218">
        <f t="shared" si="6"/>
        <v>0</v>
      </c>
      <c r="O20" s="841">
        <f t="shared" si="7"/>
        <v>0</v>
      </c>
      <c r="P20" s="219">
        <f t="shared" si="8"/>
        <v>0</v>
      </c>
      <c r="Q20" s="216"/>
    </row>
    <row r="21" spans="2:17">
      <c r="B21" s="216">
        <v>13</v>
      </c>
      <c r="C21" s="216"/>
      <c r="D21" s="838">
        <f t="shared" si="9"/>
        <v>0</v>
      </c>
      <c r="E21" s="219">
        <f t="shared" si="1"/>
        <v>0</v>
      </c>
      <c r="F21" s="216"/>
      <c r="G21" s="216"/>
      <c r="H21" s="219">
        <f t="shared" si="2"/>
        <v>0</v>
      </c>
      <c r="I21" s="841">
        <f t="shared" si="10"/>
        <v>0</v>
      </c>
      <c r="J21" s="219">
        <f t="shared" si="3"/>
        <v>0</v>
      </c>
      <c r="K21" s="216">
        <v>0</v>
      </c>
      <c r="L21" s="219">
        <f t="shared" si="4"/>
        <v>0</v>
      </c>
      <c r="M21" s="219">
        <f t="shared" si="5"/>
        <v>0</v>
      </c>
      <c r="N21" s="218">
        <f t="shared" si="6"/>
        <v>0</v>
      </c>
      <c r="O21" s="841">
        <f t="shared" si="7"/>
        <v>0</v>
      </c>
      <c r="P21" s="219">
        <f t="shared" si="8"/>
        <v>0</v>
      </c>
      <c r="Q21" s="216"/>
    </row>
    <row r="22" spans="2:17">
      <c r="B22" s="216">
        <v>14</v>
      </c>
      <c r="C22" s="216"/>
      <c r="D22" s="838">
        <f t="shared" si="9"/>
        <v>0</v>
      </c>
      <c r="E22" s="219">
        <f t="shared" si="1"/>
        <v>0</v>
      </c>
      <c r="F22" s="216"/>
      <c r="G22" s="216"/>
      <c r="H22" s="219">
        <f t="shared" si="2"/>
        <v>0</v>
      </c>
      <c r="I22" s="841">
        <f t="shared" si="10"/>
        <v>0</v>
      </c>
      <c r="J22" s="219">
        <f t="shared" si="3"/>
        <v>0</v>
      </c>
      <c r="K22" s="216">
        <v>0</v>
      </c>
      <c r="L22" s="219">
        <f t="shared" si="4"/>
        <v>0</v>
      </c>
      <c r="M22" s="219">
        <f t="shared" si="5"/>
        <v>0</v>
      </c>
      <c r="N22" s="218">
        <f t="shared" si="6"/>
        <v>0</v>
      </c>
      <c r="O22" s="841">
        <f t="shared" si="7"/>
        <v>0</v>
      </c>
      <c r="P22" s="219">
        <f t="shared" si="8"/>
        <v>0</v>
      </c>
      <c r="Q22" s="216"/>
    </row>
    <row r="23" spans="2:17">
      <c r="B23" s="216">
        <v>15</v>
      </c>
      <c r="C23" s="216"/>
      <c r="D23" s="838">
        <f t="shared" si="9"/>
        <v>0</v>
      </c>
      <c r="E23" s="219">
        <f t="shared" si="1"/>
        <v>0</v>
      </c>
      <c r="F23" s="216"/>
      <c r="G23" s="216"/>
      <c r="H23" s="219">
        <f t="shared" si="2"/>
        <v>0</v>
      </c>
      <c r="I23" s="841">
        <f t="shared" si="10"/>
        <v>0</v>
      </c>
      <c r="J23" s="219">
        <f t="shared" si="3"/>
        <v>0</v>
      </c>
      <c r="K23" s="216"/>
      <c r="L23" s="219">
        <f t="shared" si="4"/>
        <v>0</v>
      </c>
      <c r="M23" s="219">
        <f t="shared" si="5"/>
        <v>0</v>
      </c>
      <c r="N23" s="218">
        <f t="shared" si="6"/>
        <v>0</v>
      </c>
      <c r="O23" s="841">
        <f t="shared" si="7"/>
        <v>0</v>
      </c>
      <c r="P23" s="219">
        <f t="shared" si="8"/>
        <v>0</v>
      </c>
      <c r="Q23" s="216"/>
    </row>
    <row r="24" spans="2:17">
      <c r="B24" s="216">
        <v>16</v>
      </c>
      <c r="C24" s="216"/>
      <c r="D24" s="838">
        <f t="shared" si="9"/>
        <v>0</v>
      </c>
      <c r="E24" s="219">
        <f t="shared" si="1"/>
        <v>0</v>
      </c>
      <c r="F24" s="216"/>
      <c r="G24" s="216"/>
      <c r="H24" s="219">
        <f t="shared" si="2"/>
        <v>0</v>
      </c>
      <c r="I24" s="841">
        <f t="shared" si="10"/>
        <v>0</v>
      </c>
      <c r="J24" s="219">
        <f t="shared" si="3"/>
        <v>0</v>
      </c>
      <c r="K24" s="216">
        <v>0</v>
      </c>
      <c r="L24" s="219">
        <f t="shared" si="4"/>
        <v>0</v>
      </c>
      <c r="M24" s="219">
        <f t="shared" si="5"/>
        <v>0</v>
      </c>
      <c r="N24" s="218">
        <f t="shared" si="6"/>
        <v>0</v>
      </c>
      <c r="O24" s="841">
        <f t="shared" si="7"/>
        <v>0</v>
      </c>
      <c r="P24" s="219">
        <f t="shared" si="8"/>
        <v>0</v>
      </c>
      <c r="Q24" s="216"/>
    </row>
    <row r="25" spans="2:17">
      <c r="B25" s="216">
        <v>17</v>
      </c>
      <c r="C25" s="216"/>
      <c r="D25" s="838">
        <f t="shared" si="9"/>
        <v>0</v>
      </c>
      <c r="E25" s="219">
        <f t="shared" si="1"/>
        <v>0</v>
      </c>
      <c r="F25" s="216"/>
      <c r="G25" s="216"/>
      <c r="H25" s="219">
        <f t="shared" si="2"/>
        <v>0</v>
      </c>
      <c r="I25" s="841">
        <f t="shared" si="10"/>
        <v>0</v>
      </c>
      <c r="J25" s="219">
        <f t="shared" si="3"/>
        <v>0</v>
      </c>
      <c r="K25" s="216">
        <v>0</v>
      </c>
      <c r="L25" s="219">
        <f t="shared" si="4"/>
        <v>0</v>
      </c>
      <c r="M25" s="219">
        <f t="shared" si="5"/>
        <v>0</v>
      </c>
      <c r="N25" s="218">
        <f t="shared" si="6"/>
        <v>0</v>
      </c>
      <c r="O25" s="841">
        <f t="shared" si="7"/>
        <v>0</v>
      </c>
      <c r="P25" s="219">
        <f t="shared" si="8"/>
        <v>0</v>
      </c>
      <c r="Q25" s="216"/>
    </row>
    <row r="26" spans="2:17">
      <c r="B26" s="216">
        <v>18</v>
      </c>
      <c r="C26" s="216"/>
      <c r="D26" s="838">
        <f t="shared" si="9"/>
        <v>0</v>
      </c>
      <c r="E26" s="219">
        <f t="shared" si="1"/>
        <v>0</v>
      </c>
      <c r="F26" s="216"/>
      <c r="G26" s="216"/>
      <c r="H26" s="219">
        <f t="shared" si="2"/>
        <v>0</v>
      </c>
      <c r="I26" s="841">
        <f t="shared" si="10"/>
        <v>0</v>
      </c>
      <c r="J26" s="219">
        <f t="shared" si="3"/>
        <v>0</v>
      </c>
      <c r="K26" s="216">
        <v>0</v>
      </c>
      <c r="L26" s="219">
        <f t="shared" si="4"/>
        <v>0</v>
      </c>
      <c r="M26" s="219">
        <f t="shared" si="5"/>
        <v>0</v>
      </c>
      <c r="N26" s="218">
        <f t="shared" si="6"/>
        <v>0</v>
      </c>
      <c r="O26" s="841">
        <f t="shared" si="7"/>
        <v>0</v>
      </c>
      <c r="P26" s="219">
        <f t="shared" si="8"/>
        <v>0</v>
      </c>
      <c r="Q26" s="216"/>
    </row>
    <row r="27" spans="2:17">
      <c r="B27" s="216">
        <v>19</v>
      </c>
      <c r="C27" s="216"/>
      <c r="D27" s="838">
        <f t="shared" si="9"/>
        <v>0</v>
      </c>
      <c r="E27" s="219">
        <f t="shared" si="1"/>
        <v>0</v>
      </c>
      <c r="F27" s="216"/>
      <c r="G27" s="216"/>
      <c r="H27" s="219">
        <f t="shared" si="2"/>
        <v>0</v>
      </c>
      <c r="I27" s="841">
        <f t="shared" si="10"/>
        <v>0</v>
      </c>
      <c r="J27" s="219">
        <f t="shared" si="3"/>
        <v>0</v>
      </c>
      <c r="K27" s="216">
        <v>0</v>
      </c>
      <c r="L27" s="219">
        <f t="shared" si="4"/>
        <v>0</v>
      </c>
      <c r="M27" s="219">
        <f t="shared" si="5"/>
        <v>0</v>
      </c>
      <c r="N27" s="218">
        <f t="shared" si="6"/>
        <v>0</v>
      </c>
      <c r="O27" s="841">
        <f t="shared" si="7"/>
        <v>0</v>
      </c>
      <c r="P27" s="219">
        <f t="shared" si="8"/>
        <v>0</v>
      </c>
      <c r="Q27" s="216"/>
    </row>
    <row r="28" spans="2:17">
      <c r="B28" s="216">
        <v>20</v>
      </c>
      <c r="C28" s="216"/>
      <c r="D28" s="838">
        <f t="shared" ref="D28:D39" si="11">+O27</f>
        <v>0</v>
      </c>
      <c r="E28" s="219">
        <f t="shared" si="1"/>
        <v>0</v>
      </c>
      <c r="F28" s="216"/>
      <c r="G28" s="216"/>
      <c r="H28" s="219">
        <f t="shared" si="2"/>
        <v>0</v>
      </c>
      <c r="I28" s="841">
        <f t="shared" si="10"/>
        <v>0</v>
      </c>
      <c r="J28" s="219">
        <f t="shared" si="3"/>
        <v>0</v>
      </c>
      <c r="K28" s="216">
        <v>0</v>
      </c>
      <c r="L28" s="219">
        <f t="shared" si="4"/>
        <v>0</v>
      </c>
      <c r="M28" s="219">
        <f t="shared" si="5"/>
        <v>0</v>
      </c>
      <c r="N28" s="218">
        <f t="shared" si="6"/>
        <v>0</v>
      </c>
      <c r="O28" s="841">
        <f t="shared" si="7"/>
        <v>0</v>
      </c>
      <c r="P28" s="219">
        <f t="shared" si="8"/>
        <v>0</v>
      </c>
      <c r="Q28" s="216"/>
    </row>
    <row r="29" spans="2:17">
      <c r="B29" s="216">
        <v>21</v>
      </c>
      <c r="C29" s="216"/>
      <c r="D29" s="838">
        <f t="shared" si="11"/>
        <v>0</v>
      </c>
      <c r="E29" s="219">
        <f t="shared" si="1"/>
        <v>0</v>
      </c>
      <c r="F29" s="216"/>
      <c r="G29" s="216"/>
      <c r="H29" s="219">
        <f t="shared" si="2"/>
        <v>0</v>
      </c>
      <c r="I29" s="841">
        <f t="shared" si="10"/>
        <v>0</v>
      </c>
      <c r="J29" s="219">
        <f t="shared" si="3"/>
        <v>0</v>
      </c>
      <c r="K29" s="216">
        <v>0</v>
      </c>
      <c r="L29" s="219">
        <f t="shared" si="4"/>
        <v>0</v>
      </c>
      <c r="M29" s="219">
        <f t="shared" si="5"/>
        <v>0</v>
      </c>
      <c r="N29" s="218">
        <f t="shared" si="6"/>
        <v>0</v>
      </c>
      <c r="O29" s="841">
        <f t="shared" si="7"/>
        <v>0</v>
      </c>
      <c r="P29" s="219">
        <f t="shared" si="8"/>
        <v>0</v>
      </c>
      <c r="Q29" s="216"/>
    </row>
    <row r="30" spans="2:17">
      <c r="B30" s="216">
        <v>22</v>
      </c>
      <c r="C30" s="216"/>
      <c r="D30" s="838">
        <f t="shared" si="11"/>
        <v>0</v>
      </c>
      <c r="E30" s="219">
        <f t="shared" si="1"/>
        <v>0</v>
      </c>
      <c r="F30" s="216"/>
      <c r="G30" s="216"/>
      <c r="H30" s="219">
        <f t="shared" si="2"/>
        <v>0</v>
      </c>
      <c r="I30" s="841">
        <f t="shared" si="10"/>
        <v>0</v>
      </c>
      <c r="J30" s="219">
        <f t="shared" si="3"/>
        <v>0</v>
      </c>
      <c r="K30" s="216">
        <v>0</v>
      </c>
      <c r="L30" s="219">
        <f t="shared" si="4"/>
        <v>0</v>
      </c>
      <c r="M30" s="219">
        <f t="shared" si="5"/>
        <v>0</v>
      </c>
      <c r="N30" s="218">
        <f t="shared" si="6"/>
        <v>0</v>
      </c>
      <c r="O30" s="841">
        <f t="shared" si="7"/>
        <v>0</v>
      </c>
      <c r="P30" s="219">
        <f t="shared" si="8"/>
        <v>0</v>
      </c>
      <c r="Q30" s="216"/>
    </row>
    <row r="31" spans="2:17">
      <c r="B31" s="216">
        <v>23</v>
      </c>
      <c r="C31" s="216"/>
      <c r="D31" s="838">
        <f t="shared" si="11"/>
        <v>0</v>
      </c>
      <c r="E31" s="219">
        <f t="shared" si="1"/>
        <v>0</v>
      </c>
      <c r="F31" s="216"/>
      <c r="G31" s="216"/>
      <c r="H31" s="219">
        <f t="shared" si="2"/>
        <v>0</v>
      </c>
      <c r="I31" s="841">
        <f t="shared" si="10"/>
        <v>0</v>
      </c>
      <c r="J31" s="219">
        <f t="shared" si="3"/>
        <v>0</v>
      </c>
      <c r="K31" s="216">
        <v>0</v>
      </c>
      <c r="L31" s="219">
        <f t="shared" si="4"/>
        <v>0</v>
      </c>
      <c r="M31" s="219">
        <f t="shared" si="5"/>
        <v>0</v>
      </c>
      <c r="N31" s="218">
        <f t="shared" si="6"/>
        <v>0</v>
      </c>
      <c r="O31" s="841">
        <f t="shared" si="7"/>
        <v>0</v>
      </c>
      <c r="P31" s="219">
        <f t="shared" si="8"/>
        <v>0</v>
      </c>
      <c r="Q31" s="216"/>
    </row>
    <row r="32" spans="2:17">
      <c r="B32" s="216">
        <v>24</v>
      </c>
      <c r="C32" s="216"/>
      <c r="D32" s="838">
        <f t="shared" si="11"/>
        <v>0</v>
      </c>
      <c r="E32" s="219">
        <f t="shared" si="1"/>
        <v>0</v>
      </c>
      <c r="F32" s="216"/>
      <c r="G32" s="216"/>
      <c r="H32" s="219">
        <f t="shared" si="2"/>
        <v>0</v>
      </c>
      <c r="I32" s="841">
        <f t="shared" si="10"/>
        <v>0</v>
      </c>
      <c r="J32" s="219">
        <f t="shared" si="3"/>
        <v>0</v>
      </c>
      <c r="K32" s="216">
        <v>0</v>
      </c>
      <c r="L32" s="219">
        <f t="shared" si="4"/>
        <v>0</v>
      </c>
      <c r="M32" s="219">
        <f t="shared" si="5"/>
        <v>0</v>
      </c>
      <c r="N32" s="218">
        <f t="shared" si="6"/>
        <v>0</v>
      </c>
      <c r="O32" s="841">
        <f t="shared" si="7"/>
        <v>0</v>
      </c>
      <c r="P32" s="219">
        <f t="shared" si="8"/>
        <v>0</v>
      </c>
      <c r="Q32" s="216"/>
    </row>
    <row r="33" spans="2:24">
      <c r="B33" s="216">
        <v>25</v>
      </c>
      <c r="C33" s="216"/>
      <c r="D33" s="838">
        <f t="shared" si="11"/>
        <v>0</v>
      </c>
      <c r="E33" s="219">
        <f t="shared" si="1"/>
        <v>0</v>
      </c>
      <c r="F33" s="216"/>
      <c r="G33" s="216"/>
      <c r="H33" s="219">
        <f t="shared" si="2"/>
        <v>0</v>
      </c>
      <c r="I33" s="841">
        <f t="shared" si="10"/>
        <v>0</v>
      </c>
      <c r="J33" s="219">
        <f t="shared" si="3"/>
        <v>0</v>
      </c>
      <c r="K33" s="216">
        <v>0</v>
      </c>
      <c r="L33" s="219">
        <f t="shared" si="4"/>
        <v>0</v>
      </c>
      <c r="M33" s="219">
        <f t="shared" si="5"/>
        <v>0</v>
      </c>
      <c r="N33" s="218">
        <f t="shared" si="6"/>
        <v>0</v>
      </c>
      <c r="O33" s="841">
        <f t="shared" si="7"/>
        <v>0</v>
      </c>
      <c r="P33" s="219">
        <f t="shared" si="8"/>
        <v>0</v>
      </c>
      <c r="Q33" s="216"/>
    </row>
    <row r="34" spans="2:24">
      <c r="B34" s="216">
        <v>26</v>
      </c>
      <c r="C34" s="216"/>
      <c r="D34" s="838">
        <f t="shared" si="11"/>
        <v>0</v>
      </c>
      <c r="E34" s="219">
        <f t="shared" si="1"/>
        <v>0</v>
      </c>
      <c r="F34" s="216"/>
      <c r="G34" s="216"/>
      <c r="H34" s="219">
        <f t="shared" si="2"/>
        <v>0</v>
      </c>
      <c r="I34" s="841">
        <f t="shared" si="10"/>
        <v>0</v>
      </c>
      <c r="J34" s="219">
        <f t="shared" si="3"/>
        <v>0</v>
      </c>
      <c r="K34" s="216">
        <v>0</v>
      </c>
      <c r="L34" s="219">
        <f t="shared" si="4"/>
        <v>0</v>
      </c>
      <c r="M34" s="219">
        <f t="shared" si="5"/>
        <v>0</v>
      </c>
      <c r="N34" s="218">
        <f t="shared" si="6"/>
        <v>0</v>
      </c>
      <c r="O34" s="841">
        <f t="shared" si="7"/>
        <v>0</v>
      </c>
      <c r="P34" s="219">
        <f t="shared" si="8"/>
        <v>0</v>
      </c>
      <c r="Q34" s="216"/>
    </row>
    <row r="35" spans="2:24">
      <c r="B35" s="216">
        <v>27</v>
      </c>
      <c r="C35" s="216"/>
      <c r="D35" s="838">
        <f t="shared" si="11"/>
        <v>0</v>
      </c>
      <c r="E35" s="219">
        <f t="shared" si="1"/>
        <v>0</v>
      </c>
      <c r="F35" s="216"/>
      <c r="G35" s="216"/>
      <c r="H35" s="219">
        <f t="shared" si="2"/>
        <v>0</v>
      </c>
      <c r="I35" s="841">
        <f t="shared" si="10"/>
        <v>0</v>
      </c>
      <c r="J35" s="219">
        <f t="shared" si="3"/>
        <v>0</v>
      </c>
      <c r="K35" s="216">
        <v>0</v>
      </c>
      <c r="L35" s="219">
        <f t="shared" si="4"/>
        <v>0</v>
      </c>
      <c r="M35" s="219">
        <f t="shared" si="5"/>
        <v>0</v>
      </c>
      <c r="N35" s="218">
        <f t="shared" si="6"/>
        <v>0</v>
      </c>
      <c r="O35" s="841">
        <f t="shared" si="7"/>
        <v>0</v>
      </c>
      <c r="P35" s="219">
        <f t="shared" si="8"/>
        <v>0</v>
      </c>
      <c r="Q35" s="216"/>
    </row>
    <row r="36" spans="2:24">
      <c r="B36" s="216">
        <v>28</v>
      </c>
      <c r="C36" s="216"/>
      <c r="D36" s="838">
        <f t="shared" si="11"/>
        <v>0</v>
      </c>
      <c r="E36" s="219">
        <f t="shared" si="1"/>
        <v>0</v>
      </c>
      <c r="F36" s="216"/>
      <c r="G36" s="216"/>
      <c r="H36" s="219">
        <f t="shared" si="2"/>
        <v>0</v>
      </c>
      <c r="I36" s="841">
        <f t="shared" si="10"/>
        <v>0</v>
      </c>
      <c r="J36" s="219">
        <f t="shared" si="3"/>
        <v>0</v>
      </c>
      <c r="K36" s="216">
        <v>0</v>
      </c>
      <c r="L36" s="219">
        <f t="shared" si="4"/>
        <v>0</v>
      </c>
      <c r="M36" s="219">
        <f t="shared" si="5"/>
        <v>0</v>
      </c>
      <c r="N36" s="218">
        <f t="shared" si="6"/>
        <v>0</v>
      </c>
      <c r="O36" s="841">
        <f t="shared" si="7"/>
        <v>0</v>
      </c>
      <c r="P36" s="219">
        <f t="shared" si="8"/>
        <v>0</v>
      </c>
      <c r="Q36" s="216"/>
    </row>
    <row r="37" spans="2:24">
      <c r="B37" s="216">
        <v>29</v>
      </c>
      <c r="C37" s="216"/>
      <c r="D37" s="838">
        <f t="shared" si="11"/>
        <v>0</v>
      </c>
      <c r="E37" s="219">
        <f t="shared" si="1"/>
        <v>0</v>
      </c>
      <c r="F37" s="216"/>
      <c r="G37" s="216"/>
      <c r="H37" s="219">
        <f t="shared" si="2"/>
        <v>0</v>
      </c>
      <c r="I37" s="841">
        <f t="shared" si="10"/>
        <v>0</v>
      </c>
      <c r="J37" s="219">
        <f t="shared" si="3"/>
        <v>0</v>
      </c>
      <c r="K37" s="216">
        <v>0</v>
      </c>
      <c r="L37" s="219">
        <f t="shared" si="4"/>
        <v>0</v>
      </c>
      <c r="M37" s="219">
        <f t="shared" si="5"/>
        <v>0</v>
      </c>
      <c r="N37" s="218">
        <f t="shared" si="6"/>
        <v>0</v>
      </c>
      <c r="O37" s="841">
        <f t="shared" si="7"/>
        <v>0</v>
      </c>
      <c r="P37" s="219">
        <f t="shared" si="8"/>
        <v>0</v>
      </c>
      <c r="Q37" s="216"/>
    </row>
    <row r="38" spans="2:24">
      <c r="B38" s="216">
        <v>30</v>
      </c>
      <c r="C38" s="3"/>
      <c r="D38" s="838">
        <f t="shared" si="11"/>
        <v>0</v>
      </c>
      <c r="E38" s="219">
        <f t="shared" si="1"/>
        <v>0</v>
      </c>
      <c r="F38" s="130"/>
      <c r="G38" s="130"/>
      <c r="H38" s="219">
        <f t="shared" si="2"/>
        <v>0</v>
      </c>
      <c r="I38" s="841">
        <f t="shared" si="10"/>
        <v>0</v>
      </c>
      <c r="J38" s="219">
        <f t="shared" si="3"/>
        <v>0</v>
      </c>
      <c r="K38" s="216"/>
      <c r="L38" s="219">
        <f t="shared" si="4"/>
        <v>0</v>
      </c>
      <c r="M38" s="219">
        <f t="shared" si="5"/>
        <v>0</v>
      </c>
      <c r="N38" s="218">
        <f t="shared" si="6"/>
        <v>0</v>
      </c>
      <c r="O38" s="841">
        <f t="shared" si="7"/>
        <v>0</v>
      </c>
      <c r="P38" s="219">
        <f t="shared" si="8"/>
        <v>0</v>
      </c>
      <c r="Q38" s="3"/>
    </row>
    <row r="39" spans="2:24">
      <c r="B39" s="216">
        <v>31</v>
      </c>
      <c r="C39" s="3"/>
      <c r="D39" s="838">
        <f t="shared" si="11"/>
        <v>0</v>
      </c>
      <c r="E39" s="219">
        <f t="shared" si="1"/>
        <v>0</v>
      </c>
      <c r="F39" s="3"/>
      <c r="G39" s="3"/>
      <c r="H39" s="219">
        <f t="shared" si="2"/>
        <v>0</v>
      </c>
      <c r="I39" s="841">
        <f t="shared" si="10"/>
        <v>0</v>
      </c>
      <c r="J39" s="219">
        <f t="shared" si="3"/>
        <v>0</v>
      </c>
      <c r="K39" s="3"/>
      <c r="L39" s="219">
        <f t="shared" si="4"/>
        <v>0</v>
      </c>
      <c r="M39" s="219">
        <f t="shared" si="5"/>
        <v>0</v>
      </c>
      <c r="N39" s="218">
        <f t="shared" si="6"/>
        <v>0</v>
      </c>
      <c r="O39" s="841">
        <f t="shared" si="7"/>
        <v>0</v>
      </c>
      <c r="P39" s="219">
        <f t="shared" si="8"/>
        <v>0</v>
      </c>
      <c r="Q39" s="3"/>
    </row>
    <row r="40" spans="2:24">
      <c r="B40" s="928" t="s">
        <v>10</v>
      </c>
      <c r="C40" s="929"/>
      <c r="D40" s="929"/>
      <c r="E40" s="930"/>
      <c r="F40" s="130">
        <f t="shared" ref="F40:N40" si="12">SUM(F9:F39)</f>
        <v>0</v>
      </c>
      <c r="G40" s="239">
        <f t="shared" si="12"/>
        <v>0</v>
      </c>
      <c r="H40" s="224">
        <f t="shared" si="12"/>
        <v>0</v>
      </c>
      <c r="I40" s="130"/>
      <c r="J40" s="130"/>
      <c r="K40" s="239">
        <f t="shared" si="12"/>
        <v>0</v>
      </c>
      <c r="L40" s="224">
        <f t="shared" si="12"/>
        <v>0</v>
      </c>
      <c r="M40" s="148"/>
      <c r="N40" s="130">
        <f t="shared" si="12"/>
        <v>0</v>
      </c>
      <c r="O40" s="130"/>
      <c r="P40" s="130"/>
      <c r="Q40" s="3"/>
      <c r="R40">
        <v>40</v>
      </c>
      <c r="S40">
        <v>7</v>
      </c>
      <c r="U40">
        <v>40</v>
      </c>
      <c r="V40">
        <v>28.35</v>
      </c>
      <c r="X40">
        <v>1500</v>
      </c>
    </row>
    <row r="41" spans="2:24">
      <c r="U41" s="151">
        <f>R40*S40/U40*V40*X40/1000</f>
        <v>297.67500000000001</v>
      </c>
    </row>
    <row r="42" spans="2:24">
      <c r="B42" s="931" t="s">
        <v>23</v>
      </c>
      <c r="C42" s="931"/>
      <c r="D42" s="931"/>
      <c r="E42" s="931"/>
      <c r="F42" s="3"/>
      <c r="G42" s="130">
        <f>G40*S7/1000</f>
        <v>0</v>
      </c>
      <c r="H42" s="151">
        <f>+G40*S6/1000</f>
        <v>0</v>
      </c>
      <c r="J42" s="3" t="s">
        <v>36</v>
      </c>
      <c r="K42" s="3"/>
      <c r="L42" s="130">
        <f>K40*S7/1000</f>
        <v>0</v>
      </c>
      <c r="S42">
        <v>0.75</v>
      </c>
      <c r="U42" s="837">
        <f>U41*S42%</f>
        <v>2.2325624999999998</v>
      </c>
    </row>
    <row r="43" spans="2:24">
      <c r="U43" s="151">
        <f>U41+U42</f>
        <v>299.90756249999998</v>
      </c>
    </row>
  </sheetData>
  <mergeCells count="19">
    <mergeCell ref="B2:Q2"/>
    <mergeCell ref="S2:T2"/>
    <mergeCell ref="B3:Q3"/>
    <mergeCell ref="S3:V3"/>
    <mergeCell ref="B4:Q4"/>
    <mergeCell ref="S4:V4"/>
    <mergeCell ref="A5:Q5"/>
    <mergeCell ref="S5:V5"/>
    <mergeCell ref="D6:F6"/>
    <mergeCell ref="G6:H6"/>
    <mergeCell ref="I6:J6"/>
    <mergeCell ref="K6:L6"/>
    <mergeCell ref="O6:P6"/>
    <mergeCell ref="S6:V6"/>
    <mergeCell ref="S7:V7"/>
    <mergeCell ref="S8:V8"/>
    <mergeCell ref="B40:E40"/>
    <mergeCell ref="B42:E42"/>
    <mergeCell ref="M6:M8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W42"/>
  <sheetViews>
    <sheetView topLeftCell="B1" zoomScale="80" zoomScaleNormal="80" workbookViewId="0">
      <pane ySplit="8" topLeftCell="A30" activePane="bottomLeft" state="frozen"/>
      <selection pane="bottomLeft" activeCell="R2" sqref="R2:V2"/>
    </sheetView>
  </sheetViews>
  <sheetFormatPr defaultColWidth="9" defaultRowHeight="15"/>
  <cols>
    <col min="1" max="1" width="9" hidden="1" customWidth="1"/>
    <col min="3" max="3" width="9" hidden="1" customWidth="1"/>
    <col min="5" max="5" width="10.42578125" customWidth="1"/>
    <col min="6" max="6" width="9" hidden="1" customWidth="1"/>
    <col min="8" max="8" width="10.42578125" customWidth="1"/>
    <col min="10" max="10" width="12.140625" customWidth="1"/>
    <col min="12" max="13" width="10.42578125" customWidth="1"/>
    <col min="14" max="14" width="12" customWidth="1"/>
    <col min="15" max="15" width="8.28515625" customWidth="1"/>
    <col min="16" max="17" width="10.42578125" customWidth="1"/>
    <col min="18" max="18" width="18.28515625" customWidth="1"/>
    <col min="19" max="19" width="11" customWidth="1"/>
    <col min="20" max="20" width="3" hidden="1" customWidth="1"/>
    <col min="21" max="21" width="6.140625" customWidth="1"/>
    <col min="22" max="22" width="6.28515625" customWidth="1"/>
    <col min="23" max="23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129"/>
      <c r="S2" s="931"/>
      <c r="T2" s="931"/>
      <c r="U2" s="129"/>
      <c r="V2" s="227"/>
      <c r="W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129" t="s">
        <v>3</v>
      </c>
      <c r="S3" s="931"/>
      <c r="T3" s="931"/>
      <c r="U3" s="931"/>
      <c r="V3" s="931"/>
      <c r="W3" s="170"/>
    </row>
    <row r="4" spans="1:23" ht="21">
      <c r="B4" s="939" t="s">
        <v>53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129" t="s">
        <v>5</v>
      </c>
      <c r="S4" s="931"/>
      <c r="T4" s="931"/>
      <c r="U4" s="931"/>
      <c r="V4" s="931"/>
      <c r="W4" s="170"/>
    </row>
    <row r="5" spans="1:23" ht="21">
      <c r="A5" s="932" t="s">
        <v>54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933"/>
      <c r="R5" s="129" t="s">
        <v>7</v>
      </c>
      <c r="S5" s="931"/>
      <c r="T5" s="931"/>
      <c r="U5" s="931"/>
      <c r="V5" s="931"/>
      <c r="W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942" t="s">
        <v>12</v>
      </c>
      <c r="N6" s="215"/>
      <c r="O6" s="934" t="s">
        <v>13</v>
      </c>
      <c r="P6" s="934"/>
      <c r="Q6" s="225" t="s">
        <v>14</v>
      </c>
      <c r="R6" s="129" t="s">
        <v>15</v>
      </c>
      <c r="S6" s="931">
        <v>260.43299999999999</v>
      </c>
      <c r="T6" s="931"/>
      <c r="U6" s="931"/>
      <c r="V6" s="931"/>
      <c r="W6" s="170"/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16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18</v>
      </c>
      <c r="M7" s="943"/>
      <c r="N7" s="217"/>
      <c r="O7" s="217" t="s">
        <v>16</v>
      </c>
      <c r="P7" s="217" t="s">
        <v>17</v>
      </c>
      <c r="Q7" s="226"/>
      <c r="R7" s="129" t="s">
        <v>19</v>
      </c>
      <c r="S7" s="931">
        <v>1.9530000000000001</v>
      </c>
      <c r="T7" s="931"/>
      <c r="U7" s="931"/>
      <c r="V7" s="931"/>
      <c r="W7" s="170"/>
    </row>
    <row r="8" spans="1:23">
      <c r="B8" s="216"/>
      <c r="C8" s="216"/>
      <c r="D8" s="217" t="s">
        <v>21</v>
      </c>
      <c r="E8" s="217" t="s">
        <v>22</v>
      </c>
      <c r="F8" s="217"/>
      <c r="G8" s="217" t="s">
        <v>21</v>
      </c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934"/>
      <c r="N8" s="217" t="s">
        <v>23</v>
      </c>
      <c r="O8" s="217" t="s">
        <v>21</v>
      </c>
      <c r="P8" s="217" t="s">
        <v>22</v>
      </c>
      <c r="Q8" s="226"/>
      <c r="R8" s="129" t="s">
        <v>24</v>
      </c>
      <c r="S8" s="931">
        <f>S6+S7</f>
        <v>262.38600000000002</v>
      </c>
      <c r="T8" s="931"/>
      <c r="U8" s="931"/>
      <c r="V8" s="931"/>
      <c r="W8" s="170"/>
    </row>
    <row r="9" spans="1:23">
      <c r="B9" s="216">
        <v>1</v>
      </c>
      <c r="C9" s="216"/>
      <c r="D9" s="13"/>
      <c r="E9" s="219">
        <f>$S$8*D9/1000</f>
        <v>0</v>
      </c>
      <c r="F9" s="13"/>
      <c r="G9" s="13">
        <v>0</v>
      </c>
      <c r="H9" s="219">
        <f>$S$8*G9/1000</f>
        <v>0</v>
      </c>
      <c r="I9" s="13">
        <v>0</v>
      </c>
      <c r="J9" s="219">
        <f>$S$8*I9/1000</f>
        <v>0</v>
      </c>
      <c r="K9" s="13">
        <v>0</v>
      </c>
      <c r="L9" s="219">
        <f>K9*S$6/1000</f>
        <v>0</v>
      </c>
      <c r="M9" s="219">
        <f>K9*S$8/1000</f>
        <v>0</v>
      </c>
      <c r="N9" s="219">
        <f>K9*S$7/1000</f>
        <v>0</v>
      </c>
      <c r="O9" s="841">
        <f>D9+G9-K9</f>
        <v>0</v>
      </c>
      <c r="P9" s="219">
        <f>$S$8*O9/1000</f>
        <v>0</v>
      </c>
      <c r="Q9" s="218">
        <f>P9*T8/1000</f>
        <v>0</v>
      </c>
      <c r="W9" s="170"/>
    </row>
    <row r="10" spans="1:23">
      <c r="B10" s="216">
        <v>2</v>
      </c>
      <c r="C10" s="216"/>
      <c r="D10" s="838"/>
      <c r="E10" s="219">
        <f t="shared" ref="E10:E39" si="0">$S$8*D10/1000</f>
        <v>0</v>
      </c>
      <c r="F10" s="216"/>
      <c r="G10" s="216">
        <v>0</v>
      </c>
      <c r="H10" s="219">
        <f t="shared" ref="H10:H39" si="1">$S$8*G10/1000</f>
        <v>0</v>
      </c>
      <c r="I10" s="216">
        <v>0</v>
      </c>
      <c r="J10" s="219">
        <f t="shared" ref="J10:J39" si="2">$S$8*I10/1000</f>
        <v>0</v>
      </c>
      <c r="K10" s="216">
        <v>0</v>
      </c>
      <c r="L10" s="219">
        <f t="shared" ref="L10:L39" si="3">$S$8*K10/1000</f>
        <v>0</v>
      </c>
      <c r="M10" s="219">
        <f t="shared" ref="M10:M39" si="4">K10*S$8/1000</f>
        <v>0</v>
      </c>
      <c r="N10" s="219">
        <f t="shared" ref="N10:N39" si="5">K10*S$7/1000</f>
        <v>0</v>
      </c>
      <c r="O10" s="841">
        <f>D10+G10-K10</f>
        <v>0</v>
      </c>
      <c r="P10" s="219">
        <f t="shared" ref="P10:P39" si="6">$S$8*O10/1000</f>
        <v>0</v>
      </c>
      <c r="Q10" s="216"/>
    </row>
    <row r="11" spans="1:23">
      <c r="B11" s="216">
        <v>3</v>
      </c>
      <c r="C11" s="216"/>
      <c r="D11" s="838"/>
      <c r="E11" s="219">
        <f t="shared" si="0"/>
        <v>0</v>
      </c>
      <c r="F11" s="216"/>
      <c r="G11" s="216">
        <v>0</v>
      </c>
      <c r="H11" s="219">
        <f t="shared" si="1"/>
        <v>0</v>
      </c>
      <c r="I11" s="216">
        <v>0</v>
      </c>
      <c r="J11" s="219">
        <f t="shared" si="2"/>
        <v>0</v>
      </c>
      <c r="K11" s="216">
        <v>0</v>
      </c>
      <c r="L11" s="219">
        <f t="shared" si="3"/>
        <v>0</v>
      </c>
      <c r="M11" s="219">
        <f t="shared" si="4"/>
        <v>0</v>
      </c>
      <c r="N11" s="219">
        <f t="shared" si="5"/>
        <v>0</v>
      </c>
      <c r="O11" s="841">
        <f>D11+G11-K11</f>
        <v>0</v>
      </c>
      <c r="P11" s="219">
        <f t="shared" si="6"/>
        <v>0</v>
      </c>
      <c r="Q11" s="216"/>
    </row>
    <row r="12" spans="1:23">
      <c r="B12" s="216">
        <v>4</v>
      </c>
      <c r="C12" s="216"/>
      <c r="D12" s="838"/>
      <c r="E12" s="219">
        <f t="shared" si="0"/>
        <v>0</v>
      </c>
      <c r="F12" s="216"/>
      <c r="G12" s="216">
        <v>0</v>
      </c>
      <c r="H12" s="219">
        <f t="shared" si="1"/>
        <v>0</v>
      </c>
      <c r="I12" s="216">
        <v>0</v>
      </c>
      <c r="J12" s="219">
        <f t="shared" si="2"/>
        <v>0</v>
      </c>
      <c r="K12" s="216">
        <v>0</v>
      </c>
      <c r="L12" s="219">
        <f t="shared" si="3"/>
        <v>0</v>
      </c>
      <c r="M12" s="219">
        <f t="shared" si="4"/>
        <v>0</v>
      </c>
      <c r="N12" s="219">
        <f t="shared" si="5"/>
        <v>0</v>
      </c>
      <c r="O12" s="841">
        <f t="shared" ref="O12:O39" si="7">D12+G12-K12</f>
        <v>0</v>
      </c>
      <c r="P12" s="219">
        <f t="shared" si="6"/>
        <v>0</v>
      </c>
      <c r="Q12" s="216"/>
    </row>
    <row r="13" spans="1:23">
      <c r="B13" s="216">
        <v>5</v>
      </c>
      <c r="C13" s="216"/>
      <c r="D13" s="838"/>
      <c r="E13" s="219">
        <f t="shared" si="0"/>
        <v>0</v>
      </c>
      <c r="F13" s="216"/>
      <c r="G13" s="216">
        <v>0</v>
      </c>
      <c r="H13" s="219">
        <f t="shared" si="1"/>
        <v>0</v>
      </c>
      <c r="I13" s="216">
        <v>0</v>
      </c>
      <c r="J13" s="219">
        <f t="shared" si="2"/>
        <v>0</v>
      </c>
      <c r="K13" s="216">
        <v>0</v>
      </c>
      <c r="L13" s="219">
        <f t="shared" si="3"/>
        <v>0</v>
      </c>
      <c r="M13" s="219">
        <f t="shared" si="4"/>
        <v>0</v>
      </c>
      <c r="N13" s="219">
        <f t="shared" si="5"/>
        <v>0</v>
      </c>
      <c r="O13" s="841">
        <f t="shared" si="7"/>
        <v>0</v>
      </c>
      <c r="P13" s="219">
        <f t="shared" si="6"/>
        <v>0</v>
      </c>
      <c r="Q13" s="216"/>
    </row>
    <row r="14" spans="1:23">
      <c r="B14" s="216">
        <v>6</v>
      </c>
      <c r="C14" s="216"/>
      <c r="D14" s="838"/>
      <c r="E14" s="219">
        <f t="shared" si="0"/>
        <v>0</v>
      </c>
      <c r="F14" s="216"/>
      <c r="G14" s="216">
        <v>0</v>
      </c>
      <c r="H14" s="219">
        <f t="shared" si="1"/>
        <v>0</v>
      </c>
      <c r="I14" s="216">
        <v>0</v>
      </c>
      <c r="J14" s="219">
        <f t="shared" si="2"/>
        <v>0</v>
      </c>
      <c r="K14" s="216">
        <v>0</v>
      </c>
      <c r="L14" s="219">
        <f t="shared" si="3"/>
        <v>0</v>
      </c>
      <c r="M14" s="219">
        <f t="shared" si="4"/>
        <v>0</v>
      </c>
      <c r="N14" s="219">
        <f t="shared" si="5"/>
        <v>0</v>
      </c>
      <c r="O14" s="841">
        <f t="shared" si="7"/>
        <v>0</v>
      </c>
      <c r="P14" s="219">
        <f t="shared" si="6"/>
        <v>0</v>
      </c>
      <c r="Q14" s="216"/>
    </row>
    <row r="15" spans="1:23">
      <c r="B15" s="216">
        <v>7</v>
      </c>
      <c r="C15" s="216"/>
      <c r="D15" s="838"/>
      <c r="E15" s="219">
        <f t="shared" si="0"/>
        <v>0</v>
      </c>
      <c r="F15" s="216"/>
      <c r="G15" s="216">
        <v>0</v>
      </c>
      <c r="H15" s="219">
        <f t="shared" si="1"/>
        <v>0</v>
      </c>
      <c r="I15" s="216">
        <v>0</v>
      </c>
      <c r="J15" s="219">
        <f t="shared" si="2"/>
        <v>0</v>
      </c>
      <c r="K15" s="216">
        <v>0</v>
      </c>
      <c r="L15" s="219">
        <f t="shared" si="3"/>
        <v>0</v>
      </c>
      <c r="M15" s="219">
        <f t="shared" si="4"/>
        <v>0</v>
      </c>
      <c r="N15" s="219">
        <f t="shared" si="5"/>
        <v>0</v>
      </c>
      <c r="O15" s="841">
        <f t="shared" si="7"/>
        <v>0</v>
      </c>
      <c r="P15" s="219">
        <f t="shared" si="6"/>
        <v>0</v>
      </c>
      <c r="Q15" s="216"/>
    </row>
    <row r="16" spans="1:23">
      <c r="B16" s="216">
        <v>8</v>
      </c>
      <c r="C16" s="216"/>
      <c r="D16" s="838"/>
      <c r="E16" s="219">
        <f t="shared" si="0"/>
        <v>0</v>
      </c>
      <c r="F16" s="216"/>
      <c r="G16" s="216">
        <v>0</v>
      </c>
      <c r="H16" s="219">
        <f t="shared" si="1"/>
        <v>0</v>
      </c>
      <c r="I16" s="216">
        <v>0</v>
      </c>
      <c r="J16" s="219">
        <f t="shared" si="2"/>
        <v>0</v>
      </c>
      <c r="K16" s="216">
        <v>0</v>
      </c>
      <c r="L16" s="219">
        <f t="shared" si="3"/>
        <v>0</v>
      </c>
      <c r="M16" s="219">
        <f t="shared" si="4"/>
        <v>0</v>
      </c>
      <c r="N16" s="219">
        <f t="shared" si="5"/>
        <v>0</v>
      </c>
      <c r="O16" s="841">
        <f t="shared" si="7"/>
        <v>0</v>
      </c>
      <c r="P16" s="219">
        <f t="shared" si="6"/>
        <v>0</v>
      </c>
      <c r="Q16" s="216"/>
    </row>
    <row r="17" spans="2:17">
      <c r="B17" s="216">
        <v>9</v>
      </c>
      <c r="C17" s="216"/>
      <c r="D17" s="838"/>
      <c r="E17" s="219">
        <f t="shared" si="0"/>
        <v>0</v>
      </c>
      <c r="F17" s="216"/>
      <c r="G17" s="216">
        <v>0</v>
      </c>
      <c r="H17" s="219">
        <f t="shared" si="1"/>
        <v>0</v>
      </c>
      <c r="I17" s="216">
        <v>0</v>
      </c>
      <c r="J17" s="219">
        <f t="shared" si="2"/>
        <v>0</v>
      </c>
      <c r="K17" s="216">
        <v>0</v>
      </c>
      <c r="L17" s="219">
        <f t="shared" si="3"/>
        <v>0</v>
      </c>
      <c r="M17" s="219">
        <f t="shared" si="4"/>
        <v>0</v>
      </c>
      <c r="N17" s="219">
        <f t="shared" si="5"/>
        <v>0</v>
      </c>
      <c r="O17" s="841">
        <f t="shared" si="7"/>
        <v>0</v>
      </c>
      <c r="P17" s="219">
        <f t="shared" si="6"/>
        <v>0</v>
      </c>
      <c r="Q17" s="216"/>
    </row>
    <row r="18" spans="2:17">
      <c r="B18" s="216">
        <v>10</v>
      </c>
      <c r="C18" s="216"/>
      <c r="D18" s="838"/>
      <c r="E18" s="219">
        <f t="shared" si="0"/>
        <v>0</v>
      </c>
      <c r="F18" s="216"/>
      <c r="G18" s="216">
        <v>0</v>
      </c>
      <c r="H18" s="219">
        <f t="shared" si="1"/>
        <v>0</v>
      </c>
      <c r="I18" s="216">
        <v>0</v>
      </c>
      <c r="J18" s="219">
        <f t="shared" si="2"/>
        <v>0</v>
      </c>
      <c r="K18" s="216">
        <v>0</v>
      </c>
      <c r="L18" s="219">
        <f t="shared" si="3"/>
        <v>0</v>
      </c>
      <c r="M18" s="219">
        <f t="shared" si="4"/>
        <v>0</v>
      </c>
      <c r="N18" s="219">
        <f t="shared" si="5"/>
        <v>0</v>
      </c>
      <c r="O18" s="841">
        <f t="shared" si="7"/>
        <v>0</v>
      </c>
      <c r="P18" s="219">
        <f t="shared" si="6"/>
        <v>0</v>
      </c>
      <c r="Q18" s="216"/>
    </row>
    <row r="19" spans="2:17">
      <c r="B19" s="216">
        <v>11</v>
      </c>
      <c r="C19" s="216"/>
      <c r="D19" s="838"/>
      <c r="E19" s="219">
        <f t="shared" si="0"/>
        <v>0</v>
      </c>
      <c r="F19" s="216"/>
      <c r="G19" s="216">
        <v>0</v>
      </c>
      <c r="H19" s="219">
        <f t="shared" si="1"/>
        <v>0</v>
      </c>
      <c r="I19" s="216">
        <v>0</v>
      </c>
      <c r="J19" s="219">
        <f t="shared" si="2"/>
        <v>0</v>
      </c>
      <c r="K19" s="216">
        <v>0</v>
      </c>
      <c r="L19" s="219">
        <f t="shared" si="3"/>
        <v>0</v>
      </c>
      <c r="M19" s="219">
        <f t="shared" si="4"/>
        <v>0</v>
      </c>
      <c r="N19" s="219">
        <f t="shared" si="5"/>
        <v>0</v>
      </c>
      <c r="O19" s="841">
        <f t="shared" si="7"/>
        <v>0</v>
      </c>
      <c r="P19" s="219">
        <f t="shared" si="6"/>
        <v>0</v>
      </c>
      <c r="Q19" s="216"/>
    </row>
    <row r="20" spans="2:17">
      <c r="B20" s="216">
        <v>12</v>
      </c>
      <c r="C20" s="216"/>
      <c r="D20" s="838"/>
      <c r="E20" s="219">
        <f t="shared" si="0"/>
        <v>0</v>
      </c>
      <c r="F20" s="216"/>
      <c r="G20" s="216">
        <v>0</v>
      </c>
      <c r="H20" s="219">
        <f t="shared" si="1"/>
        <v>0</v>
      </c>
      <c r="I20" s="216">
        <v>0</v>
      </c>
      <c r="J20" s="219">
        <f t="shared" si="2"/>
        <v>0</v>
      </c>
      <c r="K20" s="216">
        <v>0</v>
      </c>
      <c r="L20" s="219">
        <f t="shared" si="3"/>
        <v>0</v>
      </c>
      <c r="M20" s="219">
        <f t="shared" si="4"/>
        <v>0</v>
      </c>
      <c r="N20" s="219">
        <f t="shared" si="5"/>
        <v>0</v>
      </c>
      <c r="O20" s="841">
        <f t="shared" si="7"/>
        <v>0</v>
      </c>
      <c r="P20" s="219">
        <f t="shared" si="6"/>
        <v>0</v>
      </c>
      <c r="Q20" s="216"/>
    </row>
    <row r="21" spans="2:17">
      <c r="B21" s="216">
        <v>13</v>
      </c>
      <c r="C21" s="216"/>
      <c r="D21" s="838"/>
      <c r="E21" s="219">
        <f t="shared" si="0"/>
        <v>0</v>
      </c>
      <c r="F21" s="216"/>
      <c r="G21" s="216">
        <v>0</v>
      </c>
      <c r="H21" s="219">
        <f t="shared" si="1"/>
        <v>0</v>
      </c>
      <c r="I21" s="216">
        <v>0</v>
      </c>
      <c r="J21" s="219">
        <f t="shared" si="2"/>
        <v>0</v>
      </c>
      <c r="K21" s="216">
        <v>0</v>
      </c>
      <c r="L21" s="219">
        <f t="shared" si="3"/>
        <v>0</v>
      </c>
      <c r="M21" s="219">
        <f t="shared" si="4"/>
        <v>0</v>
      </c>
      <c r="N21" s="219">
        <f t="shared" si="5"/>
        <v>0</v>
      </c>
      <c r="O21" s="841">
        <f t="shared" si="7"/>
        <v>0</v>
      </c>
      <c r="P21" s="219">
        <f t="shared" si="6"/>
        <v>0</v>
      </c>
      <c r="Q21" s="216"/>
    </row>
    <row r="22" spans="2:17">
      <c r="B22" s="216">
        <v>14</v>
      </c>
      <c r="C22" s="216"/>
      <c r="D22" s="838">
        <f t="shared" ref="D22:D38" si="8">+O21</f>
        <v>0</v>
      </c>
      <c r="E22" s="219">
        <f t="shared" si="0"/>
        <v>0</v>
      </c>
      <c r="F22" s="216"/>
      <c r="G22" s="216">
        <v>0</v>
      </c>
      <c r="H22" s="219">
        <f t="shared" si="1"/>
        <v>0</v>
      </c>
      <c r="I22" s="216">
        <v>0</v>
      </c>
      <c r="J22" s="219">
        <f t="shared" si="2"/>
        <v>0</v>
      </c>
      <c r="K22" s="216">
        <v>0</v>
      </c>
      <c r="L22" s="219">
        <f t="shared" si="3"/>
        <v>0</v>
      </c>
      <c r="M22" s="219">
        <f t="shared" si="4"/>
        <v>0</v>
      </c>
      <c r="N22" s="219">
        <f t="shared" si="5"/>
        <v>0</v>
      </c>
      <c r="O22" s="841">
        <f t="shared" si="7"/>
        <v>0</v>
      </c>
      <c r="P22" s="219">
        <f t="shared" si="6"/>
        <v>0</v>
      </c>
      <c r="Q22" s="216"/>
    </row>
    <row r="23" spans="2:17">
      <c r="B23" s="216">
        <v>15</v>
      </c>
      <c r="C23" s="216"/>
      <c r="D23" s="838">
        <f t="shared" si="8"/>
        <v>0</v>
      </c>
      <c r="E23" s="219">
        <f t="shared" si="0"/>
        <v>0</v>
      </c>
      <c r="F23" s="216"/>
      <c r="G23" s="216">
        <v>0</v>
      </c>
      <c r="H23" s="219">
        <f t="shared" si="1"/>
        <v>0</v>
      </c>
      <c r="I23" s="216">
        <v>0</v>
      </c>
      <c r="J23" s="219">
        <f t="shared" si="2"/>
        <v>0</v>
      </c>
      <c r="K23" s="216">
        <v>0</v>
      </c>
      <c r="L23" s="219">
        <f t="shared" si="3"/>
        <v>0</v>
      </c>
      <c r="M23" s="219">
        <f t="shared" si="4"/>
        <v>0</v>
      </c>
      <c r="N23" s="219">
        <f t="shared" si="5"/>
        <v>0</v>
      </c>
      <c r="O23" s="841">
        <f t="shared" si="7"/>
        <v>0</v>
      </c>
      <c r="P23" s="219">
        <f t="shared" si="6"/>
        <v>0</v>
      </c>
      <c r="Q23" s="216"/>
    </row>
    <row r="24" spans="2:17">
      <c r="B24" s="216">
        <v>16</v>
      </c>
      <c r="C24" s="216"/>
      <c r="D24" s="838">
        <f t="shared" si="8"/>
        <v>0</v>
      </c>
      <c r="E24" s="219">
        <f t="shared" si="0"/>
        <v>0</v>
      </c>
      <c r="F24" s="216"/>
      <c r="G24" s="216">
        <v>0</v>
      </c>
      <c r="H24" s="219">
        <f t="shared" si="1"/>
        <v>0</v>
      </c>
      <c r="I24" s="216">
        <v>0</v>
      </c>
      <c r="J24" s="219">
        <f t="shared" si="2"/>
        <v>0</v>
      </c>
      <c r="K24" s="216">
        <v>0</v>
      </c>
      <c r="L24" s="219">
        <f t="shared" si="3"/>
        <v>0</v>
      </c>
      <c r="M24" s="219">
        <f t="shared" si="4"/>
        <v>0</v>
      </c>
      <c r="N24" s="219">
        <f t="shared" si="5"/>
        <v>0</v>
      </c>
      <c r="O24" s="841">
        <f t="shared" si="7"/>
        <v>0</v>
      </c>
      <c r="P24" s="219">
        <f t="shared" si="6"/>
        <v>0</v>
      </c>
      <c r="Q24" s="216"/>
    </row>
    <row r="25" spans="2:17">
      <c r="B25" s="216">
        <v>17</v>
      </c>
      <c r="C25" s="216"/>
      <c r="D25" s="838">
        <f t="shared" si="8"/>
        <v>0</v>
      </c>
      <c r="E25" s="219">
        <f t="shared" si="0"/>
        <v>0</v>
      </c>
      <c r="F25" s="216"/>
      <c r="G25" s="216">
        <v>0</v>
      </c>
      <c r="H25" s="219">
        <f t="shared" si="1"/>
        <v>0</v>
      </c>
      <c r="I25" s="216">
        <v>0</v>
      </c>
      <c r="J25" s="219">
        <f t="shared" si="2"/>
        <v>0</v>
      </c>
      <c r="K25" s="216">
        <v>0</v>
      </c>
      <c r="L25" s="219">
        <f t="shared" si="3"/>
        <v>0</v>
      </c>
      <c r="M25" s="219">
        <f t="shared" si="4"/>
        <v>0</v>
      </c>
      <c r="N25" s="219">
        <f t="shared" si="5"/>
        <v>0</v>
      </c>
      <c r="O25" s="841">
        <f t="shared" si="7"/>
        <v>0</v>
      </c>
      <c r="P25" s="219">
        <f t="shared" si="6"/>
        <v>0</v>
      </c>
      <c r="Q25" s="216"/>
    </row>
    <row r="26" spans="2:17">
      <c r="B26" s="216">
        <v>18</v>
      </c>
      <c r="C26" s="216"/>
      <c r="D26" s="838">
        <f t="shared" si="8"/>
        <v>0</v>
      </c>
      <c r="E26" s="219">
        <f t="shared" si="0"/>
        <v>0</v>
      </c>
      <c r="F26" s="216"/>
      <c r="G26" s="216">
        <v>0</v>
      </c>
      <c r="H26" s="219">
        <f t="shared" si="1"/>
        <v>0</v>
      </c>
      <c r="I26" s="216">
        <v>0</v>
      </c>
      <c r="J26" s="219">
        <f t="shared" si="2"/>
        <v>0</v>
      </c>
      <c r="K26" s="216">
        <v>0</v>
      </c>
      <c r="L26" s="219">
        <f t="shared" si="3"/>
        <v>0</v>
      </c>
      <c r="M26" s="219">
        <f t="shared" si="4"/>
        <v>0</v>
      </c>
      <c r="N26" s="219">
        <f t="shared" si="5"/>
        <v>0</v>
      </c>
      <c r="O26" s="841">
        <f t="shared" si="7"/>
        <v>0</v>
      </c>
      <c r="P26" s="219">
        <f t="shared" si="6"/>
        <v>0</v>
      </c>
      <c r="Q26" s="216"/>
    </row>
    <row r="27" spans="2:17">
      <c r="B27" s="216">
        <v>19</v>
      </c>
      <c r="C27" s="216"/>
      <c r="D27" s="838">
        <f t="shared" si="8"/>
        <v>0</v>
      </c>
      <c r="E27" s="219">
        <f t="shared" si="0"/>
        <v>0</v>
      </c>
      <c r="F27" s="216"/>
      <c r="G27" s="216">
        <v>0</v>
      </c>
      <c r="H27" s="219">
        <f t="shared" si="1"/>
        <v>0</v>
      </c>
      <c r="I27" s="216">
        <v>0</v>
      </c>
      <c r="J27" s="219">
        <f t="shared" si="2"/>
        <v>0</v>
      </c>
      <c r="K27" s="216">
        <v>0</v>
      </c>
      <c r="L27" s="219">
        <f t="shared" si="3"/>
        <v>0</v>
      </c>
      <c r="M27" s="219">
        <f t="shared" si="4"/>
        <v>0</v>
      </c>
      <c r="N27" s="219">
        <f t="shared" si="5"/>
        <v>0</v>
      </c>
      <c r="O27" s="841">
        <f t="shared" si="7"/>
        <v>0</v>
      </c>
      <c r="P27" s="219">
        <f t="shared" si="6"/>
        <v>0</v>
      </c>
      <c r="Q27" s="216"/>
    </row>
    <row r="28" spans="2:17">
      <c r="B28" s="216">
        <v>20</v>
      </c>
      <c r="C28" s="216"/>
      <c r="D28" s="838">
        <f t="shared" si="8"/>
        <v>0</v>
      </c>
      <c r="E28" s="219">
        <f t="shared" si="0"/>
        <v>0</v>
      </c>
      <c r="F28" s="216"/>
      <c r="G28" s="216">
        <v>0</v>
      </c>
      <c r="H28" s="219">
        <f t="shared" si="1"/>
        <v>0</v>
      </c>
      <c r="I28" s="216">
        <v>0</v>
      </c>
      <c r="J28" s="219">
        <f t="shared" si="2"/>
        <v>0</v>
      </c>
      <c r="K28" s="216">
        <v>0</v>
      </c>
      <c r="L28" s="219">
        <f t="shared" si="3"/>
        <v>0</v>
      </c>
      <c r="M28" s="219">
        <f t="shared" si="4"/>
        <v>0</v>
      </c>
      <c r="N28" s="219">
        <f t="shared" si="5"/>
        <v>0</v>
      </c>
      <c r="O28" s="841">
        <f t="shared" si="7"/>
        <v>0</v>
      </c>
      <c r="P28" s="219">
        <f t="shared" si="6"/>
        <v>0</v>
      </c>
      <c r="Q28" s="216"/>
    </row>
    <row r="29" spans="2:17">
      <c r="B29" s="216">
        <v>21</v>
      </c>
      <c r="C29" s="216"/>
      <c r="D29" s="838">
        <f t="shared" si="8"/>
        <v>0</v>
      </c>
      <c r="E29" s="219">
        <f t="shared" si="0"/>
        <v>0</v>
      </c>
      <c r="F29" s="216"/>
      <c r="G29" s="216">
        <v>0</v>
      </c>
      <c r="H29" s="219">
        <f t="shared" si="1"/>
        <v>0</v>
      </c>
      <c r="I29" s="216">
        <v>0</v>
      </c>
      <c r="J29" s="219">
        <f t="shared" si="2"/>
        <v>0</v>
      </c>
      <c r="K29" s="216">
        <v>0</v>
      </c>
      <c r="L29" s="219">
        <f t="shared" si="3"/>
        <v>0</v>
      </c>
      <c r="M29" s="219">
        <f t="shared" si="4"/>
        <v>0</v>
      </c>
      <c r="N29" s="219">
        <f t="shared" si="5"/>
        <v>0</v>
      </c>
      <c r="O29" s="841">
        <f t="shared" si="7"/>
        <v>0</v>
      </c>
      <c r="P29" s="219">
        <f t="shared" si="6"/>
        <v>0</v>
      </c>
      <c r="Q29" s="216"/>
    </row>
    <row r="30" spans="2:17">
      <c r="B30" s="216">
        <v>22</v>
      </c>
      <c r="C30" s="216"/>
      <c r="D30" s="838">
        <f t="shared" si="8"/>
        <v>0</v>
      </c>
      <c r="E30" s="219">
        <f t="shared" si="0"/>
        <v>0</v>
      </c>
      <c r="F30" s="216"/>
      <c r="G30" s="216">
        <v>0</v>
      </c>
      <c r="H30" s="219">
        <f t="shared" si="1"/>
        <v>0</v>
      </c>
      <c r="I30" s="216">
        <v>0</v>
      </c>
      <c r="J30" s="219">
        <f t="shared" si="2"/>
        <v>0</v>
      </c>
      <c r="K30" s="216">
        <v>0</v>
      </c>
      <c r="L30" s="219">
        <f t="shared" si="3"/>
        <v>0</v>
      </c>
      <c r="M30" s="219">
        <f t="shared" si="4"/>
        <v>0</v>
      </c>
      <c r="N30" s="219">
        <f t="shared" si="5"/>
        <v>0</v>
      </c>
      <c r="O30" s="841">
        <f t="shared" si="7"/>
        <v>0</v>
      </c>
      <c r="P30" s="219">
        <f t="shared" si="6"/>
        <v>0</v>
      </c>
      <c r="Q30" s="216"/>
    </row>
    <row r="31" spans="2:17">
      <c r="B31" s="216">
        <v>23</v>
      </c>
      <c r="C31" s="216"/>
      <c r="D31" s="838">
        <f t="shared" si="8"/>
        <v>0</v>
      </c>
      <c r="E31" s="219">
        <f t="shared" si="0"/>
        <v>0</v>
      </c>
      <c r="F31" s="216"/>
      <c r="G31" s="216">
        <v>0</v>
      </c>
      <c r="H31" s="219">
        <f t="shared" si="1"/>
        <v>0</v>
      </c>
      <c r="I31" s="216">
        <v>0</v>
      </c>
      <c r="J31" s="219">
        <f t="shared" si="2"/>
        <v>0</v>
      </c>
      <c r="K31" s="216">
        <v>0</v>
      </c>
      <c r="L31" s="219">
        <f t="shared" si="3"/>
        <v>0</v>
      </c>
      <c r="M31" s="219">
        <f t="shared" si="4"/>
        <v>0</v>
      </c>
      <c r="N31" s="219">
        <f t="shared" si="5"/>
        <v>0</v>
      </c>
      <c r="O31" s="841">
        <f t="shared" si="7"/>
        <v>0</v>
      </c>
      <c r="P31" s="219">
        <f t="shared" si="6"/>
        <v>0</v>
      </c>
      <c r="Q31" s="216"/>
    </row>
    <row r="32" spans="2:17">
      <c r="B32" s="216">
        <v>24</v>
      </c>
      <c r="C32" s="216"/>
      <c r="D32" s="838">
        <f t="shared" si="8"/>
        <v>0</v>
      </c>
      <c r="E32" s="219">
        <f t="shared" si="0"/>
        <v>0</v>
      </c>
      <c r="F32" s="216"/>
      <c r="G32" s="216">
        <v>0</v>
      </c>
      <c r="H32" s="219">
        <f t="shared" si="1"/>
        <v>0</v>
      </c>
      <c r="I32" s="216">
        <v>0</v>
      </c>
      <c r="J32" s="219">
        <f t="shared" si="2"/>
        <v>0</v>
      </c>
      <c r="K32" s="216">
        <v>0</v>
      </c>
      <c r="L32" s="219">
        <f t="shared" si="3"/>
        <v>0</v>
      </c>
      <c r="M32" s="219">
        <f t="shared" si="4"/>
        <v>0</v>
      </c>
      <c r="N32" s="219">
        <f t="shared" si="5"/>
        <v>0</v>
      </c>
      <c r="O32" s="841">
        <f t="shared" si="7"/>
        <v>0</v>
      </c>
      <c r="P32" s="219">
        <f t="shared" si="6"/>
        <v>0</v>
      </c>
      <c r="Q32" s="216"/>
    </row>
    <row r="33" spans="2:17">
      <c r="B33" s="216">
        <v>25</v>
      </c>
      <c r="C33" s="216"/>
      <c r="D33" s="838">
        <f t="shared" si="8"/>
        <v>0</v>
      </c>
      <c r="E33" s="219">
        <f t="shared" si="0"/>
        <v>0</v>
      </c>
      <c r="F33" s="216"/>
      <c r="G33" s="216">
        <v>0</v>
      </c>
      <c r="H33" s="219">
        <f t="shared" si="1"/>
        <v>0</v>
      </c>
      <c r="I33" s="216">
        <v>0</v>
      </c>
      <c r="J33" s="219">
        <f t="shared" si="2"/>
        <v>0</v>
      </c>
      <c r="K33" s="216">
        <v>0</v>
      </c>
      <c r="L33" s="219">
        <f t="shared" si="3"/>
        <v>0</v>
      </c>
      <c r="M33" s="219">
        <f t="shared" si="4"/>
        <v>0</v>
      </c>
      <c r="N33" s="219">
        <f t="shared" si="5"/>
        <v>0</v>
      </c>
      <c r="O33" s="841">
        <f t="shared" si="7"/>
        <v>0</v>
      </c>
      <c r="P33" s="219">
        <f t="shared" si="6"/>
        <v>0</v>
      </c>
      <c r="Q33" s="216"/>
    </row>
    <row r="34" spans="2:17">
      <c r="B34" s="216">
        <v>26</v>
      </c>
      <c r="C34" s="216"/>
      <c r="D34" s="838">
        <f t="shared" si="8"/>
        <v>0</v>
      </c>
      <c r="E34" s="219">
        <f t="shared" si="0"/>
        <v>0</v>
      </c>
      <c r="F34" s="216"/>
      <c r="G34" s="216">
        <v>0</v>
      </c>
      <c r="H34" s="219">
        <f t="shared" si="1"/>
        <v>0</v>
      </c>
      <c r="I34" s="216">
        <v>0</v>
      </c>
      <c r="J34" s="219">
        <f t="shared" si="2"/>
        <v>0</v>
      </c>
      <c r="K34" s="216">
        <v>0</v>
      </c>
      <c r="L34" s="219">
        <f t="shared" si="3"/>
        <v>0</v>
      </c>
      <c r="M34" s="219">
        <f t="shared" si="4"/>
        <v>0</v>
      </c>
      <c r="N34" s="219">
        <f t="shared" si="5"/>
        <v>0</v>
      </c>
      <c r="O34" s="841">
        <f t="shared" si="7"/>
        <v>0</v>
      </c>
      <c r="P34" s="219">
        <f t="shared" si="6"/>
        <v>0</v>
      </c>
      <c r="Q34" s="216"/>
    </row>
    <row r="35" spans="2:17">
      <c r="B35" s="216">
        <v>27</v>
      </c>
      <c r="C35" s="216"/>
      <c r="D35" s="838">
        <f t="shared" si="8"/>
        <v>0</v>
      </c>
      <c r="E35" s="219">
        <f t="shared" si="0"/>
        <v>0</v>
      </c>
      <c r="F35" s="216"/>
      <c r="G35" s="216">
        <v>0</v>
      </c>
      <c r="H35" s="219">
        <f t="shared" si="1"/>
        <v>0</v>
      </c>
      <c r="I35" s="216">
        <v>0</v>
      </c>
      <c r="J35" s="219">
        <f t="shared" si="2"/>
        <v>0</v>
      </c>
      <c r="K35" s="216">
        <v>0</v>
      </c>
      <c r="L35" s="219">
        <f t="shared" si="3"/>
        <v>0</v>
      </c>
      <c r="M35" s="219">
        <f t="shared" si="4"/>
        <v>0</v>
      </c>
      <c r="N35" s="219">
        <f t="shared" si="5"/>
        <v>0</v>
      </c>
      <c r="O35" s="841">
        <f t="shared" si="7"/>
        <v>0</v>
      </c>
      <c r="P35" s="219">
        <f t="shared" si="6"/>
        <v>0</v>
      </c>
      <c r="Q35" s="216"/>
    </row>
    <row r="36" spans="2:17">
      <c r="B36" s="216">
        <v>28</v>
      </c>
      <c r="C36" s="216"/>
      <c r="D36" s="838">
        <f t="shared" si="8"/>
        <v>0</v>
      </c>
      <c r="E36" s="219">
        <f t="shared" si="0"/>
        <v>0</v>
      </c>
      <c r="F36" s="216"/>
      <c r="G36" s="216">
        <v>0</v>
      </c>
      <c r="H36" s="219">
        <f t="shared" si="1"/>
        <v>0</v>
      </c>
      <c r="I36" s="216">
        <v>0</v>
      </c>
      <c r="J36" s="219">
        <f t="shared" si="2"/>
        <v>0</v>
      </c>
      <c r="K36" s="216">
        <v>0</v>
      </c>
      <c r="L36" s="219">
        <f t="shared" si="3"/>
        <v>0</v>
      </c>
      <c r="M36" s="219">
        <f t="shared" si="4"/>
        <v>0</v>
      </c>
      <c r="N36" s="219">
        <f t="shared" si="5"/>
        <v>0</v>
      </c>
      <c r="O36" s="841">
        <f t="shared" si="7"/>
        <v>0</v>
      </c>
      <c r="P36" s="219">
        <f t="shared" si="6"/>
        <v>0</v>
      </c>
      <c r="Q36" s="216"/>
    </row>
    <row r="37" spans="2:17">
      <c r="B37" s="216">
        <v>29</v>
      </c>
      <c r="C37" s="216"/>
      <c r="D37" s="838">
        <f t="shared" si="8"/>
        <v>0</v>
      </c>
      <c r="E37" s="219">
        <f t="shared" si="0"/>
        <v>0</v>
      </c>
      <c r="F37" s="216"/>
      <c r="G37" s="216">
        <v>0</v>
      </c>
      <c r="H37" s="219">
        <f t="shared" si="1"/>
        <v>0</v>
      </c>
      <c r="I37" s="216">
        <v>0</v>
      </c>
      <c r="J37" s="219">
        <f t="shared" si="2"/>
        <v>0</v>
      </c>
      <c r="K37" s="216">
        <v>0</v>
      </c>
      <c r="L37" s="219">
        <f t="shared" si="3"/>
        <v>0</v>
      </c>
      <c r="M37" s="219">
        <f t="shared" si="4"/>
        <v>0</v>
      </c>
      <c r="N37" s="219">
        <f t="shared" si="5"/>
        <v>0</v>
      </c>
      <c r="O37" s="841">
        <f t="shared" si="7"/>
        <v>0</v>
      </c>
      <c r="P37" s="219">
        <f t="shared" si="6"/>
        <v>0</v>
      </c>
      <c r="Q37" s="216"/>
    </row>
    <row r="38" spans="2:17">
      <c r="B38" s="216">
        <v>30</v>
      </c>
      <c r="D38" s="838">
        <f t="shared" si="8"/>
        <v>0</v>
      </c>
      <c r="E38" s="219">
        <f t="shared" si="0"/>
        <v>0</v>
      </c>
      <c r="F38" s="3"/>
      <c r="G38" s="3">
        <v>0</v>
      </c>
      <c r="H38" s="219">
        <f t="shared" si="1"/>
        <v>0</v>
      </c>
      <c r="I38" s="3"/>
      <c r="J38" s="219">
        <f t="shared" si="2"/>
        <v>0</v>
      </c>
      <c r="K38" s="216"/>
      <c r="L38" s="219">
        <f t="shared" si="3"/>
        <v>0</v>
      </c>
      <c r="M38" s="219">
        <f t="shared" si="4"/>
        <v>0</v>
      </c>
      <c r="N38" s="219">
        <f t="shared" si="5"/>
        <v>0</v>
      </c>
      <c r="O38" s="841">
        <f t="shared" si="7"/>
        <v>0</v>
      </c>
      <c r="P38" s="219">
        <f t="shared" si="6"/>
        <v>0</v>
      </c>
      <c r="Q38" s="3"/>
    </row>
    <row r="39" spans="2:17">
      <c r="B39" s="222">
        <v>31</v>
      </c>
      <c r="D39" s="838"/>
      <c r="E39" s="219">
        <f t="shared" si="0"/>
        <v>0</v>
      </c>
      <c r="F39" s="223"/>
      <c r="G39" s="223"/>
      <c r="H39" s="219">
        <f t="shared" si="1"/>
        <v>0</v>
      </c>
      <c r="I39" s="223"/>
      <c r="J39" s="219">
        <f t="shared" si="2"/>
        <v>0</v>
      </c>
      <c r="K39" s="223"/>
      <c r="L39" s="219">
        <f t="shared" si="3"/>
        <v>0</v>
      </c>
      <c r="M39" s="219">
        <f t="shared" si="4"/>
        <v>0</v>
      </c>
      <c r="N39" s="219">
        <f t="shared" si="5"/>
        <v>0</v>
      </c>
      <c r="O39" s="841">
        <f t="shared" si="7"/>
        <v>0</v>
      </c>
      <c r="P39" s="219">
        <f t="shared" si="6"/>
        <v>0</v>
      </c>
      <c r="Q39" s="223"/>
    </row>
    <row r="40" spans="2:17">
      <c r="B40" s="928" t="s">
        <v>10</v>
      </c>
      <c r="C40" s="929"/>
      <c r="D40" s="929"/>
      <c r="E40" s="930"/>
      <c r="F40" s="130">
        <f t="shared" ref="F40:N40" si="9">SUM(F9:F39)</f>
        <v>0</v>
      </c>
      <c r="G40" s="224">
        <f t="shared" si="9"/>
        <v>0</v>
      </c>
      <c r="H40" s="224">
        <f t="shared" si="9"/>
        <v>0</v>
      </c>
      <c r="I40" s="130"/>
      <c r="J40" s="130"/>
      <c r="K40" s="239">
        <f t="shared" si="9"/>
        <v>0</v>
      </c>
      <c r="L40" s="224">
        <f t="shared" si="9"/>
        <v>0</v>
      </c>
      <c r="M40" s="148"/>
      <c r="N40" s="130">
        <f t="shared" si="9"/>
        <v>0</v>
      </c>
      <c r="O40" s="130"/>
      <c r="P40" s="130"/>
      <c r="Q40" s="3"/>
    </row>
    <row r="42" spans="2:17">
      <c r="B42" s="931" t="s">
        <v>23</v>
      </c>
      <c r="C42" s="931"/>
      <c r="D42" s="931"/>
      <c r="E42" s="931"/>
      <c r="F42" s="3"/>
      <c r="G42" s="3">
        <f>G40*S7/1000</f>
        <v>0</v>
      </c>
      <c r="I42" t="s">
        <v>36</v>
      </c>
      <c r="K42" s="151">
        <f>K40*S7/1000</f>
        <v>0</v>
      </c>
    </row>
  </sheetData>
  <mergeCells count="19">
    <mergeCell ref="B2:Q2"/>
    <mergeCell ref="S2:T2"/>
    <mergeCell ref="B3:Q3"/>
    <mergeCell ref="S3:V3"/>
    <mergeCell ref="B4:Q4"/>
    <mergeCell ref="S4:V4"/>
    <mergeCell ref="A5:Q5"/>
    <mergeCell ref="S5:V5"/>
    <mergeCell ref="D6:F6"/>
    <mergeCell ref="G6:H6"/>
    <mergeCell ref="I6:J6"/>
    <mergeCell ref="K6:L6"/>
    <mergeCell ref="O6:P6"/>
    <mergeCell ref="S6:V6"/>
    <mergeCell ref="S7:V7"/>
    <mergeCell ref="S8:V8"/>
    <mergeCell ref="B40:E40"/>
    <mergeCell ref="B42:E42"/>
    <mergeCell ref="M6:M8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W42"/>
  <sheetViews>
    <sheetView topLeftCell="B1" zoomScale="80" zoomScaleNormal="80" workbookViewId="0">
      <pane ySplit="8" topLeftCell="A27" activePane="bottomLeft" state="frozen"/>
      <selection pane="bottomLeft" activeCell="G40" sqref="G40"/>
    </sheetView>
  </sheetViews>
  <sheetFormatPr defaultColWidth="9" defaultRowHeight="21"/>
  <cols>
    <col min="1" max="1" width="9" hidden="1" customWidth="1"/>
    <col min="2" max="2" width="9.140625" style="831"/>
    <col min="3" max="3" width="9" hidden="1" customWidth="1"/>
    <col min="5" max="5" width="10.42578125" customWidth="1"/>
    <col min="6" max="6" width="9" hidden="1" customWidth="1"/>
    <col min="8" max="8" width="13.140625" style="831" customWidth="1"/>
    <col min="10" max="10" width="10.42578125" customWidth="1"/>
    <col min="11" max="11" width="10.85546875" customWidth="1"/>
    <col min="12" max="12" width="10.42578125" customWidth="1"/>
    <col min="13" max="13" width="11.7109375" style="831" customWidth="1"/>
    <col min="14" max="14" width="12" customWidth="1"/>
    <col min="15" max="15" width="8.28515625" customWidth="1"/>
    <col min="16" max="17" width="10.42578125" customWidth="1"/>
    <col min="18" max="18" width="18.28515625" customWidth="1"/>
    <col min="19" max="19" width="10.5703125" customWidth="1"/>
    <col min="20" max="20" width="3" hidden="1" customWidth="1"/>
    <col min="21" max="21" width="6.140625" customWidth="1"/>
    <col min="22" max="22" width="6.28515625" customWidth="1"/>
    <col min="23" max="23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129" t="s">
        <v>55</v>
      </c>
      <c r="S2" s="931"/>
      <c r="T2" s="931"/>
      <c r="U2" s="129" t="s">
        <v>1</v>
      </c>
      <c r="V2" s="227">
        <v>2023</v>
      </c>
      <c r="W2" s="228"/>
    </row>
    <row r="3" spans="1:23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129" t="s">
        <v>3</v>
      </c>
      <c r="S3" s="931"/>
      <c r="T3" s="931"/>
      <c r="U3" s="931"/>
      <c r="V3" s="931"/>
      <c r="W3" s="170"/>
    </row>
    <row r="4" spans="1:23">
      <c r="B4" s="939" t="s">
        <v>56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129" t="s">
        <v>5</v>
      </c>
      <c r="S4" s="931"/>
      <c r="T4" s="931"/>
      <c r="U4" s="931"/>
      <c r="V4" s="931"/>
      <c r="W4" s="170"/>
    </row>
    <row r="5" spans="1:23">
      <c r="A5" s="932" t="s">
        <v>57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933"/>
      <c r="R5" s="129" t="s">
        <v>7</v>
      </c>
      <c r="S5" s="931"/>
      <c r="T5" s="931"/>
      <c r="U5" s="931"/>
      <c r="V5" s="931"/>
      <c r="W5" s="170"/>
    </row>
    <row r="6" spans="1:23">
      <c r="B6" s="3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920" t="s">
        <v>12</v>
      </c>
      <c r="N6" s="215"/>
      <c r="O6" s="934" t="s">
        <v>13</v>
      </c>
      <c r="P6" s="934"/>
      <c r="Q6" s="225" t="s">
        <v>14</v>
      </c>
      <c r="R6" s="129" t="s">
        <v>15</v>
      </c>
      <c r="S6" s="941">
        <v>368.55</v>
      </c>
      <c r="T6" s="941"/>
      <c r="U6" s="941"/>
      <c r="V6" s="941"/>
      <c r="W6" s="170"/>
    </row>
    <row r="7" spans="1:23" ht="42" customHeight="1">
      <c r="B7" s="312"/>
      <c r="C7" s="216"/>
      <c r="D7" s="217" t="s">
        <v>16</v>
      </c>
      <c r="E7" s="217" t="s">
        <v>17</v>
      </c>
      <c r="F7" s="217"/>
      <c r="G7" s="217" t="s">
        <v>16</v>
      </c>
      <c r="H7" s="918" t="s">
        <v>50</v>
      </c>
      <c r="I7" s="217" t="s">
        <v>16</v>
      </c>
      <c r="J7" s="217" t="s">
        <v>17</v>
      </c>
      <c r="K7" s="217" t="s">
        <v>16</v>
      </c>
      <c r="L7" s="217" t="s">
        <v>18</v>
      </c>
      <c r="M7" s="921"/>
      <c r="N7" s="217"/>
      <c r="O7" s="217" t="s">
        <v>16</v>
      </c>
      <c r="P7" s="217" t="s">
        <v>17</v>
      </c>
      <c r="Q7" s="226"/>
      <c r="R7" s="129" t="s">
        <v>19</v>
      </c>
      <c r="S7" s="941">
        <f>+S6*0.75%</f>
        <v>2.7641249999999999</v>
      </c>
      <c r="T7" s="941"/>
      <c r="U7" s="941"/>
      <c r="V7" s="941"/>
      <c r="W7" s="170"/>
    </row>
    <row r="8" spans="1:23">
      <c r="B8" s="312"/>
      <c r="C8" s="216"/>
      <c r="D8" s="217" t="s">
        <v>21</v>
      </c>
      <c r="E8" s="217" t="s">
        <v>22</v>
      </c>
      <c r="F8" s="217"/>
      <c r="G8" s="217" t="s">
        <v>21</v>
      </c>
      <c r="H8" s="919"/>
      <c r="I8" s="217" t="s">
        <v>21</v>
      </c>
      <c r="J8" s="217" t="s">
        <v>22</v>
      </c>
      <c r="K8" s="217" t="s">
        <v>21</v>
      </c>
      <c r="L8" s="217" t="s">
        <v>22</v>
      </c>
      <c r="M8" s="919"/>
      <c r="N8" s="217" t="s">
        <v>23</v>
      </c>
      <c r="O8" s="217" t="s">
        <v>21</v>
      </c>
      <c r="P8" s="217" t="s">
        <v>22</v>
      </c>
      <c r="Q8" s="226"/>
      <c r="R8" s="129" t="s">
        <v>24</v>
      </c>
      <c r="S8" s="941">
        <f>S6+S7</f>
        <v>371.31412499999999</v>
      </c>
      <c r="T8" s="941"/>
      <c r="U8" s="941"/>
      <c r="V8" s="941"/>
      <c r="W8" s="170"/>
    </row>
    <row r="9" spans="1:23">
      <c r="B9" s="312">
        <v>1</v>
      </c>
      <c r="C9" s="216"/>
      <c r="D9" s="216">
        <v>7</v>
      </c>
      <c r="E9" s="219">
        <f t="shared" ref="E9:E39" si="0">$S$8*D9/1000</f>
        <v>2.5991988749999999</v>
      </c>
      <c r="F9" s="216"/>
      <c r="G9" s="216"/>
      <c r="H9" s="832">
        <f t="shared" ref="H9:H39" si="1">$S$8*G9/1000</f>
        <v>0</v>
      </c>
      <c r="I9" s="218">
        <f t="shared" ref="I9:I39" si="2">D9+G9</f>
        <v>7</v>
      </c>
      <c r="J9" s="219">
        <f t="shared" ref="J9:J39" si="3">$S$8*I9/1000</f>
        <v>2.5991988749999999</v>
      </c>
      <c r="K9" s="216"/>
      <c r="L9" s="219">
        <f>K9*S$6/1000</f>
        <v>0</v>
      </c>
      <c r="M9" s="832">
        <f>K9*S$8/1000</f>
        <v>0</v>
      </c>
      <c r="N9" s="218">
        <f t="shared" ref="N9:N39" si="4">K9*S$7/1000</f>
        <v>0</v>
      </c>
      <c r="O9" s="838">
        <f>D9+G9-K9</f>
        <v>7</v>
      </c>
      <c r="P9" s="219">
        <f t="shared" ref="P9:P39" si="5">$S$8*O9/1000</f>
        <v>2.5991988749999999</v>
      </c>
      <c r="Q9" s="216"/>
      <c r="W9" s="170"/>
    </row>
    <row r="10" spans="1:23">
      <c r="B10" s="312">
        <v>2</v>
      </c>
      <c r="C10" s="216"/>
      <c r="D10" s="838">
        <f>+O9</f>
        <v>7</v>
      </c>
      <c r="E10" s="219">
        <f t="shared" si="0"/>
        <v>2.5991988749999999</v>
      </c>
      <c r="F10" s="216"/>
      <c r="G10" s="216"/>
      <c r="H10" s="832">
        <f t="shared" si="1"/>
        <v>0</v>
      </c>
      <c r="I10" s="218">
        <f t="shared" si="2"/>
        <v>7</v>
      </c>
      <c r="J10" s="219">
        <f t="shared" si="3"/>
        <v>2.5991988749999999</v>
      </c>
      <c r="K10" s="216"/>
      <c r="L10" s="219">
        <f>K10*S$6/1000</f>
        <v>0</v>
      </c>
      <c r="M10" s="832">
        <f t="shared" ref="M10:M39" si="6">K10*S$8/1000</f>
        <v>0</v>
      </c>
      <c r="N10" s="218">
        <f t="shared" si="4"/>
        <v>0</v>
      </c>
      <c r="O10" s="838">
        <f t="shared" ref="O10:O39" si="7">I10-K10</f>
        <v>7</v>
      </c>
      <c r="P10" s="219">
        <f t="shared" si="5"/>
        <v>2.5991988749999999</v>
      </c>
      <c r="Q10" s="216"/>
    </row>
    <row r="11" spans="1:23">
      <c r="B11" s="312">
        <v>3</v>
      </c>
      <c r="C11" s="216"/>
      <c r="D11" s="838">
        <f>+O10</f>
        <v>7</v>
      </c>
      <c r="E11" s="219">
        <f t="shared" si="0"/>
        <v>2.5991988749999999</v>
      </c>
      <c r="F11" s="216"/>
      <c r="G11" s="216">
        <v>0</v>
      </c>
      <c r="H11" s="832">
        <f t="shared" si="1"/>
        <v>0</v>
      </c>
      <c r="I11" s="218">
        <f t="shared" si="2"/>
        <v>7</v>
      </c>
      <c r="J11" s="219">
        <f t="shared" si="3"/>
        <v>2.5991988749999999</v>
      </c>
      <c r="K11" s="216"/>
      <c r="L11" s="219">
        <f t="shared" ref="L11:L39" si="8">K11*S$6/1000</f>
        <v>0</v>
      </c>
      <c r="M11" s="832">
        <f t="shared" si="6"/>
        <v>0</v>
      </c>
      <c r="N11" s="218">
        <f t="shared" si="4"/>
        <v>0</v>
      </c>
      <c r="O11" s="838">
        <f t="shared" si="7"/>
        <v>7</v>
      </c>
      <c r="P11" s="219">
        <f t="shared" si="5"/>
        <v>2.5991988749999999</v>
      </c>
      <c r="Q11" s="216"/>
    </row>
    <row r="12" spans="1:23">
      <c r="B12" s="312">
        <v>4</v>
      </c>
      <c r="C12" s="216"/>
      <c r="D12" s="838">
        <f t="shared" ref="D12:D22" si="9">+O11</f>
        <v>7</v>
      </c>
      <c r="E12" s="219">
        <f t="shared" si="0"/>
        <v>2.5991988749999999</v>
      </c>
      <c r="F12" s="216"/>
      <c r="G12" s="216">
        <v>0</v>
      </c>
      <c r="H12" s="832">
        <f t="shared" si="1"/>
        <v>0</v>
      </c>
      <c r="I12" s="218">
        <f t="shared" si="2"/>
        <v>7</v>
      </c>
      <c r="J12" s="219">
        <f t="shared" si="3"/>
        <v>2.5991988749999999</v>
      </c>
      <c r="K12" s="216"/>
      <c r="L12" s="219">
        <f t="shared" si="8"/>
        <v>0</v>
      </c>
      <c r="M12" s="832">
        <f t="shared" si="6"/>
        <v>0</v>
      </c>
      <c r="N12" s="218">
        <f t="shared" si="4"/>
        <v>0</v>
      </c>
      <c r="O12" s="838">
        <f t="shared" si="7"/>
        <v>7</v>
      </c>
      <c r="P12" s="219">
        <f t="shared" si="5"/>
        <v>2.5991988749999999</v>
      </c>
      <c r="Q12" s="216"/>
    </row>
    <row r="13" spans="1:23">
      <c r="B13" s="312">
        <v>5</v>
      </c>
      <c r="C13" s="216"/>
      <c r="D13" s="838">
        <f t="shared" si="9"/>
        <v>7</v>
      </c>
      <c r="E13" s="219">
        <f t="shared" si="0"/>
        <v>2.5991988749999999</v>
      </c>
      <c r="F13" s="216"/>
      <c r="G13" s="216">
        <v>2</v>
      </c>
      <c r="H13" s="832">
        <f t="shared" si="1"/>
        <v>0.74262824999999999</v>
      </c>
      <c r="I13" s="218">
        <f t="shared" si="2"/>
        <v>9</v>
      </c>
      <c r="J13" s="219">
        <f t="shared" si="3"/>
        <v>3.341827125</v>
      </c>
      <c r="K13" s="216">
        <v>7</v>
      </c>
      <c r="L13" s="219">
        <f t="shared" si="8"/>
        <v>2.57985</v>
      </c>
      <c r="M13" s="832">
        <f t="shared" si="6"/>
        <v>2.5991988749999999</v>
      </c>
      <c r="N13" s="218">
        <f t="shared" si="4"/>
        <v>1.9348874999999998E-2</v>
      </c>
      <c r="O13" s="838">
        <f t="shared" si="7"/>
        <v>2</v>
      </c>
      <c r="P13" s="219">
        <f t="shared" si="5"/>
        <v>0.74262824999999999</v>
      </c>
      <c r="Q13" s="216"/>
    </row>
    <row r="14" spans="1:23">
      <c r="B14" s="312">
        <v>6</v>
      </c>
      <c r="C14" s="216"/>
      <c r="D14" s="838">
        <f t="shared" si="9"/>
        <v>2</v>
      </c>
      <c r="E14" s="219">
        <f t="shared" si="0"/>
        <v>0.74262824999999999</v>
      </c>
      <c r="F14" s="216"/>
      <c r="G14" s="216">
        <v>6</v>
      </c>
      <c r="H14" s="832">
        <f t="shared" si="1"/>
        <v>2.2278847500000003</v>
      </c>
      <c r="I14" s="218">
        <f t="shared" si="2"/>
        <v>8</v>
      </c>
      <c r="J14" s="219">
        <f t="shared" si="3"/>
        <v>2.970513</v>
      </c>
      <c r="K14" s="216"/>
      <c r="L14" s="219">
        <f t="shared" si="8"/>
        <v>0</v>
      </c>
      <c r="M14" s="832">
        <f t="shared" si="6"/>
        <v>0</v>
      </c>
      <c r="N14" s="218">
        <f t="shared" si="4"/>
        <v>0</v>
      </c>
      <c r="O14" s="838">
        <f t="shared" si="7"/>
        <v>8</v>
      </c>
      <c r="P14" s="219">
        <f t="shared" si="5"/>
        <v>2.970513</v>
      </c>
      <c r="Q14" s="216"/>
    </row>
    <row r="15" spans="1:23">
      <c r="B15" s="312">
        <v>7</v>
      </c>
      <c r="C15" s="216"/>
      <c r="D15" s="838">
        <f t="shared" si="9"/>
        <v>8</v>
      </c>
      <c r="E15" s="219">
        <f t="shared" si="0"/>
        <v>2.970513</v>
      </c>
      <c r="F15" s="216"/>
      <c r="G15" s="216">
        <v>0</v>
      </c>
      <c r="H15" s="832">
        <f t="shared" si="1"/>
        <v>0</v>
      </c>
      <c r="I15" s="218">
        <f t="shared" si="2"/>
        <v>8</v>
      </c>
      <c r="J15" s="219">
        <f t="shared" si="3"/>
        <v>2.970513</v>
      </c>
      <c r="K15" s="216"/>
      <c r="L15" s="219">
        <f t="shared" si="8"/>
        <v>0</v>
      </c>
      <c r="M15" s="832">
        <f t="shared" si="6"/>
        <v>0</v>
      </c>
      <c r="N15" s="218">
        <f t="shared" si="4"/>
        <v>0</v>
      </c>
      <c r="O15" s="838">
        <f t="shared" si="7"/>
        <v>8</v>
      </c>
      <c r="P15" s="219">
        <f t="shared" si="5"/>
        <v>2.970513</v>
      </c>
      <c r="Q15" s="216"/>
    </row>
    <row r="16" spans="1:23">
      <c r="B16" s="312">
        <v>8</v>
      </c>
      <c r="C16" s="216"/>
      <c r="D16" s="838">
        <f t="shared" si="9"/>
        <v>8</v>
      </c>
      <c r="E16" s="219">
        <f t="shared" si="0"/>
        <v>2.970513</v>
      </c>
      <c r="F16" s="216"/>
      <c r="G16" s="216">
        <v>0</v>
      </c>
      <c r="H16" s="832">
        <f t="shared" si="1"/>
        <v>0</v>
      </c>
      <c r="I16" s="218">
        <f t="shared" si="2"/>
        <v>8</v>
      </c>
      <c r="J16" s="219">
        <f t="shared" si="3"/>
        <v>2.970513</v>
      </c>
      <c r="K16" s="216"/>
      <c r="L16" s="219">
        <f t="shared" si="8"/>
        <v>0</v>
      </c>
      <c r="M16" s="832">
        <f t="shared" si="6"/>
        <v>0</v>
      </c>
      <c r="N16" s="218">
        <f t="shared" si="4"/>
        <v>0</v>
      </c>
      <c r="O16" s="838">
        <f t="shared" si="7"/>
        <v>8</v>
      </c>
      <c r="P16" s="219">
        <f t="shared" si="5"/>
        <v>2.970513</v>
      </c>
      <c r="Q16" s="216"/>
    </row>
    <row r="17" spans="2:17">
      <c r="B17" s="312">
        <v>9</v>
      </c>
      <c r="C17" s="216"/>
      <c r="D17" s="838">
        <f t="shared" si="9"/>
        <v>8</v>
      </c>
      <c r="E17" s="219">
        <f t="shared" si="0"/>
        <v>2.970513</v>
      </c>
      <c r="F17" s="216"/>
      <c r="G17" s="216">
        <v>12</v>
      </c>
      <c r="H17" s="832">
        <f t="shared" si="1"/>
        <v>4.4557695000000006</v>
      </c>
      <c r="I17" s="218">
        <f t="shared" si="2"/>
        <v>20</v>
      </c>
      <c r="J17" s="219">
        <f t="shared" si="3"/>
        <v>7.4262824999999992</v>
      </c>
      <c r="K17" s="216"/>
      <c r="L17" s="219">
        <f t="shared" si="8"/>
        <v>0</v>
      </c>
      <c r="M17" s="832">
        <f t="shared" si="6"/>
        <v>0</v>
      </c>
      <c r="N17" s="218">
        <f t="shared" si="4"/>
        <v>0</v>
      </c>
      <c r="O17" s="838">
        <f t="shared" si="7"/>
        <v>20</v>
      </c>
      <c r="P17" s="219">
        <f t="shared" si="5"/>
        <v>7.4262824999999992</v>
      </c>
      <c r="Q17" s="216"/>
    </row>
    <row r="18" spans="2:17">
      <c r="B18" s="312">
        <v>10</v>
      </c>
      <c r="C18" s="216"/>
      <c r="D18" s="838">
        <f t="shared" si="9"/>
        <v>20</v>
      </c>
      <c r="E18" s="219">
        <f t="shared" si="0"/>
        <v>7.4262824999999992</v>
      </c>
      <c r="F18" s="216"/>
      <c r="G18" s="216"/>
      <c r="H18" s="832">
        <f t="shared" si="1"/>
        <v>0</v>
      </c>
      <c r="I18" s="218">
        <f t="shared" si="2"/>
        <v>20</v>
      </c>
      <c r="J18" s="219">
        <f t="shared" si="3"/>
        <v>7.4262824999999992</v>
      </c>
      <c r="K18" s="216"/>
      <c r="L18" s="219">
        <f t="shared" si="8"/>
        <v>0</v>
      </c>
      <c r="M18" s="832">
        <f t="shared" si="6"/>
        <v>0</v>
      </c>
      <c r="N18" s="218">
        <f t="shared" si="4"/>
        <v>0</v>
      </c>
      <c r="O18" s="838">
        <f t="shared" si="7"/>
        <v>20</v>
      </c>
      <c r="P18" s="219">
        <f t="shared" si="5"/>
        <v>7.4262824999999992</v>
      </c>
      <c r="Q18" s="216"/>
    </row>
    <row r="19" spans="2:17">
      <c r="B19" s="312">
        <v>11</v>
      </c>
      <c r="C19" s="216"/>
      <c r="D19" s="838">
        <f t="shared" si="9"/>
        <v>20</v>
      </c>
      <c r="E19" s="219">
        <f t="shared" si="0"/>
        <v>7.4262824999999992</v>
      </c>
      <c r="F19" s="216"/>
      <c r="G19" s="216"/>
      <c r="H19" s="832">
        <f t="shared" si="1"/>
        <v>0</v>
      </c>
      <c r="I19" s="218">
        <f t="shared" si="2"/>
        <v>20</v>
      </c>
      <c r="J19" s="219">
        <f t="shared" si="3"/>
        <v>7.4262824999999992</v>
      </c>
      <c r="K19" s="216"/>
      <c r="L19" s="219">
        <f t="shared" si="8"/>
        <v>0</v>
      </c>
      <c r="M19" s="832">
        <f t="shared" si="6"/>
        <v>0</v>
      </c>
      <c r="N19" s="218">
        <f t="shared" si="4"/>
        <v>0</v>
      </c>
      <c r="O19" s="838">
        <f t="shared" si="7"/>
        <v>20</v>
      </c>
      <c r="P19" s="219">
        <f t="shared" si="5"/>
        <v>7.4262824999999992</v>
      </c>
      <c r="Q19" s="216"/>
    </row>
    <row r="20" spans="2:17">
      <c r="B20" s="312">
        <v>12</v>
      </c>
      <c r="C20" s="216"/>
      <c r="D20" s="838">
        <f t="shared" si="9"/>
        <v>20</v>
      </c>
      <c r="E20" s="219">
        <f t="shared" si="0"/>
        <v>7.4262824999999992</v>
      </c>
      <c r="F20" s="216"/>
      <c r="G20" s="216">
        <v>7</v>
      </c>
      <c r="H20" s="832">
        <f t="shared" si="1"/>
        <v>2.5991988749999999</v>
      </c>
      <c r="I20" s="218">
        <f t="shared" si="2"/>
        <v>27</v>
      </c>
      <c r="J20" s="219">
        <f t="shared" si="3"/>
        <v>10.025481375</v>
      </c>
      <c r="K20" s="216"/>
      <c r="L20" s="219">
        <f t="shared" si="8"/>
        <v>0</v>
      </c>
      <c r="M20" s="832">
        <f t="shared" si="6"/>
        <v>0</v>
      </c>
      <c r="N20" s="218">
        <f t="shared" si="4"/>
        <v>0</v>
      </c>
      <c r="O20" s="838">
        <f t="shared" si="7"/>
        <v>27</v>
      </c>
      <c r="P20" s="219">
        <f t="shared" si="5"/>
        <v>10.025481375</v>
      </c>
      <c r="Q20" s="216"/>
    </row>
    <row r="21" spans="2:17">
      <c r="B21" s="312">
        <v>13</v>
      </c>
      <c r="C21" s="216"/>
      <c r="D21" s="838">
        <f t="shared" si="9"/>
        <v>27</v>
      </c>
      <c r="E21" s="219">
        <f t="shared" si="0"/>
        <v>10.025481375</v>
      </c>
      <c r="F21" s="216"/>
      <c r="G21" s="216"/>
      <c r="H21" s="832">
        <f t="shared" si="1"/>
        <v>0</v>
      </c>
      <c r="I21" s="218">
        <f t="shared" si="2"/>
        <v>27</v>
      </c>
      <c r="J21" s="219">
        <f t="shared" si="3"/>
        <v>10.025481375</v>
      </c>
      <c r="K21" s="216"/>
      <c r="L21" s="219">
        <f t="shared" si="8"/>
        <v>0</v>
      </c>
      <c r="M21" s="832">
        <f t="shared" si="6"/>
        <v>0</v>
      </c>
      <c r="N21" s="218">
        <f t="shared" si="4"/>
        <v>0</v>
      </c>
      <c r="O21" s="838">
        <f t="shared" si="7"/>
        <v>27</v>
      </c>
      <c r="P21" s="219">
        <f t="shared" si="5"/>
        <v>10.025481375</v>
      </c>
      <c r="Q21" s="216"/>
    </row>
    <row r="22" spans="2:17">
      <c r="B22" s="312">
        <v>14</v>
      </c>
      <c r="C22" s="216"/>
      <c r="D22" s="838">
        <f t="shared" si="9"/>
        <v>27</v>
      </c>
      <c r="E22" s="219">
        <f t="shared" si="0"/>
        <v>10.025481375</v>
      </c>
      <c r="F22" s="216"/>
      <c r="G22" s="216"/>
      <c r="H22" s="832">
        <f t="shared" si="1"/>
        <v>0</v>
      </c>
      <c r="I22" s="218">
        <f t="shared" si="2"/>
        <v>27</v>
      </c>
      <c r="J22" s="219">
        <f t="shared" si="3"/>
        <v>10.025481375</v>
      </c>
      <c r="K22" s="216"/>
      <c r="L22" s="219">
        <f t="shared" si="8"/>
        <v>0</v>
      </c>
      <c r="M22" s="832">
        <f t="shared" si="6"/>
        <v>0</v>
      </c>
      <c r="N22" s="218">
        <f t="shared" si="4"/>
        <v>0</v>
      </c>
      <c r="O22" s="838">
        <f t="shared" si="7"/>
        <v>27</v>
      </c>
      <c r="P22" s="219">
        <f t="shared" si="5"/>
        <v>10.025481375</v>
      </c>
      <c r="Q22" s="216"/>
    </row>
    <row r="23" spans="2:17">
      <c r="B23" s="312">
        <v>15</v>
      </c>
      <c r="C23" s="216"/>
      <c r="D23" s="838">
        <f t="shared" ref="D23:D39" si="10">+O22</f>
        <v>27</v>
      </c>
      <c r="E23" s="219">
        <f t="shared" si="0"/>
        <v>10.025481375</v>
      </c>
      <c r="F23" s="216"/>
      <c r="G23" s="216"/>
      <c r="H23" s="832">
        <f t="shared" si="1"/>
        <v>0</v>
      </c>
      <c r="I23" s="218">
        <f t="shared" si="2"/>
        <v>27</v>
      </c>
      <c r="J23" s="219">
        <f t="shared" si="3"/>
        <v>10.025481375</v>
      </c>
      <c r="K23" s="216"/>
      <c r="L23" s="219">
        <f t="shared" si="8"/>
        <v>0</v>
      </c>
      <c r="M23" s="832">
        <f t="shared" si="6"/>
        <v>0</v>
      </c>
      <c r="N23" s="218">
        <f t="shared" si="4"/>
        <v>0</v>
      </c>
      <c r="O23" s="838">
        <f t="shared" si="7"/>
        <v>27</v>
      </c>
      <c r="P23" s="219">
        <f t="shared" si="5"/>
        <v>10.025481375</v>
      </c>
      <c r="Q23" s="216"/>
    </row>
    <row r="24" spans="2:17">
      <c r="B24" s="312">
        <v>16</v>
      </c>
      <c r="C24" s="216"/>
      <c r="D24" s="838">
        <f t="shared" si="10"/>
        <v>27</v>
      </c>
      <c r="E24" s="219">
        <f t="shared" si="0"/>
        <v>10.025481375</v>
      </c>
      <c r="F24" s="216"/>
      <c r="G24" s="216">
        <v>9</v>
      </c>
      <c r="H24" s="832">
        <f t="shared" si="1"/>
        <v>3.341827125</v>
      </c>
      <c r="I24" s="218">
        <f t="shared" si="2"/>
        <v>36</v>
      </c>
      <c r="J24" s="219">
        <f t="shared" si="3"/>
        <v>13.3673085</v>
      </c>
      <c r="K24" s="216">
        <v>36</v>
      </c>
      <c r="L24" s="219">
        <f t="shared" si="8"/>
        <v>13.267800000000001</v>
      </c>
      <c r="M24" s="832">
        <f t="shared" si="6"/>
        <v>13.3673085</v>
      </c>
      <c r="N24" s="218">
        <f t="shared" si="4"/>
        <v>9.95085E-2</v>
      </c>
      <c r="O24" s="838">
        <f t="shared" si="7"/>
        <v>0</v>
      </c>
      <c r="P24" s="219">
        <f t="shared" si="5"/>
        <v>0</v>
      </c>
      <c r="Q24" s="216"/>
    </row>
    <row r="25" spans="2:17">
      <c r="B25" s="312">
        <v>17</v>
      </c>
      <c r="C25" s="216"/>
      <c r="D25" s="838">
        <f t="shared" si="10"/>
        <v>0</v>
      </c>
      <c r="E25" s="219">
        <f t="shared" si="0"/>
        <v>0</v>
      </c>
      <c r="F25" s="216"/>
      <c r="G25" s="216"/>
      <c r="H25" s="832">
        <f t="shared" si="1"/>
        <v>0</v>
      </c>
      <c r="I25" s="218">
        <f t="shared" si="2"/>
        <v>0</v>
      </c>
      <c r="J25" s="219">
        <f t="shared" si="3"/>
        <v>0</v>
      </c>
      <c r="K25" s="216"/>
      <c r="L25" s="219">
        <f t="shared" si="8"/>
        <v>0</v>
      </c>
      <c r="M25" s="832">
        <f t="shared" si="6"/>
        <v>0</v>
      </c>
      <c r="N25" s="218">
        <f t="shared" si="4"/>
        <v>0</v>
      </c>
      <c r="O25" s="838">
        <f t="shared" si="7"/>
        <v>0</v>
      </c>
      <c r="P25" s="219">
        <f t="shared" si="5"/>
        <v>0</v>
      </c>
      <c r="Q25" s="216"/>
    </row>
    <row r="26" spans="2:17">
      <c r="B26" s="312">
        <v>18</v>
      </c>
      <c r="C26" s="216"/>
      <c r="D26" s="838">
        <f t="shared" si="10"/>
        <v>0</v>
      </c>
      <c r="E26" s="219">
        <f t="shared" si="0"/>
        <v>0</v>
      </c>
      <c r="F26" s="216"/>
      <c r="G26" s="216"/>
      <c r="H26" s="832">
        <f t="shared" si="1"/>
        <v>0</v>
      </c>
      <c r="I26" s="218">
        <f t="shared" si="2"/>
        <v>0</v>
      </c>
      <c r="J26" s="219">
        <f t="shared" si="3"/>
        <v>0</v>
      </c>
      <c r="K26" s="216"/>
      <c r="L26" s="219">
        <f t="shared" si="8"/>
        <v>0</v>
      </c>
      <c r="M26" s="832">
        <f t="shared" si="6"/>
        <v>0</v>
      </c>
      <c r="N26" s="218">
        <f t="shared" si="4"/>
        <v>0</v>
      </c>
      <c r="O26" s="838">
        <f t="shared" si="7"/>
        <v>0</v>
      </c>
      <c r="P26" s="219">
        <f t="shared" si="5"/>
        <v>0</v>
      </c>
      <c r="Q26" s="216"/>
    </row>
    <row r="27" spans="2:17">
      <c r="B27" s="312">
        <v>19</v>
      </c>
      <c r="C27" s="216"/>
      <c r="D27" s="838">
        <f t="shared" si="10"/>
        <v>0</v>
      </c>
      <c r="E27" s="219">
        <f t="shared" si="0"/>
        <v>0</v>
      </c>
      <c r="F27" s="216"/>
      <c r="G27" s="216"/>
      <c r="H27" s="832">
        <f t="shared" si="1"/>
        <v>0</v>
      </c>
      <c r="I27" s="218">
        <f t="shared" si="2"/>
        <v>0</v>
      </c>
      <c r="J27" s="219">
        <f t="shared" si="3"/>
        <v>0</v>
      </c>
      <c r="K27" s="216"/>
      <c r="L27" s="219">
        <f t="shared" si="8"/>
        <v>0</v>
      </c>
      <c r="M27" s="832">
        <f t="shared" si="6"/>
        <v>0</v>
      </c>
      <c r="N27" s="218">
        <f t="shared" si="4"/>
        <v>0</v>
      </c>
      <c r="O27" s="838">
        <f t="shared" si="7"/>
        <v>0</v>
      </c>
      <c r="P27" s="219">
        <f t="shared" si="5"/>
        <v>0</v>
      </c>
      <c r="Q27" s="216"/>
    </row>
    <row r="28" spans="2:17">
      <c r="B28" s="312">
        <v>20</v>
      </c>
      <c r="C28" s="216"/>
      <c r="D28" s="838">
        <f t="shared" si="10"/>
        <v>0</v>
      </c>
      <c r="E28" s="219">
        <f t="shared" si="0"/>
        <v>0</v>
      </c>
      <c r="F28" s="216"/>
      <c r="G28" s="216"/>
      <c r="H28" s="832">
        <f t="shared" si="1"/>
        <v>0</v>
      </c>
      <c r="I28" s="218">
        <f t="shared" si="2"/>
        <v>0</v>
      </c>
      <c r="J28" s="219">
        <f t="shared" si="3"/>
        <v>0</v>
      </c>
      <c r="K28" s="216"/>
      <c r="L28" s="219">
        <f t="shared" si="8"/>
        <v>0</v>
      </c>
      <c r="M28" s="832">
        <f t="shared" si="6"/>
        <v>0</v>
      </c>
      <c r="N28" s="218">
        <f t="shared" si="4"/>
        <v>0</v>
      </c>
      <c r="O28" s="838">
        <f t="shared" si="7"/>
        <v>0</v>
      </c>
      <c r="P28" s="219">
        <f t="shared" si="5"/>
        <v>0</v>
      </c>
      <c r="Q28" s="216"/>
    </row>
    <row r="29" spans="2:17">
      <c r="B29" s="312">
        <v>21</v>
      </c>
      <c r="C29" s="216"/>
      <c r="D29" s="838">
        <f t="shared" si="10"/>
        <v>0</v>
      </c>
      <c r="E29" s="219">
        <f t="shared" si="0"/>
        <v>0</v>
      </c>
      <c r="F29" s="216"/>
      <c r="G29" s="216"/>
      <c r="H29" s="832">
        <f t="shared" si="1"/>
        <v>0</v>
      </c>
      <c r="I29" s="218">
        <f t="shared" si="2"/>
        <v>0</v>
      </c>
      <c r="J29" s="219">
        <f t="shared" si="3"/>
        <v>0</v>
      </c>
      <c r="K29" s="216"/>
      <c r="L29" s="219">
        <f t="shared" si="8"/>
        <v>0</v>
      </c>
      <c r="M29" s="832">
        <f t="shared" si="6"/>
        <v>0</v>
      </c>
      <c r="N29" s="218">
        <f t="shared" si="4"/>
        <v>0</v>
      </c>
      <c r="O29" s="838">
        <f t="shared" si="7"/>
        <v>0</v>
      </c>
      <c r="P29" s="219">
        <f t="shared" si="5"/>
        <v>0</v>
      </c>
      <c r="Q29" s="216"/>
    </row>
    <row r="30" spans="2:17">
      <c r="B30" s="312">
        <v>22</v>
      </c>
      <c r="C30" s="216"/>
      <c r="D30" s="838">
        <f t="shared" si="10"/>
        <v>0</v>
      </c>
      <c r="E30" s="219">
        <f t="shared" si="0"/>
        <v>0</v>
      </c>
      <c r="F30" s="216"/>
      <c r="G30" s="216">
        <v>6</v>
      </c>
      <c r="H30" s="832">
        <f t="shared" si="1"/>
        <v>2.2278847500000003</v>
      </c>
      <c r="I30" s="218">
        <f t="shared" si="2"/>
        <v>6</v>
      </c>
      <c r="J30" s="219">
        <f t="shared" si="3"/>
        <v>2.2278847500000003</v>
      </c>
      <c r="K30" s="216"/>
      <c r="L30" s="219">
        <f t="shared" si="8"/>
        <v>0</v>
      </c>
      <c r="M30" s="832">
        <f t="shared" si="6"/>
        <v>0</v>
      </c>
      <c r="N30" s="218">
        <f t="shared" si="4"/>
        <v>0</v>
      </c>
      <c r="O30" s="838">
        <f t="shared" si="7"/>
        <v>6</v>
      </c>
      <c r="P30" s="219">
        <f t="shared" si="5"/>
        <v>2.2278847500000003</v>
      </c>
      <c r="Q30" s="216"/>
    </row>
    <row r="31" spans="2:17">
      <c r="B31" s="312">
        <v>23</v>
      </c>
      <c r="C31" s="216"/>
      <c r="D31" s="838">
        <f t="shared" si="10"/>
        <v>6</v>
      </c>
      <c r="E31" s="219">
        <f t="shared" si="0"/>
        <v>2.2278847500000003</v>
      </c>
      <c r="F31" s="216"/>
      <c r="G31" s="216">
        <v>5</v>
      </c>
      <c r="H31" s="832">
        <f t="shared" si="1"/>
        <v>1.8565706249999998</v>
      </c>
      <c r="I31" s="218">
        <f t="shared" si="2"/>
        <v>11</v>
      </c>
      <c r="J31" s="219">
        <f t="shared" si="3"/>
        <v>4.0844553750000001</v>
      </c>
      <c r="K31" s="216"/>
      <c r="L31" s="219">
        <f t="shared" si="8"/>
        <v>0</v>
      </c>
      <c r="M31" s="832">
        <f t="shared" si="6"/>
        <v>0</v>
      </c>
      <c r="N31" s="218">
        <f t="shared" si="4"/>
        <v>0</v>
      </c>
      <c r="O31" s="838">
        <f t="shared" si="7"/>
        <v>11</v>
      </c>
      <c r="P31" s="219">
        <f t="shared" si="5"/>
        <v>4.0844553750000001</v>
      </c>
      <c r="Q31" s="216"/>
    </row>
    <row r="32" spans="2:17">
      <c r="B32" s="312">
        <v>24</v>
      </c>
      <c r="C32" s="216"/>
      <c r="D32" s="838">
        <f t="shared" si="10"/>
        <v>11</v>
      </c>
      <c r="E32" s="219">
        <f t="shared" si="0"/>
        <v>4.0844553750000001</v>
      </c>
      <c r="F32" s="216"/>
      <c r="G32" s="216">
        <v>12</v>
      </c>
      <c r="H32" s="832">
        <f t="shared" si="1"/>
        <v>4.4557695000000006</v>
      </c>
      <c r="I32" s="218">
        <f t="shared" si="2"/>
        <v>23</v>
      </c>
      <c r="J32" s="219">
        <f t="shared" si="3"/>
        <v>8.5402248749999998</v>
      </c>
      <c r="K32" s="216"/>
      <c r="L32" s="219">
        <f t="shared" si="8"/>
        <v>0</v>
      </c>
      <c r="M32" s="832">
        <f t="shared" si="6"/>
        <v>0</v>
      </c>
      <c r="N32" s="218">
        <f t="shared" si="4"/>
        <v>0</v>
      </c>
      <c r="O32" s="838">
        <f t="shared" si="7"/>
        <v>23</v>
      </c>
      <c r="P32" s="219">
        <f t="shared" si="5"/>
        <v>8.5402248749999998</v>
      </c>
      <c r="Q32" s="216"/>
    </row>
    <row r="33" spans="2:17">
      <c r="B33" s="312">
        <v>25</v>
      </c>
      <c r="C33" s="216"/>
      <c r="D33" s="838">
        <f t="shared" si="10"/>
        <v>23</v>
      </c>
      <c r="E33" s="219">
        <f t="shared" si="0"/>
        <v>8.5402248749999998</v>
      </c>
      <c r="F33" s="216"/>
      <c r="G33" s="216"/>
      <c r="H33" s="832">
        <f t="shared" si="1"/>
        <v>0</v>
      </c>
      <c r="I33" s="218">
        <f t="shared" si="2"/>
        <v>23</v>
      </c>
      <c r="J33" s="219">
        <f t="shared" si="3"/>
        <v>8.5402248749999998</v>
      </c>
      <c r="K33" s="216"/>
      <c r="L33" s="219">
        <f t="shared" si="8"/>
        <v>0</v>
      </c>
      <c r="M33" s="832">
        <f t="shared" si="6"/>
        <v>0</v>
      </c>
      <c r="N33" s="218">
        <f t="shared" si="4"/>
        <v>0</v>
      </c>
      <c r="O33" s="838">
        <f t="shared" si="7"/>
        <v>23</v>
      </c>
      <c r="P33" s="219">
        <f t="shared" si="5"/>
        <v>8.5402248749999998</v>
      </c>
      <c r="Q33" s="216"/>
    </row>
    <row r="34" spans="2:17">
      <c r="B34" s="312">
        <v>26</v>
      </c>
      <c r="C34" s="216"/>
      <c r="D34" s="838">
        <f t="shared" si="10"/>
        <v>23</v>
      </c>
      <c r="E34" s="219">
        <f t="shared" si="0"/>
        <v>8.5402248749999998</v>
      </c>
      <c r="F34" s="216"/>
      <c r="G34" s="216">
        <v>4</v>
      </c>
      <c r="H34" s="832">
        <f t="shared" si="1"/>
        <v>1.4852565</v>
      </c>
      <c r="I34" s="218">
        <f t="shared" si="2"/>
        <v>27</v>
      </c>
      <c r="J34" s="219">
        <f t="shared" si="3"/>
        <v>10.025481375</v>
      </c>
      <c r="K34" s="216"/>
      <c r="L34" s="219">
        <f t="shared" si="8"/>
        <v>0</v>
      </c>
      <c r="M34" s="832">
        <f t="shared" si="6"/>
        <v>0</v>
      </c>
      <c r="N34" s="218">
        <f t="shared" si="4"/>
        <v>0</v>
      </c>
      <c r="O34" s="838">
        <f t="shared" si="7"/>
        <v>27</v>
      </c>
      <c r="P34" s="219">
        <f t="shared" si="5"/>
        <v>10.025481375</v>
      </c>
      <c r="Q34" s="216"/>
    </row>
    <row r="35" spans="2:17">
      <c r="B35" s="312">
        <v>27</v>
      </c>
      <c r="C35" s="216"/>
      <c r="D35" s="838">
        <f t="shared" si="10"/>
        <v>27</v>
      </c>
      <c r="E35" s="219">
        <f t="shared" si="0"/>
        <v>10.025481375</v>
      </c>
      <c r="F35" s="216"/>
      <c r="G35" s="216">
        <v>9</v>
      </c>
      <c r="H35" s="832">
        <f t="shared" si="1"/>
        <v>3.341827125</v>
      </c>
      <c r="I35" s="218">
        <f t="shared" si="2"/>
        <v>36</v>
      </c>
      <c r="J35" s="219">
        <f t="shared" si="3"/>
        <v>13.3673085</v>
      </c>
      <c r="K35" s="216">
        <v>30</v>
      </c>
      <c r="L35" s="219">
        <f t="shared" si="8"/>
        <v>11.0565</v>
      </c>
      <c r="M35" s="832">
        <f t="shared" si="6"/>
        <v>11.139423750000001</v>
      </c>
      <c r="N35" s="218">
        <f t="shared" si="4"/>
        <v>8.2923750000000004E-2</v>
      </c>
      <c r="O35" s="838">
        <f t="shared" si="7"/>
        <v>6</v>
      </c>
      <c r="P35" s="219">
        <f t="shared" si="5"/>
        <v>2.2278847500000003</v>
      </c>
      <c r="Q35" s="216"/>
    </row>
    <row r="36" spans="2:17">
      <c r="B36" s="312">
        <v>28</v>
      </c>
      <c r="C36" s="216"/>
      <c r="D36" s="838">
        <f t="shared" si="10"/>
        <v>6</v>
      </c>
      <c r="E36" s="219">
        <f t="shared" si="0"/>
        <v>2.2278847500000003</v>
      </c>
      <c r="F36" s="216"/>
      <c r="G36" s="216"/>
      <c r="H36" s="832">
        <f t="shared" si="1"/>
        <v>0</v>
      </c>
      <c r="I36" s="218">
        <f t="shared" si="2"/>
        <v>6</v>
      </c>
      <c r="J36" s="219">
        <f t="shared" si="3"/>
        <v>2.2278847500000003</v>
      </c>
      <c r="K36" s="216"/>
      <c r="L36" s="219">
        <f t="shared" si="8"/>
        <v>0</v>
      </c>
      <c r="M36" s="832">
        <f t="shared" si="6"/>
        <v>0</v>
      </c>
      <c r="N36" s="218">
        <f t="shared" si="4"/>
        <v>0</v>
      </c>
      <c r="O36" s="838">
        <f t="shared" si="7"/>
        <v>6</v>
      </c>
      <c r="P36" s="219">
        <f t="shared" si="5"/>
        <v>2.2278847500000003</v>
      </c>
      <c r="Q36" s="216"/>
    </row>
    <row r="37" spans="2:17">
      <c r="B37" s="312">
        <v>29</v>
      </c>
      <c r="C37" s="216"/>
      <c r="D37" s="838">
        <f t="shared" si="10"/>
        <v>6</v>
      </c>
      <c r="E37" s="219">
        <f t="shared" si="0"/>
        <v>2.2278847500000003</v>
      </c>
      <c r="F37" s="216"/>
      <c r="G37" s="216">
        <v>4</v>
      </c>
      <c r="H37" s="832">
        <f t="shared" si="1"/>
        <v>1.4852565</v>
      </c>
      <c r="I37" s="218">
        <f t="shared" si="2"/>
        <v>10</v>
      </c>
      <c r="J37" s="219">
        <f t="shared" si="3"/>
        <v>3.7131412499999996</v>
      </c>
      <c r="K37" s="216"/>
      <c r="L37" s="219">
        <f t="shared" si="8"/>
        <v>0</v>
      </c>
      <c r="M37" s="832">
        <f t="shared" si="6"/>
        <v>0</v>
      </c>
      <c r="N37" s="218">
        <f t="shared" si="4"/>
        <v>0</v>
      </c>
      <c r="O37" s="838">
        <f t="shared" si="7"/>
        <v>10</v>
      </c>
      <c r="P37" s="219">
        <f t="shared" si="5"/>
        <v>3.7131412499999996</v>
      </c>
      <c r="Q37" s="216"/>
    </row>
    <row r="38" spans="2:17">
      <c r="B38" s="312">
        <v>30</v>
      </c>
      <c r="D38" s="838">
        <f t="shared" si="10"/>
        <v>10</v>
      </c>
      <c r="E38" s="219">
        <f t="shared" si="0"/>
        <v>3.7131412499999996</v>
      </c>
      <c r="F38" s="3"/>
      <c r="G38" s="3">
        <v>7</v>
      </c>
      <c r="H38" s="832">
        <f t="shared" si="1"/>
        <v>2.5991988749999999</v>
      </c>
      <c r="I38" s="218">
        <f t="shared" si="2"/>
        <v>17</v>
      </c>
      <c r="J38" s="219">
        <f t="shared" si="3"/>
        <v>6.3123401249999995</v>
      </c>
      <c r="K38" s="3"/>
      <c r="L38" s="219">
        <f t="shared" si="8"/>
        <v>0</v>
      </c>
      <c r="M38" s="832">
        <f t="shared" si="6"/>
        <v>0</v>
      </c>
      <c r="N38" s="218">
        <f t="shared" si="4"/>
        <v>0</v>
      </c>
      <c r="O38" s="838">
        <f t="shared" si="7"/>
        <v>17</v>
      </c>
      <c r="P38" s="219">
        <f t="shared" si="5"/>
        <v>6.3123401249999995</v>
      </c>
      <c r="Q38" s="3"/>
    </row>
    <row r="39" spans="2:17">
      <c r="B39" s="321">
        <v>31</v>
      </c>
      <c r="D39" s="838">
        <f t="shared" si="10"/>
        <v>17</v>
      </c>
      <c r="E39" s="219">
        <f t="shared" si="0"/>
        <v>6.3123401249999995</v>
      </c>
      <c r="F39" s="223"/>
      <c r="G39" s="223">
        <v>2</v>
      </c>
      <c r="H39" s="832">
        <f t="shared" si="1"/>
        <v>0.74262824999999999</v>
      </c>
      <c r="I39" s="218">
        <f t="shared" si="2"/>
        <v>19</v>
      </c>
      <c r="J39" s="219">
        <f t="shared" si="3"/>
        <v>7.0549683749999996</v>
      </c>
      <c r="K39" s="223"/>
      <c r="L39" s="219">
        <f t="shared" si="8"/>
        <v>0</v>
      </c>
      <c r="M39" s="832">
        <f t="shared" si="6"/>
        <v>0</v>
      </c>
      <c r="N39" s="218">
        <f t="shared" si="4"/>
        <v>0</v>
      </c>
      <c r="O39" s="838">
        <f t="shared" si="7"/>
        <v>19</v>
      </c>
      <c r="P39" s="219">
        <f t="shared" si="5"/>
        <v>7.0549683749999996</v>
      </c>
      <c r="Q39" s="223"/>
    </row>
    <row r="40" spans="2:17">
      <c r="B40" s="928" t="s">
        <v>10</v>
      </c>
      <c r="C40" s="929"/>
      <c r="D40" s="929"/>
      <c r="E40" s="930"/>
      <c r="F40" s="130">
        <f t="shared" ref="F40:N40" si="11">SUM(F9:F39)</f>
        <v>0</v>
      </c>
      <c r="G40" s="839">
        <f t="shared" si="11"/>
        <v>85</v>
      </c>
      <c r="H40" s="834">
        <f t="shared" si="11"/>
        <v>31.561700624999997</v>
      </c>
      <c r="I40" s="840"/>
      <c r="J40" s="840"/>
      <c r="K40" s="839">
        <f t="shared" si="11"/>
        <v>73</v>
      </c>
      <c r="L40" s="834">
        <f t="shared" si="11"/>
        <v>26.904150000000001</v>
      </c>
      <c r="M40" s="834">
        <f t="shared" si="11"/>
        <v>27.105931124999998</v>
      </c>
      <c r="N40" s="130">
        <f t="shared" si="11"/>
        <v>0.20178112500000001</v>
      </c>
      <c r="O40" s="130"/>
      <c r="P40" s="130"/>
      <c r="Q40" s="3"/>
    </row>
    <row r="42" spans="2:17">
      <c r="B42" s="931" t="s">
        <v>23</v>
      </c>
      <c r="C42" s="931"/>
      <c r="D42" s="931"/>
      <c r="E42" s="931"/>
      <c r="F42" s="3"/>
      <c r="G42" s="130">
        <f>G40*S7/1000</f>
        <v>0.234950625</v>
      </c>
      <c r="H42" s="835">
        <f>+G40*S6/1000</f>
        <v>31.326750000000001</v>
      </c>
      <c r="J42" s="3" t="s">
        <v>36</v>
      </c>
      <c r="K42" s="3"/>
      <c r="L42" s="130">
        <f>K40*S7/1000</f>
        <v>0.20178112500000001</v>
      </c>
    </row>
  </sheetData>
  <mergeCells count="20">
    <mergeCell ref="B2:Q2"/>
    <mergeCell ref="S2:T2"/>
    <mergeCell ref="B3:Q3"/>
    <mergeCell ref="S3:V3"/>
    <mergeCell ref="B4:Q4"/>
    <mergeCell ref="S4:V4"/>
    <mergeCell ref="A5:Q5"/>
    <mergeCell ref="S5:V5"/>
    <mergeCell ref="D6:F6"/>
    <mergeCell ref="G6:H6"/>
    <mergeCell ref="I6:J6"/>
    <mergeCell ref="K6:L6"/>
    <mergeCell ref="O6:P6"/>
    <mergeCell ref="S6:V6"/>
    <mergeCell ref="S7:V7"/>
    <mergeCell ref="S8:V8"/>
    <mergeCell ref="B40:E40"/>
    <mergeCell ref="B42:E42"/>
    <mergeCell ref="H7:H8"/>
    <mergeCell ref="M6:M8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W42"/>
  <sheetViews>
    <sheetView topLeftCell="B1" zoomScale="80" zoomScaleNormal="80" workbookViewId="0">
      <pane ySplit="8" topLeftCell="A19" activePane="bottomLeft" state="frozen"/>
      <selection pane="bottomLeft" activeCell="S26" sqref="S26"/>
    </sheetView>
  </sheetViews>
  <sheetFormatPr defaultColWidth="9" defaultRowHeight="15"/>
  <cols>
    <col min="1" max="1" width="9" hidden="1" customWidth="1"/>
    <col min="3" max="3" width="9" hidden="1" customWidth="1"/>
    <col min="5" max="5" width="10.42578125" customWidth="1"/>
    <col min="6" max="6" width="9" hidden="1" customWidth="1"/>
    <col min="8" max="8" width="10.42578125" customWidth="1"/>
    <col min="10" max="10" width="10.42578125" customWidth="1"/>
    <col min="11" max="11" width="11.28515625" customWidth="1"/>
    <col min="12" max="13" width="10.42578125" customWidth="1"/>
    <col min="14" max="14" width="12" customWidth="1"/>
    <col min="15" max="15" width="8.28515625" customWidth="1"/>
    <col min="16" max="17" width="10.42578125" customWidth="1"/>
    <col min="18" max="18" width="18.28515625" customWidth="1"/>
    <col min="19" max="19" width="11.42578125" customWidth="1"/>
    <col min="20" max="20" width="3" hidden="1" customWidth="1"/>
    <col min="21" max="21" width="6.140625" customWidth="1"/>
    <col min="22" max="22" width="6.28515625" customWidth="1"/>
    <col min="23" max="23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129"/>
      <c r="S2" s="931"/>
      <c r="T2" s="931"/>
      <c r="U2" s="129"/>
      <c r="V2" s="227"/>
      <c r="W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129" t="s">
        <v>3</v>
      </c>
      <c r="S3" s="931"/>
      <c r="T3" s="931"/>
      <c r="U3" s="931"/>
      <c r="V3" s="931"/>
      <c r="W3" s="170"/>
    </row>
    <row r="4" spans="1:23" ht="21">
      <c r="B4" s="939" t="s">
        <v>58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129" t="s">
        <v>5</v>
      </c>
      <c r="S4" s="931"/>
      <c r="T4" s="931"/>
      <c r="U4" s="931"/>
      <c r="V4" s="931"/>
      <c r="W4" s="170"/>
    </row>
    <row r="5" spans="1:23" ht="21">
      <c r="A5" s="932" t="s">
        <v>59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933"/>
      <c r="R5" s="129" t="s">
        <v>7</v>
      </c>
      <c r="S5" s="931"/>
      <c r="T5" s="931"/>
      <c r="U5" s="931"/>
      <c r="V5" s="931"/>
      <c r="W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942" t="s">
        <v>12</v>
      </c>
      <c r="N6" s="215"/>
      <c r="O6" s="934" t="s">
        <v>13</v>
      </c>
      <c r="P6" s="934"/>
      <c r="Q6" s="225" t="s">
        <v>14</v>
      </c>
      <c r="R6" s="129" t="s">
        <v>15</v>
      </c>
      <c r="S6" s="931">
        <v>175.792</v>
      </c>
      <c r="T6" s="931"/>
      <c r="U6" s="931"/>
      <c r="V6" s="931"/>
      <c r="W6" s="170"/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16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18</v>
      </c>
      <c r="M7" s="943"/>
      <c r="N7" s="217"/>
      <c r="O7" s="217" t="s">
        <v>16</v>
      </c>
      <c r="P7" s="217" t="s">
        <v>17</v>
      </c>
      <c r="Q7" s="226"/>
      <c r="R7" s="129" t="s">
        <v>19</v>
      </c>
      <c r="S7" s="931">
        <v>1.3180000000000001</v>
      </c>
      <c r="T7" s="931"/>
      <c r="U7" s="931"/>
      <c r="V7" s="931"/>
      <c r="W7" s="170"/>
    </row>
    <row r="8" spans="1:23">
      <c r="B8" s="216"/>
      <c r="C8" s="216"/>
      <c r="D8" s="217" t="s">
        <v>21</v>
      </c>
      <c r="E8" s="217" t="s">
        <v>22</v>
      </c>
      <c r="F8" s="217"/>
      <c r="G8" s="217" t="s">
        <v>21</v>
      </c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934"/>
      <c r="N8" s="217" t="s">
        <v>23</v>
      </c>
      <c r="O8" s="217" t="s">
        <v>21</v>
      </c>
      <c r="P8" s="217" t="s">
        <v>22</v>
      </c>
      <c r="Q8" s="226"/>
      <c r="R8" s="129" t="s">
        <v>24</v>
      </c>
      <c r="S8" s="941">
        <f>S6+S7</f>
        <v>177.11</v>
      </c>
      <c r="T8" s="941"/>
      <c r="U8" s="941"/>
      <c r="V8" s="941"/>
      <c r="W8" s="170"/>
    </row>
    <row r="9" spans="1:23">
      <c r="B9" s="216">
        <v>1</v>
      </c>
      <c r="C9" s="216"/>
      <c r="D9" s="216"/>
      <c r="E9" s="219">
        <f t="shared" ref="E9:E39" si="0">$S$8*D9/1000</f>
        <v>0</v>
      </c>
      <c r="F9" s="216"/>
      <c r="G9" s="216">
        <v>0</v>
      </c>
      <c r="H9" s="219">
        <f t="shared" ref="H9:H39" si="1">$S$8*G9/1000</f>
        <v>0</v>
      </c>
      <c r="I9" s="216">
        <v>0</v>
      </c>
      <c r="J9" s="219">
        <f t="shared" ref="J9:J39" si="2">$S$8*I9/1000</f>
        <v>0</v>
      </c>
      <c r="K9" s="216"/>
      <c r="L9" s="219">
        <f>K9*S$6/1000</f>
        <v>0</v>
      </c>
      <c r="M9" s="219">
        <f>K9*S$8/1000</f>
        <v>0</v>
      </c>
      <c r="N9" s="218">
        <f>K9*S$7/1000</f>
        <v>0</v>
      </c>
      <c r="O9" s="216">
        <f>D9+G9-K9</f>
        <v>0</v>
      </c>
      <c r="P9" s="219">
        <f t="shared" ref="P9:P39" si="3">$S$8*O9/1000</f>
        <v>0</v>
      </c>
      <c r="Q9" s="216"/>
      <c r="W9" s="170"/>
    </row>
    <row r="10" spans="1:23">
      <c r="B10" s="216">
        <v>2</v>
      </c>
      <c r="C10" s="216"/>
      <c r="D10" s="216">
        <f>+O9</f>
        <v>0</v>
      </c>
      <c r="E10" s="219">
        <f t="shared" si="0"/>
        <v>0</v>
      </c>
      <c r="F10" s="216"/>
      <c r="G10" s="216">
        <v>0</v>
      </c>
      <c r="H10" s="219">
        <f t="shared" si="1"/>
        <v>0</v>
      </c>
      <c r="I10" s="216">
        <v>0</v>
      </c>
      <c r="J10" s="219">
        <f t="shared" si="2"/>
        <v>0</v>
      </c>
      <c r="K10" s="216"/>
      <c r="L10" s="219">
        <f t="shared" ref="L10:L39" si="4">K10*S$6/1000</f>
        <v>0</v>
      </c>
      <c r="M10" s="219">
        <f t="shared" ref="M10:M39" si="5">K10*S$8/1000</f>
        <v>0</v>
      </c>
      <c r="N10" s="218">
        <f t="shared" ref="N10:N39" si="6">K10*S$7/1000</f>
        <v>0</v>
      </c>
      <c r="O10" s="216">
        <f t="shared" ref="O10:O39" si="7">D10+G10-K10</f>
        <v>0</v>
      </c>
      <c r="P10" s="219">
        <f t="shared" si="3"/>
        <v>0</v>
      </c>
      <c r="Q10" s="216"/>
    </row>
    <row r="11" spans="1:23">
      <c r="B11" s="216">
        <v>3</v>
      </c>
      <c r="C11" s="216"/>
      <c r="D11" s="216">
        <f t="shared" ref="D11:D39" si="8">+O10</f>
        <v>0</v>
      </c>
      <c r="E11" s="219">
        <f t="shared" si="0"/>
        <v>0</v>
      </c>
      <c r="F11" s="216"/>
      <c r="G11" s="216">
        <v>0</v>
      </c>
      <c r="H11" s="219">
        <f t="shared" si="1"/>
        <v>0</v>
      </c>
      <c r="I11" s="216">
        <v>0</v>
      </c>
      <c r="J11" s="219">
        <f t="shared" si="2"/>
        <v>0</v>
      </c>
      <c r="K11" s="216"/>
      <c r="L11" s="219">
        <f t="shared" si="4"/>
        <v>0</v>
      </c>
      <c r="M11" s="219">
        <f t="shared" si="5"/>
        <v>0</v>
      </c>
      <c r="N11" s="218">
        <f t="shared" si="6"/>
        <v>0</v>
      </c>
      <c r="O11" s="216">
        <f t="shared" si="7"/>
        <v>0</v>
      </c>
      <c r="P11" s="219">
        <f t="shared" si="3"/>
        <v>0</v>
      </c>
      <c r="Q11" s="216"/>
    </row>
    <row r="12" spans="1:23">
      <c r="B12" s="216">
        <v>4</v>
      </c>
      <c r="C12" s="216"/>
      <c r="D12" s="216">
        <f t="shared" si="8"/>
        <v>0</v>
      </c>
      <c r="E12" s="219">
        <f t="shared" si="0"/>
        <v>0</v>
      </c>
      <c r="F12" s="216"/>
      <c r="G12" s="216">
        <v>0</v>
      </c>
      <c r="H12" s="219">
        <f t="shared" si="1"/>
        <v>0</v>
      </c>
      <c r="I12" s="216">
        <v>0</v>
      </c>
      <c r="J12" s="219">
        <f t="shared" si="2"/>
        <v>0</v>
      </c>
      <c r="K12" s="216"/>
      <c r="L12" s="219">
        <f t="shared" si="4"/>
        <v>0</v>
      </c>
      <c r="M12" s="219">
        <f t="shared" si="5"/>
        <v>0</v>
      </c>
      <c r="N12" s="218">
        <f t="shared" si="6"/>
        <v>0</v>
      </c>
      <c r="O12" s="216">
        <f t="shared" si="7"/>
        <v>0</v>
      </c>
      <c r="P12" s="219">
        <f t="shared" si="3"/>
        <v>0</v>
      </c>
      <c r="Q12" s="216"/>
    </row>
    <row r="13" spans="1:23">
      <c r="B13" s="216">
        <v>5</v>
      </c>
      <c r="C13" s="216"/>
      <c r="D13" s="216">
        <f t="shared" si="8"/>
        <v>0</v>
      </c>
      <c r="E13" s="219">
        <f t="shared" si="0"/>
        <v>0</v>
      </c>
      <c r="F13" s="216"/>
      <c r="G13" s="216">
        <v>0</v>
      </c>
      <c r="H13" s="219">
        <f t="shared" si="1"/>
        <v>0</v>
      </c>
      <c r="I13" s="216">
        <v>0</v>
      </c>
      <c r="J13" s="219">
        <f t="shared" si="2"/>
        <v>0</v>
      </c>
      <c r="K13" s="216"/>
      <c r="L13" s="219">
        <f t="shared" si="4"/>
        <v>0</v>
      </c>
      <c r="M13" s="219">
        <f t="shared" si="5"/>
        <v>0</v>
      </c>
      <c r="N13" s="218">
        <f t="shared" si="6"/>
        <v>0</v>
      </c>
      <c r="O13" s="216">
        <f t="shared" si="7"/>
        <v>0</v>
      </c>
      <c r="P13" s="219">
        <f t="shared" si="3"/>
        <v>0</v>
      </c>
      <c r="Q13" s="216"/>
    </row>
    <row r="14" spans="1:23">
      <c r="B14" s="216">
        <v>6</v>
      </c>
      <c r="C14" s="216"/>
      <c r="D14" s="216">
        <f t="shared" si="8"/>
        <v>0</v>
      </c>
      <c r="E14" s="219">
        <f t="shared" si="0"/>
        <v>0</v>
      </c>
      <c r="F14" s="216"/>
      <c r="G14" s="216">
        <v>0</v>
      </c>
      <c r="H14" s="219">
        <f t="shared" si="1"/>
        <v>0</v>
      </c>
      <c r="I14" s="216">
        <v>0</v>
      </c>
      <c r="J14" s="219">
        <f t="shared" si="2"/>
        <v>0</v>
      </c>
      <c r="K14" s="216"/>
      <c r="L14" s="219">
        <f t="shared" si="4"/>
        <v>0</v>
      </c>
      <c r="M14" s="219">
        <f t="shared" si="5"/>
        <v>0</v>
      </c>
      <c r="N14" s="218">
        <f t="shared" si="6"/>
        <v>0</v>
      </c>
      <c r="O14" s="216">
        <f t="shared" si="7"/>
        <v>0</v>
      </c>
      <c r="P14" s="219">
        <f t="shared" si="3"/>
        <v>0</v>
      </c>
      <c r="Q14" s="216"/>
    </row>
    <row r="15" spans="1:23">
      <c r="B15" s="216">
        <v>7</v>
      </c>
      <c r="C15" s="216"/>
      <c r="D15" s="216">
        <f t="shared" si="8"/>
        <v>0</v>
      </c>
      <c r="E15" s="219">
        <f t="shared" si="0"/>
        <v>0</v>
      </c>
      <c r="F15" s="216"/>
      <c r="G15" s="216">
        <v>0</v>
      </c>
      <c r="H15" s="219">
        <f t="shared" si="1"/>
        <v>0</v>
      </c>
      <c r="I15" s="216">
        <v>0</v>
      </c>
      <c r="J15" s="219">
        <f t="shared" si="2"/>
        <v>0</v>
      </c>
      <c r="K15" s="216"/>
      <c r="L15" s="219">
        <f t="shared" si="4"/>
        <v>0</v>
      </c>
      <c r="M15" s="219">
        <f t="shared" si="5"/>
        <v>0</v>
      </c>
      <c r="N15" s="218">
        <f t="shared" si="6"/>
        <v>0</v>
      </c>
      <c r="O15" s="216">
        <f t="shared" si="7"/>
        <v>0</v>
      </c>
      <c r="P15" s="219">
        <f t="shared" si="3"/>
        <v>0</v>
      </c>
      <c r="Q15" s="216"/>
    </row>
    <row r="16" spans="1:23">
      <c r="B16" s="216">
        <v>8</v>
      </c>
      <c r="C16" s="216"/>
      <c r="D16" s="216">
        <f t="shared" si="8"/>
        <v>0</v>
      </c>
      <c r="E16" s="219">
        <f t="shared" si="0"/>
        <v>0</v>
      </c>
      <c r="F16" s="216"/>
      <c r="G16" s="216">
        <v>0</v>
      </c>
      <c r="H16" s="219">
        <f t="shared" si="1"/>
        <v>0</v>
      </c>
      <c r="I16" s="216">
        <v>0</v>
      </c>
      <c r="J16" s="219">
        <f t="shared" si="2"/>
        <v>0</v>
      </c>
      <c r="K16" s="216"/>
      <c r="L16" s="219">
        <f t="shared" si="4"/>
        <v>0</v>
      </c>
      <c r="M16" s="219">
        <f t="shared" si="5"/>
        <v>0</v>
      </c>
      <c r="N16" s="218">
        <f t="shared" si="6"/>
        <v>0</v>
      </c>
      <c r="O16" s="216">
        <f t="shared" si="7"/>
        <v>0</v>
      </c>
      <c r="P16" s="219">
        <f t="shared" si="3"/>
        <v>0</v>
      </c>
      <c r="Q16" s="216"/>
    </row>
    <row r="17" spans="2:17">
      <c r="B17" s="216">
        <v>9</v>
      </c>
      <c r="C17" s="216"/>
      <c r="D17" s="216">
        <f t="shared" si="8"/>
        <v>0</v>
      </c>
      <c r="E17" s="219">
        <f t="shared" si="0"/>
        <v>0</v>
      </c>
      <c r="F17" s="216"/>
      <c r="G17" s="216">
        <v>0</v>
      </c>
      <c r="H17" s="219">
        <f t="shared" si="1"/>
        <v>0</v>
      </c>
      <c r="I17" s="216">
        <v>0</v>
      </c>
      <c r="J17" s="219">
        <f t="shared" si="2"/>
        <v>0</v>
      </c>
      <c r="K17" s="216"/>
      <c r="L17" s="219">
        <f t="shared" si="4"/>
        <v>0</v>
      </c>
      <c r="M17" s="219">
        <f t="shared" si="5"/>
        <v>0</v>
      </c>
      <c r="N17" s="218">
        <f t="shared" si="6"/>
        <v>0</v>
      </c>
      <c r="O17" s="216">
        <f t="shared" si="7"/>
        <v>0</v>
      </c>
      <c r="P17" s="219">
        <f t="shared" si="3"/>
        <v>0</v>
      </c>
      <c r="Q17" s="216"/>
    </row>
    <row r="18" spans="2:17">
      <c r="B18" s="216">
        <v>10</v>
      </c>
      <c r="C18" s="216"/>
      <c r="D18" s="216">
        <f t="shared" si="8"/>
        <v>0</v>
      </c>
      <c r="E18" s="219">
        <f t="shared" si="0"/>
        <v>0</v>
      </c>
      <c r="F18" s="216"/>
      <c r="G18" s="216">
        <v>0</v>
      </c>
      <c r="H18" s="219">
        <f t="shared" si="1"/>
        <v>0</v>
      </c>
      <c r="I18" s="216">
        <v>0</v>
      </c>
      <c r="J18" s="219">
        <f t="shared" si="2"/>
        <v>0</v>
      </c>
      <c r="K18" s="216"/>
      <c r="L18" s="219">
        <f t="shared" si="4"/>
        <v>0</v>
      </c>
      <c r="M18" s="219">
        <f t="shared" si="5"/>
        <v>0</v>
      </c>
      <c r="N18" s="218">
        <f t="shared" si="6"/>
        <v>0</v>
      </c>
      <c r="O18" s="216">
        <f t="shared" si="7"/>
        <v>0</v>
      </c>
      <c r="P18" s="219">
        <f t="shared" si="3"/>
        <v>0</v>
      </c>
      <c r="Q18" s="216"/>
    </row>
    <row r="19" spans="2:17">
      <c r="B19" s="216">
        <v>11</v>
      </c>
      <c r="C19" s="216"/>
      <c r="D19" s="216">
        <f t="shared" si="8"/>
        <v>0</v>
      </c>
      <c r="E19" s="219">
        <f t="shared" si="0"/>
        <v>0</v>
      </c>
      <c r="F19" s="216"/>
      <c r="G19" s="216">
        <v>0</v>
      </c>
      <c r="H19" s="219">
        <f t="shared" si="1"/>
        <v>0</v>
      </c>
      <c r="I19" s="216">
        <v>0</v>
      </c>
      <c r="J19" s="219">
        <f t="shared" si="2"/>
        <v>0</v>
      </c>
      <c r="K19" s="216"/>
      <c r="L19" s="219">
        <f t="shared" si="4"/>
        <v>0</v>
      </c>
      <c r="M19" s="219">
        <f t="shared" si="5"/>
        <v>0</v>
      </c>
      <c r="N19" s="218">
        <f t="shared" si="6"/>
        <v>0</v>
      </c>
      <c r="O19" s="216">
        <f t="shared" si="7"/>
        <v>0</v>
      </c>
      <c r="P19" s="219">
        <f t="shared" si="3"/>
        <v>0</v>
      </c>
      <c r="Q19" s="216"/>
    </row>
    <row r="20" spans="2:17">
      <c r="B20" s="216">
        <v>12</v>
      </c>
      <c r="C20" s="216"/>
      <c r="D20" s="216">
        <f t="shared" si="8"/>
        <v>0</v>
      </c>
      <c r="E20" s="219">
        <f t="shared" si="0"/>
        <v>0</v>
      </c>
      <c r="F20" s="216"/>
      <c r="G20" s="216">
        <v>0</v>
      </c>
      <c r="H20" s="219">
        <f t="shared" si="1"/>
        <v>0</v>
      </c>
      <c r="I20" s="216">
        <v>0</v>
      </c>
      <c r="J20" s="219">
        <f t="shared" si="2"/>
        <v>0</v>
      </c>
      <c r="K20" s="216"/>
      <c r="L20" s="219">
        <f t="shared" si="4"/>
        <v>0</v>
      </c>
      <c r="M20" s="219">
        <f t="shared" si="5"/>
        <v>0</v>
      </c>
      <c r="N20" s="218">
        <f t="shared" si="6"/>
        <v>0</v>
      </c>
      <c r="O20" s="216">
        <f t="shared" si="7"/>
        <v>0</v>
      </c>
      <c r="P20" s="219">
        <f t="shared" si="3"/>
        <v>0</v>
      </c>
      <c r="Q20" s="216"/>
    </row>
    <row r="21" spans="2:17">
      <c r="B21" s="216">
        <v>13</v>
      </c>
      <c r="C21" s="216"/>
      <c r="D21" s="216">
        <f t="shared" si="8"/>
        <v>0</v>
      </c>
      <c r="E21" s="219">
        <f t="shared" si="0"/>
        <v>0</v>
      </c>
      <c r="F21" s="216"/>
      <c r="G21" s="216">
        <v>0</v>
      </c>
      <c r="H21" s="219">
        <f t="shared" si="1"/>
        <v>0</v>
      </c>
      <c r="I21" s="216">
        <v>0</v>
      </c>
      <c r="J21" s="219">
        <f t="shared" si="2"/>
        <v>0</v>
      </c>
      <c r="K21" s="216"/>
      <c r="L21" s="219">
        <f t="shared" si="4"/>
        <v>0</v>
      </c>
      <c r="M21" s="219">
        <f t="shared" si="5"/>
        <v>0</v>
      </c>
      <c r="N21" s="218">
        <f t="shared" si="6"/>
        <v>0</v>
      </c>
      <c r="O21" s="216">
        <f t="shared" si="7"/>
        <v>0</v>
      </c>
      <c r="P21" s="219">
        <f t="shared" si="3"/>
        <v>0</v>
      </c>
      <c r="Q21" s="216"/>
    </row>
    <row r="22" spans="2:17">
      <c r="B22" s="216">
        <v>14</v>
      </c>
      <c r="C22" s="216"/>
      <c r="D22" s="216">
        <f t="shared" si="8"/>
        <v>0</v>
      </c>
      <c r="E22" s="219">
        <f t="shared" si="0"/>
        <v>0</v>
      </c>
      <c r="F22" s="216"/>
      <c r="G22" s="216">
        <v>0</v>
      </c>
      <c r="H22" s="219">
        <f t="shared" si="1"/>
        <v>0</v>
      </c>
      <c r="I22" s="216">
        <v>0</v>
      </c>
      <c r="J22" s="219">
        <f t="shared" si="2"/>
        <v>0</v>
      </c>
      <c r="K22" s="216"/>
      <c r="L22" s="219">
        <f t="shared" si="4"/>
        <v>0</v>
      </c>
      <c r="M22" s="219">
        <f t="shared" si="5"/>
        <v>0</v>
      </c>
      <c r="N22" s="218">
        <f t="shared" si="6"/>
        <v>0</v>
      </c>
      <c r="O22" s="216">
        <f t="shared" si="7"/>
        <v>0</v>
      </c>
      <c r="P22" s="219">
        <f t="shared" si="3"/>
        <v>0</v>
      </c>
      <c r="Q22" s="216"/>
    </row>
    <row r="23" spans="2:17">
      <c r="B23" s="216">
        <v>15</v>
      </c>
      <c r="C23" s="216"/>
      <c r="D23" s="216">
        <f t="shared" si="8"/>
        <v>0</v>
      </c>
      <c r="E23" s="219">
        <f t="shared" si="0"/>
        <v>0</v>
      </c>
      <c r="F23" s="216"/>
      <c r="G23" s="216">
        <v>0</v>
      </c>
      <c r="H23" s="219">
        <f t="shared" si="1"/>
        <v>0</v>
      </c>
      <c r="I23" s="216">
        <v>0</v>
      </c>
      <c r="J23" s="219">
        <f t="shared" si="2"/>
        <v>0</v>
      </c>
      <c r="K23" s="216"/>
      <c r="L23" s="219">
        <f t="shared" si="4"/>
        <v>0</v>
      </c>
      <c r="M23" s="219">
        <f t="shared" si="5"/>
        <v>0</v>
      </c>
      <c r="N23" s="218">
        <f t="shared" si="6"/>
        <v>0</v>
      </c>
      <c r="O23" s="216">
        <f t="shared" si="7"/>
        <v>0</v>
      </c>
      <c r="P23" s="219">
        <f t="shared" si="3"/>
        <v>0</v>
      </c>
      <c r="Q23" s="216"/>
    </row>
    <row r="24" spans="2:17">
      <c r="B24" s="216">
        <v>16</v>
      </c>
      <c r="C24" s="216"/>
      <c r="D24" s="216">
        <f t="shared" si="8"/>
        <v>0</v>
      </c>
      <c r="E24" s="219">
        <f t="shared" si="0"/>
        <v>0</v>
      </c>
      <c r="F24" s="216"/>
      <c r="G24" s="216">
        <v>0</v>
      </c>
      <c r="H24" s="219">
        <f t="shared" si="1"/>
        <v>0</v>
      </c>
      <c r="I24" s="216">
        <v>0</v>
      </c>
      <c r="J24" s="219">
        <f t="shared" si="2"/>
        <v>0</v>
      </c>
      <c r="K24" s="216"/>
      <c r="L24" s="219">
        <f t="shared" si="4"/>
        <v>0</v>
      </c>
      <c r="M24" s="219">
        <f t="shared" si="5"/>
        <v>0</v>
      </c>
      <c r="N24" s="218">
        <f t="shared" si="6"/>
        <v>0</v>
      </c>
      <c r="O24" s="216">
        <f t="shared" si="7"/>
        <v>0</v>
      </c>
      <c r="P24" s="219">
        <f t="shared" si="3"/>
        <v>0</v>
      </c>
      <c r="Q24" s="216"/>
    </row>
    <row r="25" spans="2:17">
      <c r="B25" s="216">
        <v>17</v>
      </c>
      <c r="C25" s="216"/>
      <c r="D25" s="216">
        <f t="shared" si="8"/>
        <v>0</v>
      </c>
      <c r="E25" s="219">
        <f t="shared" si="0"/>
        <v>0</v>
      </c>
      <c r="F25" s="216"/>
      <c r="G25" s="216">
        <v>0</v>
      </c>
      <c r="H25" s="219">
        <f t="shared" si="1"/>
        <v>0</v>
      </c>
      <c r="I25" s="216">
        <v>0</v>
      </c>
      <c r="J25" s="219">
        <f t="shared" si="2"/>
        <v>0</v>
      </c>
      <c r="K25" s="216"/>
      <c r="L25" s="219">
        <f t="shared" si="4"/>
        <v>0</v>
      </c>
      <c r="M25" s="219">
        <f t="shared" si="5"/>
        <v>0</v>
      </c>
      <c r="N25" s="218">
        <f t="shared" si="6"/>
        <v>0</v>
      </c>
      <c r="O25" s="216">
        <f t="shared" si="7"/>
        <v>0</v>
      </c>
      <c r="P25" s="219">
        <f t="shared" si="3"/>
        <v>0</v>
      </c>
      <c r="Q25" s="216"/>
    </row>
    <row r="26" spans="2:17">
      <c r="B26" s="216">
        <v>18</v>
      </c>
      <c r="C26" s="216"/>
      <c r="D26" s="216">
        <f t="shared" si="8"/>
        <v>0</v>
      </c>
      <c r="E26" s="219">
        <f t="shared" si="0"/>
        <v>0</v>
      </c>
      <c r="F26" s="216"/>
      <c r="G26" s="216">
        <v>0</v>
      </c>
      <c r="H26" s="219">
        <f t="shared" si="1"/>
        <v>0</v>
      </c>
      <c r="I26" s="216">
        <v>0</v>
      </c>
      <c r="J26" s="219">
        <f t="shared" si="2"/>
        <v>0</v>
      </c>
      <c r="K26" s="216"/>
      <c r="L26" s="219">
        <f t="shared" si="4"/>
        <v>0</v>
      </c>
      <c r="M26" s="219">
        <f t="shared" si="5"/>
        <v>0</v>
      </c>
      <c r="N26" s="218">
        <f t="shared" si="6"/>
        <v>0</v>
      </c>
      <c r="O26" s="216">
        <f t="shared" si="7"/>
        <v>0</v>
      </c>
      <c r="P26" s="219">
        <f t="shared" si="3"/>
        <v>0</v>
      </c>
      <c r="Q26" s="216"/>
    </row>
    <row r="27" spans="2:17">
      <c r="B27" s="216">
        <v>19</v>
      </c>
      <c r="C27" s="216"/>
      <c r="D27" s="216">
        <f t="shared" si="8"/>
        <v>0</v>
      </c>
      <c r="E27" s="219">
        <f t="shared" si="0"/>
        <v>0</v>
      </c>
      <c r="F27" s="216"/>
      <c r="G27" s="216">
        <v>0</v>
      </c>
      <c r="H27" s="219">
        <f t="shared" si="1"/>
        <v>0</v>
      </c>
      <c r="I27" s="216">
        <v>0</v>
      </c>
      <c r="J27" s="219">
        <f t="shared" si="2"/>
        <v>0</v>
      </c>
      <c r="K27" s="216"/>
      <c r="L27" s="219">
        <f t="shared" si="4"/>
        <v>0</v>
      </c>
      <c r="M27" s="219">
        <f t="shared" si="5"/>
        <v>0</v>
      </c>
      <c r="N27" s="218">
        <f t="shared" si="6"/>
        <v>0</v>
      </c>
      <c r="O27" s="216">
        <f t="shared" si="7"/>
        <v>0</v>
      </c>
      <c r="P27" s="219">
        <f t="shared" si="3"/>
        <v>0</v>
      </c>
      <c r="Q27" s="216"/>
    </row>
    <row r="28" spans="2:17">
      <c r="B28" s="216">
        <v>20</v>
      </c>
      <c r="C28" s="216"/>
      <c r="D28" s="216">
        <f t="shared" si="8"/>
        <v>0</v>
      </c>
      <c r="E28" s="219">
        <f t="shared" si="0"/>
        <v>0</v>
      </c>
      <c r="F28" s="216"/>
      <c r="G28" s="216">
        <v>0</v>
      </c>
      <c r="H28" s="219">
        <f t="shared" si="1"/>
        <v>0</v>
      </c>
      <c r="I28" s="216">
        <v>0</v>
      </c>
      <c r="J28" s="219">
        <f t="shared" si="2"/>
        <v>0</v>
      </c>
      <c r="K28" s="216"/>
      <c r="L28" s="219">
        <f t="shared" si="4"/>
        <v>0</v>
      </c>
      <c r="M28" s="219">
        <f t="shared" si="5"/>
        <v>0</v>
      </c>
      <c r="N28" s="218">
        <f t="shared" si="6"/>
        <v>0</v>
      </c>
      <c r="O28" s="216">
        <f t="shared" si="7"/>
        <v>0</v>
      </c>
      <c r="P28" s="219">
        <f t="shared" si="3"/>
        <v>0</v>
      </c>
      <c r="Q28" s="216"/>
    </row>
    <row r="29" spans="2:17">
      <c r="B29" s="216">
        <v>21</v>
      </c>
      <c r="C29" s="216"/>
      <c r="D29" s="216">
        <f t="shared" si="8"/>
        <v>0</v>
      </c>
      <c r="E29" s="219">
        <f t="shared" si="0"/>
        <v>0</v>
      </c>
      <c r="F29" s="216"/>
      <c r="G29" s="216">
        <v>0</v>
      </c>
      <c r="H29" s="219">
        <f t="shared" si="1"/>
        <v>0</v>
      </c>
      <c r="I29" s="216">
        <v>0</v>
      </c>
      <c r="J29" s="219">
        <f t="shared" si="2"/>
        <v>0</v>
      </c>
      <c r="K29" s="216"/>
      <c r="L29" s="219">
        <f t="shared" si="4"/>
        <v>0</v>
      </c>
      <c r="M29" s="219">
        <f t="shared" si="5"/>
        <v>0</v>
      </c>
      <c r="N29" s="218">
        <f t="shared" si="6"/>
        <v>0</v>
      </c>
      <c r="O29" s="216">
        <f t="shared" si="7"/>
        <v>0</v>
      </c>
      <c r="P29" s="219">
        <f t="shared" si="3"/>
        <v>0</v>
      </c>
      <c r="Q29" s="216"/>
    </row>
    <row r="30" spans="2:17">
      <c r="B30" s="216">
        <v>22</v>
      </c>
      <c r="C30" s="216"/>
      <c r="D30" s="216">
        <f t="shared" si="8"/>
        <v>0</v>
      </c>
      <c r="E30" s="219">
        <f t="shared" si="0"/>
        <v>0</v>
      </c>
      <c r="F30" s="216"/>
      <c r="G30" s="216">
        <v>0</v>
      </c>
      <c r="H30" s="219">
        <f t="shared" si="1"/>
        <v>0</v>
      </c>
      <c r="I30" s="216">
        <v>0</v>
      </c>
      <c r="J30" s="219">
        <f t="shared" si="2"/>
        <v>0</v>
      </c>
      <c r="K30" s="216"/>
      <c r="L30" s="219">
        <f t="shared" si="4"/>
        <v>0</v>
      </c>
      <c r="M30" s="219">
        <f t="shared" si="5"/>
        <v>0</v>
      </c>
      <c r="N30" s="218">
        <f t="shared" si="6"/>
        <v>0</v>
      </c>
      <c r="O30" s="216">
        <f t="shared" si="7"/>
        <v>0</v>
      </c>
      <c r="P30" s="219">
        <f t="shared" si="3"/>
        <v>0</v>
      </c>
      <c r="Q30" s="216"/>
    </row>
    <row r="31" spans="2:17">
      <c r="B31" s="216">
        <v>23</v>
      </c>
      <c r="C31" s="216"/>
      <c r="D31" s="216">
        <f t="shared" si="8"/>
        <v>0</v>
      </c>
      <c r="E31" s="219">
        <f t="shared" si="0"/>
        <v>0</v>
      </c>
      <c r="F31" s="216"/>
      <c r="G31" s="216">
        <v>0</v>
      </c>
      <c r="H31" s="219">
        <f t="shared" si="1"/>
        <v>0</v>
      </c>
      <c r="I31" s="216">
        <v>0</v>
      </c>
      <c r="J31" s="219">
        <f t="shared" si="2"/>
        <v>0</v>
      </c>
      <c r="K31" s="216"/>
      <c r="L31" s="219">
        <f t="shared" si="4"/>
        <v>0</v>
      </c>
      <c r="M31" s="219">
        <f t="shared" si="5"/>
        <v>0</v>
      </c>
      <c r="N31" s="218">
        <f t="shared" si="6"/>
        <v>0</v>
      </c>
      <c r="O31" s="216">
        <f t="shared" si="7"/>
        <v>0</v>
      </c>
      <c r="P31" s="219">
        <f t="shared" si="3"/>
        <v>0</v>
      </c>
      <c r="Q31" s="216"/>
    </row>
    <row r="32" spans="2:17">
      <c r="B32" s="216">
        <v>24</v>
      </c>
      <c r="C32" s="216"/>
      <c r="D32" s="216">
        <f t="shared" si="8"/>
        <v>0</v>
      </c>
      <c r="E32" s="219">
        <f t="shared" si="0"/>
        <v>0</v>
      </c>
      <c r="F32" s="216"/>
      <c r="G32" s="216">
        <v>0</v>
      </c>
      <c r="H32" s="219">
        <f t="shared" si="1"/>
        <v>0</v>
      </c>
      <c r="I32" s="216">
        <v>0</v>
      </c>
      <c r="J32" s="219">
        <f t="shared" si="2"/>
        <v>0</v>
      </c>
      <c r="K32" s="216"/>
      <c r="L32" s="219">
        <f t="shared" si="4"/>
        <v>0</v>
      </c>
      <c r="M32" s="219">
        <f t="shared" si="5"/>
        <v>0</v>
      </c>
      <c r="N32" s="218">
        <f t="shared" si="6"/>
        <v>0</v>
      </c>
      <c r="O32" s="216">
        <f t="shared" si="7"/>
        <v>0</v>
      </c>
      <c r="P32" s="219">
        <f t="shared" si="3"/>
        <v>0</v>
      </c>
      <c r="Q32" s="216"/>
    </row>
    <row r="33" spans="2:17">
      <c r="B33" s="216">
        <v>25</v>
      </c>
      <c r="C33" s="216"/>
      <c r="D33" s="216">
        <f t="shared" si="8"/>
        <v>0</v>
      </c>
      <c r="E33" s="219">
        <f t="shared" si="0"/>
        <v>0</v>
      </c>
      <c r="F33" s="216"/>
      <c r="G33" s="216">
        <v>0</v>
      </c>
      <c r="H33" s="219">
        <f t="shared" si="1"/>
        <v>0</v>
      </c>
      <c r="I33" s="216">
        <v>0</v>
      </c>
      <c r="J33" s="219">
        <f t="shared" si="2"/>
        <v>0</v>
      </c>
      <c r="K33" s="216"/>
      <c r="L33" s="219">
        <f t="shared" si="4"/>
        <v>0</v>
      </c>
      <c r="M33" s="219">
        <f t="shared" si="5"/>
        <v>0</v>
      </c>
      <c r="N33" s="218">
        <f t="shared" si="6"/>
        <v>0</v>
      </c>
      <c r="O33" s="216">
        <f t="shared" si="7"/>
        <v>0</v>
      </c>
      <c r="P33" s="219">
        <f t="shared" si="3"/>
        <v>0</v>
      </c>
      <c r="Q33" s="216"/>
    </row>
    <row r="34" spans="2:17">
      <c r="B34" s="216">
        <v>26</v>
      </c>
      <c r="C34" s="216"/>
      <c r="D34" s="216">
        <f t="shared" si="8"/>
        <v>0</v>
      </c>
      <c r="E34" s="219">
        <f t="shared" si="0"/>
        <v>0</v>
      </c>
      <c r="F34" s="216"/>
      <c r="G34" s="216">
        <v>0</v>
      </c>
      <c r="H34" s="219">
        <f t="shared" si="1"/>
        <v>0</v>
      </c>
      <c r="I34" s="216">
        <v>0</v>
      </c>
      <c r="J34" s="219">
        <f t="shared" si="2"/>
        <v>0</v>
      </c>
      <c r="K34" s="216"/>
      <c r="L34" s="219">
        <f t="shared" si="4"/>
        <v>0</v>
      </c>
      <c r="M34" s="219">
        <f t="shared" si="5"/>
        <v>0</v>
      </c>
      <c r="N34" s="218">
        <f t="shared" si="6"/>
        <v>0</v>
      </c>
      <c r="O34" s="216">
        <f t="shared" si="7"/>
        <v>0</v>
      </c>
      <c r="P34" s="219">
        <f t="shared" si="3"/>
        <v>0</v>
      </c>
      <c r="Q34" s="216"/>
    </row>
    <row r="35" spans="2:17">
      <c r="B35" s="216">
        <v>27</v>
      </c>
      <c r="C35" s="216"/>
      <c r="D35" s="216">
        <f t="shared" si="8"/>
        <v>0</v>
      </c>
      <c r="E35" s="219">
        <f t="shared" si="0"/>
        <v>0</v>
      </c>
      <c r="F35" s="216"/>
      <c r="G35" s="216">
        <v>0</v>
      </c>
      <c r="H35" s="219">
        <f t="shared" si="1"/>
        <v>0</v>
      </c>
      <c r="I35" s="216">
        <v>0</v>
      </c>
      <c r="J35" s="219">
        <f t="shared" si="2"/>
        <v>0</v>
      </c>
      <c r="K35" s="216"/>
      <c r="L35" s="219">
        <f t="shared" si="4"/>
        <v>0</v>
      </c>
      <c r="M35" s="219">
        <f t="shared" si="5"/>
        <v>0</v>
      </c>
      <c r="N35" s="218">
        <f t="shared" si="6"/>
        <v>0</v>
      </c>
      <c r="O35" s="216">
        <f t="shared" si="7"/>
        <v>0</v>
      </c>
      <c r="P35" s="219">
        <f t="shared" si="3"/>
        <v>0</v>
      </c>
      <c r="Q35" s="216"/>
    </row>
    <row r="36" spans="2:17">
      <c r="B36" s="216">
        <v>28</v>
      </c>
      <c r="C36" s="216"/>
      <c r="D36" s="216">
        <f t="shared" si="8"/>
        <v>0</v>
      </c>
      <c r="E36" s="219">
        <f t="shared" si="0"/>
        <v>0</v>
      </c>
      <c r="F36" s="216"/>
      <c r="G36" s="216">
        <v>0</v>
      </c>
      <c r="H36" s="219">
        <f t="shared" si="1"/>
        <v>0</v>
      </c>
      <c r="I36" s="216">
        <v>0</v>
      </c>
      <c r="J36" s="219">
        <f t="shared" si="2"/>
        <v>0</v>
      </c>
      <c r="K36" s="216"/>
      <c r="L36" s="219">
        <f t="shared" si="4"/>
        <v>0</v>
      </c>
      <c r="M36" s="219">
        <f t="shared" si="5"/>
        <v>0</v>
      </c>
      <c r="N36" s="218">
        <f t="shared" si="6"/>
        <v>0</v>
      </c>
      <c r="O36" s="216">
        <f t="shared" si="7"/>
        <v>0</v>
      </c>
      <c r="P36" s="219">
        <f t="shared" si="3"/>
        <v>0</v>
      </c>
      <c r="Q36" s="216"/>
    </row>
    <row r="37" spans="2:17">
      <c r="B37" s="216">
        <v>29</v>
      </c>
      <c r="C37" s="216"/>
      <c r="D37" s="216">
        <f t="shared" si="8"/>
        <v>0</v>
      </c>
      <c r="E37" s="219">
        <f t="shared" si="0"/>
        <v>0</v>
      </c>
      <c r="F37" s="216"/>
      <c r="G37" s="216">
        <v>0</v>
      </c>
      <c r="H37" s="219">
        <f t="shared" si="1"/>
        <v>0</v>
      </c>
      <c r="I37" s="216">
        <v>0</v>
      </c>
      <c r="J37" s="219">
        <f t="shared" si="2"/>
        <v>0</v>
      </c>
      <c r="K37" s="216"/>
      <c r="L37" s="219">
        <f t="shared" si="4"/>
        <v>0</v>
      </c>
      <c r="M37" s="219">
        <f t="shared" si="5"/>
        <v>0</v>
      </c>
      <c r="N37" s="218">
        <f t="shared" si="6"/>
        <v>0</v>
      </c>
      <c r="O37" s="216">
        <f t="shared" si="7"/>
        <v>0</v>
      </c>
      <c r="P37" s="219">
        <f t="shared" si="3"/>
        <v>0</v>
      </c>
      <c r="Q37" s="216"/>
    </row>
    <row r="38" spans="2:17">
      <c r="B38" s="216">
        <v>30</v>
      </c>
      <c r="D38" s="216">
        <f t="shared" si="8"/>
        <v>0</v>
      </c>
      <c r="E38" s="219">
        <f t="shared" si="0"/>
        <v>0</v>
      </c>
      <c r="F38" s="3"/>
      <c r="G38" s="3"/>
      <c r="H38" s="219">
        <f t="shared" si="1"/>
        <v>0</v>
      </c>
      <c r="I38" s="3"/>
      <c r="J38" s="219">
        <f t="shared" si="2"/>
        <v>0</v>
      </c>
      <c r="K38" s="3"/>
      <c r="L38" s="219">
        <f t="shared" si="4"/>
        <v>0</v>
      </c>
      <c r="M38" s="219">
        <f t="shared" si="5"/>
        <v>0</v>
      </c>
      <c r="N38" s="218">
        <f t="shared" si="6"/>
        <v>0</v>
      </c>
      <c r="O38" s="216">
        <f t="shared" si="7"/>
        <v>0</v>
      </c>
      <c r="P38" s="219">
        <f t="shared" si="3"/>
        <v>0</v>
      </c>
      <c r="Q38" s="3"/>
    </row>
    <row r="39" spans="2:17">
      <c r="B39" s="222">
        <v>31</v>
      </c>
      <c r="D39" s="216">
        <f t="shared" si="8"/>
        <v>0</v>
      </c>
      <c r="E39" s="219">
        <f t="shared" si="0"/>
        <v>0</v>
      </c>
      <c r="F39" s="223"/>
      <c r="G39" s="223"/>
      <c r="H39" s="219">
        <f t="shared" si="1"/>
        <v>0</v>
      </c>
      <c r="I39" s="223"/>
      <c r="J39" s="219">
        <f t="shared" si="2"/>
        <v>0</v>
      </c>
      <c r="K39" s="223"/>
      <c r="L39" s="219">
        <f t="shared" si="4"/>
        <v>0</v>
      </c>
      <c r="M39" s="219">
        <f t="shared" si="5"/>
        <v>0</v>
      </c>
      <c r="N39" s="218">
        <f t="shared" si="6"/>
        <v>0</v>
      </c>
      <c r="O39" s="216">
        <f t="shared" si="7"/>
        <v>0</v>
      </c>
      <c r="P39" s="219">
        <f t="shared" si="3"/>
        <v>0</v>
      </c>
      <c r="Q39" s="223"/>
    </row>
    <row r="40" spans="2:17">
      <c r="B40" s="928" t="s">
        <v>10</v>
      </c>
      <c r="C40" s="929"/>
      <c r="D40" s="929"/>
      <c r="E40" s="930"/>
      <c r="F40" s="130">
        <f t="shared" ref="F40:N40" si="9">SUM(F9:F39)</f>
        <v>0</v>
      </c>
      <c r="G40" s="239">
        <f t="shared" si="9"/>
        <v>0</v>
      </c>
      <c r="H40" s="224">
        <f t="shared" si="9"/>
        <v>0</v>
      </c>
      <c r="I40" s="130"/>
      <c r="J40" s="130"/>
      <c r="K40" s="239">
        <f t="shared" si="9"/>
        <v>0</v>
      </c>
      <c r="L40" s="224">
        <f t="shared" si="9"/>
        <v>0</v>
      </c>
      <c r="M40" s="148"/>
      <c r="N40" s="130">
        <f t="shared" si="9"/>
        <v>0</v>
      </c>
      <c r="O40" s="130"/>
      <c r="P40" s="130"/>
      <c r="Q40" s="3"/>
    </row>
    <row r="42" spans="2:17">
      <c r="B42" s="931" t="s">
        <v>23</v>
      </c>
      <c r="C42" s="931"/>
      <c r="D42" s="931"/>
      <c r="E42" s="931"/>
      <c r="F42" s="3"/>
      <c r="G42" s="130">
        <f>G40*S7/1000</f>
        <v>0</v>
      </c>
      <c r="H42" s="151">
        <f>+G39*S6/1000</f>
        <v>0</v>
      </c>
      <c r="J42" s="3" t="s">
        <v>36</v>
      </c>
      <c r="K42" s="3"/>
      <c r="L42" s="130">
        <f>K40*S7/1000</f>
        <v>0</v>
      </c>
    </row>
  </sheetData>
  <mergeCells count="19">
    <mergeCell ref="B2:Q2"/>
    <mergeCell ref="S2:T2"/>
    <mergeCell ref="B3:Q3"/>
    <mergeCell ref="S3:V3"/>
    <mergeCell ref="B4:Q4"/>
    <mergeCell ref="S4:V4"/>
    <mergeCell ref="A5:Q5"/>
    <mergeCell ref="S5:V5"/>
    <mergeCell ref="D6:F6"/>
    <mergeCell ref="G6:H6"/>
    <mergeCell ref="I6:J6"/>
    <mergeCell ref="K6:L6"/>
    <mergeCell ref="O6:P6"/>
    <mergeCell ref="S6:V6"/>
    <mergeCell ref="S7:V7"/>
    <mergeCell ref="S8:V8"/>
    <mergeCell ref="B40:E40"/>
    <mergeCell ref="B42:E42"/>
    <mergeCell ref="M6:M8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W43"/>
  <sheetViews>
    <sheetView topLeftCell="B1" zoomScale="80" zoomScaleNormal="80" workbookViewId="0">
      <pane ySplit="8" topLeftCell="A9" activePane="bottomLeft" state="frozen"/>
      <selection pane="bottomLeft" activeCell="S2" sqref="S2:T2"/>
    </sheetView>
  </sheetViews>
  <sheetFormatPr defaultColWidth="9" defaultRowHeight="15"/>
  <cols>
    <col min="1" max="1" width="9" hidden="1" customWidth="1"/>
    <col min="3" max="3" width="9" hidden="1" customWidth="1"/>
    <col min="5" max="5" width="10.42578125" customWidth="1"/>
    <col min="6" max="6" width="9" hidden="1" customWidth="1"/>
    <col min="8" max="8" width="10.42578125" customWidth="1"/>
    <col min="10" max="10" width="10.42578125" customWidth="1"/>
    <col min="11" max="11" width="10.5703125" customWidth="1"/>
    <col min="12" max="13" width="10.42578125" customWidth="1"/>
    <col min="14" max="14" width="12" customWidth="1"/>
    <col min="15" max="15" width="8.28515625" customWidth="1"/>
    <col min="16" max="17" width="10.42578125" customWidth="1"/>
    <col min="18" max="18" width="18.28515625" customWidth="1"/>
    <col min="19" max="19" width="11" customWidth="1"/>
    <col min="20" max="20" width="3" hidden="1" customWidth="1"/>
    <col min="21" max="21" width="6.140625" customWidth="1"/>
    <col min="22" max="22" width="6.28515625" customWidth="1"/>
    <col min="23" max="23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129" t="s">
        <v>55</v>
      </c>
      <c r="S2" s="931" t="s">
        <v>60</v>
      </c>
      <c r="T2" s="931"/>
      <c r="U2" s="129" t="s">
        <v>1</v>
      </c>
      <c r="V2" s="227">
        <v>2023</v>
      </c>
      <c r="W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129" t="s">
        <v>3</v>
      </c>
      <c r="S3" s="931"/>
      <c r="T3" s="931"/>
      <c r="U3" s="931"/>
      <c r="V3" s="931"/>
      <c r="W3" s="170"/>
    </row>
    <row r="4" spans="1:23" ht="21">
      <c r="B4" s="939" t="s">
        <v>61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129" t="s">
        <v>5</v>
      </c>
      <c r="S4" s="931"/>
      <c r="T4" s="931"/>
      <c r="U4" s="931"/>
      <c r="V4" s="931"/>
      <c r="W4" s="170"/>
    </row>
    <row r="5" spans="1:23" ht="21">
      <c r="A5" s="932" t="s">
        <v>62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933"/>
      <c r="R5" s="129" t="s">
        <v>7</v>
      </c>
      <c r="S5" s="931"/>
      <c r="T5" s="931"/>
      <c r="U5" s="931"/>
      <c r="V5" s="931"/>
      <c r="W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942" t="s">
        <v>12</v>
      </c>
      <c r="N6" s="215"/>
      <c r="O6" s="934" t="s">
        <v>13</v>
      </c>
      <c r="P6" s="934"/>
      <c r="Q6" s="225" t="s">
        <v>14</v>
      </c>
      <c r="R6" s="129" t="s">
        <v>15</v>
      </c>
      <c r="S6" s="931">
        <v>442.39499999999998</v>
      </c>
      <c r="T6" s="931"/>
      <c r="U6" s="931"/>
      <c r="V6" s="931"/>
      <c r="W6" s="170"/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16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18</v>
      </c>
      <c r="M7" s="943"/>
      <c r="N7" s="217"/>
      <c r="O7" s="217" t="s">
        <v>16</v>
      </c>
      <c r="P7" s="217" t="s">
        <v>17</v>
      </c>
      <c r="Q7" s="226"/>
      <c r="R7" s="129" t="s">
        <v>19</v>
      </c>
      <c r="S7" s="931">
        <v>3.3180000000000001</v>
      </c>
      <c r="T7" s="931"/>
      <c r="U7" s="931"/>
      <c r="V7" s="931"/>
      <c r="W7" s="170"/>
    </row>
    <row r="8" spans="1:23">
      <c r="B8" s="216"/>
      <c r="C8" s="216"/>
      <c r="D8" s="217" t="s">
        <v>21</v>
      </c>
      <c r="E8" s="217" t="s">
        <v>22</v>
      </c>
      <c r="F8" s="217"/>
      <c r="G8" s="217" t="s">
        <v>21</v>
      </c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934"/>
      <c r="N8" s="217" t="s">
        <v>23</v>
      </c>
      <c r="O8" s="217" t="s">
        <v>21</v>
      </c>
      <c r="P8" s="217" t="s">
        <v>22</v>
      </c>
      <c r="Q8" s="226"/>
      <c r="R8" s="129" t="s">
        <v>24</v>
      </c>
      <c r="S8" s="941">
        <f>S6+S7</f>
        <v>445.71300000000002</v>
      </c>
      <c r="T8" s="941"/>
      <c r="U8" s="941"/>
      <c r="V8" s="941"/>
      <c r="W8" s="170"/>
    </row>
    <row r="9" spans="1:23">
      <c r="B9" s="216">
        <v>1</v>
      </c>
      <c r="C9" s="216"/>
      <c r="D9" s="216"/>
      <c r="E9" s="219">
        <f t="shared" ref="E9:E39" si="0">$S$8*D9/1000</f>
        <v>0</v>
      </c>
      <c r="F9" s="216"/>
      <c r="G9" s="216"/>
      <c r="H9" s="219">
        <f t="shared" ref="H9:H39" si="1">$S$8*G9/1000</f>
        <v>0</v>
      </c>
      <c r="I9" s="216">
        <f>+D9+G9</f>
        <v>0</v>
      </c>
      <c r="J9" s="219">
        <f t="shared" ref="J9:J39" si="2">$S$8*I9/1000</f>
        <v>0</v>
      </c>
      <c r="K9" s="216"/>
      <c r="L9" s="219">
        <f t="shared" ref="L9:L39" si="3">$S$8*K9/1000</f>
        <v>0</v>
      </c>
      <c r="M9" s="219">
        <f>K9*S$8/1000</f>
        <v>0</v>
      </c>
      <c r="N9" s="218">
        <f>$S$7*L9/1000</f>
        <v>0</v>
      </c>
      <c r="O9" s="216">
        <f>+I9-K9</f>
        <v>0</v>
      </c>
      <c r="P9" s="219">
        <f t="shared" ref="P9:P16" si="4">O9*S$8/1000</f>
        <v>0</v>
      </c>
      <c r="Q9" s="216"/>
      <c r="W9" s="170"/>
    </row>
    <row r="10" spans="1:23">
      <c r="B10" s="216">
        <v>2</v>
      </c>
      <c r="C10" s="216"/>
      <c r="D10" s="216"/>
      <c r="E10" s="219">
        <f t="shared" si="0"/>
        <v>0</v>
      </c>
      <c r="F10" s="216"/>
      <c r="G10" s="216"/>
      <c r="H10" s="219">
        <f t="shared" si="1"/>
        <v>0</v>
      </c>
      <c r="I10" s="216">
        <f t="shared" ref="I10:I39" si="5">+D10+G10</f>
        <v>0</v>
      </c>
      <c r="J10" s="219">
        <f t="shared" si="2"/>
        <v>0</v>
      </c>
      <c r="K10" s="216"/>
      <c r="L10" s="219">
        <f t="shared" si="3"/>
        <v>0</v>
      </c>
      <c r="M10" s="219">
        <f t="shared" ref="M10:M39" si="6">K10*S$8/1000</f>
        <v>0</v>
      </c>
      <c r="N10" s="218">
        <f t="shared" ref="N10:N39" si="7">$S$7*L10/1000</f>
        <v>0</v>
      </c>
      <c r="O10" s="216">
        <f>I10-K10</f>
        <v>0</v>
      </c>
      <c r="P10" s="219">
        <f t="shared" si="4"/>
        <v>0</v>
      </c>
      <c r="Q10" s="216"/>
    </row>
    <row r="11" spans="1:23">
      <c r="B11" s="216">
        <v>3</v>
      </c>
      <c r="C11" s="216"/>
      <c r="D11" s="216"/>
      <c r="E11" s="219">
        <f t="shared" si="0"/>
        <v>0</v>
      </c>
      <c r="F11" s="216"/>
      <c r="G11" s="216"/>
      <c r="H11" s="219">
        <f t="shared" si="1"/>
        <v>0</v>
      </c>
      <c r="I11" s="216">
        <f t="shared" si="5"/>
        <v>0</v>
      </c>
      <c r="J11" s="219">
        <f t="shared" si="2"/>
        <v>0</v>
      </c>
      <c r="K11" s="216"/>
      <c r="L11" s="219">
        <f t="shared" si="3"/>
        <v>0</v>
      </c>
      <c r="M11" s="219">
        <f t="shared" si="6"/>
        <v>0</v>
      </c>
      <c r="N11" s="218">
        <f t="shared" si="7"/>
        <v>0</v>
      </c>
      <c r="O11" s="216">
        <f t="shared" ref="O11:O16" si="8">I11-K11</f>
        <v>0</v>
      </c>
      <c r="P11" s="219">
        <f t="shared" si="4"/>
        <v>0</v>
      </c>
      <c r="Q11" s="216"/>
    </row>
    <row r="12" spans="1:23">
      <c r="B12" s="216">
        <v>4</v>
      </c>
      <c r="C12" s="216"/>
      <c r="D12" s="216"/>
      <c r="E12" s="219">
        <f t="shared" si="0"/>
        <v>0</v>
      </c>
      <c r="F12" s="216"/>
      <c r="G12" s="216"/>
      <c r="H12" s="219">
        <f t="shared" si="1"/>
        <v>0</v>
      </c>
      <c r="I12" s="216">
        <f t="shared" si="5"/>
        <v>0</v>
      </c>
      <c r="J12" s="219">
        <f t="shared" si="2"/>
        <v>0</v>
      </c>
      <c r="K12" s="216"/>
      <c r="L12" s="219">
        <f t="shared" si="3"/>
        <v>0</v>
      </c>
      <c r="M12" s="219">
        <f t="shared" si="6"/>
        <v>0</v>
      </c>
      <c r="N12" s="218">
        <f t="shared" si="7"/>
        <v>0</v>
      </c>
      <c r="O12" s="216">
        <f t="shared" si="8"/>
        <v>0</v>
      </c>
      <c r="P12" s="219">
        <f t="shared" si="4"/>
        <v>0</v>
      </c>
      <c r="Q12" s="216"/>
    </row>
    <row r="13" spans="1:23">
      <c r="B13" s="216">
        <v>5</v>
      </c>
      <c r="C13" s="216"/>
      <c r="D13" s="216"/>
      <c r="E13" s="219">
        <f t="shared" si="0"/>
        <v>0</v>
      </c>
      <c r="F13" s="216"/>
      <c r="G13" s="216"/>
      <c r="H13" s="219">
        <f t="shared" si="1"/>
        <v>0</v>
      </c>
      <c r="I13" s="216">
        <f t="shared" si="5"/>
        <v>0</v>
      </c>
      <c r="J13" s="219">
        <f t="shared" si="2"/>
        <v>0</v>
      </c>
      <c r="K13" s="216"/>
      <c r="L13" s="219">
        <f t="shared" si="3"/>
        <v>0</v>
      </c>
      <c r="M13" s="219">
        <f t="shared" si="6"/>
        <v>0</v>
      </c>
      <c r="N13" s="218">
        <f t="shared" si="7"/>
        <v>0</v>
      </c>
      <c r="O13" s="216">
        <f t="shared" si="8"/>
        <v>0</v>
      </c>
      <c r="P13" s="219">
        <f t="shared" si="4"/>
        <v>0</v>
      </c>
      <c r="Q13" s="216"/>
      <c r="R13" s="151"/>
    </row>
    <row r="14" spans="1:23">
      <c r="B14" s="216">
        <v>6</v>
      </c>
      <c r="C14" s="216"/>
      <c r="D14" s="216"/>
      <c r="E14" s="219">
        <f t="shared" si="0"/>
        <v>0</v>
      </c>
      <c r="F14" s="216"/>
      <c r="G14" s="216"/>
      <c r="H14" s="219">
        <f t="shared" si="1"/>
        <v>0</v>
      </c>
      <c r="I14" s="216">
        <f t="shared" si="5"/>
        <v>0</v>
      </c>
      <c r="J14" s="219">
        <f t="shared" si="2"/>
        <v>0</v>
      </c>
      <c r="K14" s="216"/>
      <c r="L14" s="219">
        <f t="shared" si="3"/>
        <v>0</v>
      </c>
      <c r="M14" s="219">
        <f t="shared" si="6"/>
        <v>0</v>
      </c>
      <c r="N14" s="218">
        <f t="shared" si="7"/>
        <v>0</v>
      </c>
      <c r="O14" s="216">
        <f t="shared" si="8"/>
        <v>0</v>
      </c>
      <c r="P14" s="219">
        <f t="shared" si="4"/>
        <v>0</v>
      </c>
      <c r="Q14" s="216"/>
      <c r="S14" s="234"/>
    </row>
    <row r="15" spans="1:23">
      <c r="B15" s="216">
        <v>7</v>
      </c>
      <c r="C15" s="216"/>
      <c r="D15" s="216"/>
      <c r="E15" s="219">
        <f t="shared" si="0"/>
        <v>0</v>
      </c>
      <c r="F15" s="216"/>
      <c r="G15" s="216"/>
      <c r="H15" s="219">
        <f t="shared" si="1"/>
        <v>0</v>
      </c>
      <c r="I15" s="216">
        <f t="shared" si="5"/>
        <v>0</v>
      </c>
      <c r="J15" s="219">
        <f t="shared" si="2"/>
        <v>0</v>
      </c>
      <c r="K15" s="216"/>
      <c r="L15" s="219">
        <f t="shared" si="3"/>
        <v>0</v>
      </c>
      <c r="M15" s="219">
        <f t="shared" si="6"/>
        <v>0</v>
      </c>
      <c r="N15" s="218">
        <f t="shared" si="7"/>
        <v>0</v>
      </c>
      <c r="O15" s="216">
        <f t="shared" si="8"/>
        <v>0</v>
      </c>
      <c r="P15" s="219">
        <f t="shared" si="4"/>
        <v>0</v>
      </c>
      <c r="Q15" s="216"/>
    </row>
    <row r="16" spans="1:23">
      <c r="B16" s="216">
        <v>8</v>
      </c>
      <c r="C16" s="216"/>
      <c r="D16" s="216"/>
      <c r="E16" s="219">
        <f t="shared" si="0"/>
        <v>0</v>
      </c>
      <c r="F16" s="216"/>
      <c r="G16" s="216"/>
      <c r="H16" s="219">
        <f t="shared" si="1"/>
        <v>0</v>
      </c>
      <c r="I16" s="216">
        <f t="shared" si="5"/>
        <v>0</v>
      </c>
      <c r="J16" s="219">
        <f t="shared" si="2"/>
        <v>0</v>
      </c>
      <c r="K16" s="216"/>
      <c r="L16" s="219">
        <f t="shared" si="3"/>
        <v>0</v>
      </c>
      <c r="M16" s="219">
        <f t="shared" si="6"/>
        <v>0</v>
      </c>
      <c r="N16" s="218">
        <f t="shared" si="7"/>
        <v>0</v>
      </c>
      <c r="O16" s="216">
        <f t="shared" si="8"/>
        <v>0</v>
      </c>
      <c r="P16" s="219">
        <f t="shared" si="4"/>
        <v>0</v>
      </c>
      <c r="Q16" s="216"/>
      <c r="S16" t="s">
        <v>63</v>
      </c>
    </row>
    <row r="17" spans="2:17">
      <c r="B17" s="216">
        <v>9</v>
      </c>
      <c r="C17" s="216"/>
      <c r="D17" s="216"/>
      <c r="E17" s="219">
        <f t="shared" si="0"/>
        <v>0</v>
      </c>
      <c r="F17" s="216"/>
      <c r="G17" s="216"/>
      <c r="H17" s="219">
        <f t="shared" si="1"/>
        <v>0</v>
      </c>
      <c r="I17" s="216">
        <f t="shared" si="5"/>
        <v>0</v>
      </c>
      <c r="J17" s="219">
        <f t="shared" si="2"/>
        <v>0</v>
      </c>
      <c r="K17" s="216"/>
      <c r="L17" s="219">
        <f t="shared" si="3"/>
        <v>0</v>
      </c>
      <c r="M17" s="219">
        <f t="shared" si="6"/>
        <v>0</v>
      </c>
      <c r="N17" s="218">
        <f t="shared" si="7"/>
        <v>0</v>
      </c>
      <c r="O17" s="216">
        <f t="shared" ref="O17:O39" si="9">+I17-K17</f>
        <v>0</v>
      </c>
      <c r="P17" s="219">
        <f t="shared" ref="P17:P39" si="10">O17*S$8/1000</f>
        <v>0</v>
      </c>
      <c r="Q17" s="216"/>
    </row>
    <row r="18" spans="2:17">
      <c r="B18" s="216">
        <v>10</v>
      </c>
      <c r="C18" s="216"/>
      <c r="D18" s="216"/>
      <c r="E18" s="219">
        <f t="shared" si="0"/>
        <v>0</v>
      </c>
      <c r="F18" s="216"/>
      <c r="G18" s="216"/>
      <c r="H18" s="219">
        <f t="shared" si="1"/>
        <v>0</v>
      </c>
      <c r="I18" s="216">
        <f t="shared" si="5"/>
        <v>0</v>
      </c>
      <c r="J18" s="219">
        <f t="shared" si="2"/>
        <v>0</v>
      </c>
      <c r="K18" s="216"/>
      <c r="L18" s="219">
        <f t="shared" si="3"/>
        <v>0</v>
      </c>
      <c r="M18" s="219">
        <f t="shared" si="6"/>
        <v>0</v>
      </c>
      <c r="N18" s="218">
        <f t="shared" si="7"/>
        <v>0</v>
      </c>
      <c r="O18" s="216">
        <f t="shared" si="9"/>
        <v>0</v>
      </c>
      <c r="P18" s="219">
        <f t="shared" si="10"/>
        <v>0</v>
      </c>
      <c r="Q18" s="216"/>
    </row>
    <row r="19" spans="2:17">
      <c r="B19" s="216">
        <v>11</v>
      </c>
      <c r="C19" s="216"/>
      <c r="D19" s="216"/>
      <c r="E19" s="219">
        <f t="shared" si="0"/>
        <v>0</v>
      </c>
      <c r="F19" s="216"/>
      <c r="G19" s="216"/>
      <c r="H19" s="219">
        <f t="shared" si="1"/>
        <v>0</v>
      </c>
      <c r="I19" s="216">
        <f t="shared" si="5"/>
        <v>0</v>
      </c>
      <c r="J19" s="219">
        <f t="shared" si="2"/>
        <v>0</v>
      </c>
      <c r="K19" s="216"/>
      <c r="L19" s="219">
        <f t="shared" si="3"/>
        <v>0</v>
      </c>
      <c r="M19" s="219">
        <f t="shared" si="6"/>
        <v>0</v>
      </c>
      <c r="N19" s="218">
        <f t="shared" si="7"/>
        <v>0</v>
      </c>
      <c r="O19" s="216">
        <f t="shared" si="9"/>
        <v>0</v>
      </c>
      <c r="P19" s="219">
        <f t="shared" si="10"/>
        <v>0</v>
      </c>
      <c r="Q19" s="216"/>
    </row>
    <row r="20" spans="2:17">
      <c r="B20" s="216">
        <v>12</v>
      </c>
      <c r="C20" s="216"/>
      <c r="D20" s="216"/>
      <c r="E20" s="219">
        <f t="shared" si="0"/>
        <v>0</v>
      </c>
      <c r="F20" s="216"/>
      <c r="G20" s="216"/>
      <c r="H20" s="219">
        <f t="shared" si="1"/>
        <v>0</v>
      </c>
      <c r="I20" s="216">
        <f t="shared" si="5"/>
        <v>0</v>
      </c>
      <c r="J20" s="219">
        <f t="shared" si="2"/>
        <v>0</v>
      </c>
      <c r="K20" s="216"/>
      <c r="L20" s="219">
        <f t="shared" si="3"/>
        <v>0</v>
      </c>
      <c r="M20" s="219">
        <f t="shared" si="6"/>
        <v>0</v>
      </c>
      <c r="N20" s="218">
        <f t="shared" si="7"/>
        <v>0</v>
      </c>
      <c r="O20" s="216">
        <f t="shared" si="9"/>
        <v>0</v>
      </c>
      <c r="P20" s="219">
        <f t="shared" si="10"/>
        <v>0</v>
      </c>
      <c r="Q20" s="216"/>
    </row>
    <row r="21" spans="2:17">
      <c r="B21" s="216">
        <v>13</v>
      </c>
      <c r="C21" s="216"/>
      <c r="D21" s="216"/>
      <c r="E21" s="219">
        <f t="shared" si="0"/>
        <v>0</v>
      </c>
      <c r="F21" s="216"/>
      <c r="G21" s="216"/>
      <c r="H21" s="219">
        <f t="shared" si="1"/>
        <v>0</v>
      </c>
      <c r="I21" s="216">
        <f t="shared" si="5"/>
        <v>0</v>
      </c>
      <c r="J21" s="219">
        <f t="shared" si="2"/>
        <v>0</v>
      </c>
      <c r="K21" s="216"/>
      <c r="L21" s="219">
        <f t="shared" si="3"/>
        <v>0</v>
      </c>
      <c r="M21" s="219">
        <f t="shared" si="6"/>
        <v>0</v>
      </c>
      <c r="N21" s="218">
        <f t="shared" si="7"/>
        <v>0</v>
      </c>
      <c r="O21" s="216">
        <f t="shared" si="9"/>
        <v>0</v>
      </c>
      <c r="P21" s="219">
        <f t="shared" si="10"/>
        <v>0</v>
      </c>
      <c r="Q21" s="216"/>
    </row>
    <row r="22" spans="2:17">
      <c r="B22" s="216">
        <v>14</v>
      </c>
      <c r="C22" s="216"/>
      <c r="D22" s="216"/>
      <c r="E22" s="219">
        <f t="shared" si="0"/>
        <v>0</v>
      </c>
      <c r="F22" s="216"/>
      <c r="G22" s="216"/>
      <c r="H22" s="219">
        <f t="shared" si="1"/>
        <v>0</v>
      </c>
      <c r="I22" s="216">
        <f t="shared" si="5"/>
        <v>0</v>
      </c>
      <c r="J22" s="219">
        <f t="shared" si="2"/>
        <v>0</v>
      </c>
      <c r="K22" s="216"/>
      <c r="L22" s="219">
        <f t="shared" si="3"/>
        <v>0</v>
      </c>
      <c r="M22" s="219">
        <f t="shared" si="6"/>
        <v>0</v>
      </c>
      <c r="N22" s="218">
        <f t="shared" si="7"/>
        <v>0</v>
      </c>
      <c r="O22" s="216">
        <f t="shared" si="9"/>
        <v>0</v>
      </c>
      <c r="P22" s="219">
        <f t="shared" si="10"/>
        <v>0</v>
      </c>
      <c r="Q22" s="216"/>
    </row>
    <row r="23" spans="2:17">
      <c r="B23" s="216">
        <v>15</v>
      </c>
      <c r="C23" s="216"/>
      <c r="D23" s="216"/>
      <c r="E23" s="219">
        <f t="shared" si="0"/>
        <v>0</v>
      </c>
      <c r="F23" s="216"/>
      <c r="G23" s="216"/>
      <c r="H23" s="219">
        <f t="shared" si="1"/>
        <v>0</v>
      </c>
      <c r="I23" s="216">
        <f t="shared" si="5"/>
        <v>0</v>
      </c>
      <c r="J23" s="219">
        <f t="shared" si="2"/>
        <v>0</v>
      </c>
      <c r="K23" s="216"/>
      <c r="L23" s="219">
        <f t="shared" si="3"/>
        <v>0</v>
      </c>
      <c r="M23" s="219">
        <f t="shared" si="6"/>
        <v>0</v>
      </c>
      <c r="N23" s="218">
        <f t="shared" si="7"/>
        <v>0</v>
      </c>
      <c r="O23" s="216">
        <f t="shared" si="9"/>
        <v>0</v>
      </c>
      <c r="P23" s="219">
        <f t="shared" si="10"/>
        <v>0</v>
      </c>
      <c r="Q23" s="216"/>
    </row>
    <row r="24" spans="2:17">
      <c r="B24" s="216">
        <v>16</v>
      </c>
      <c r="C24" s="216"/>
      <c r="D24" s="216"/>
      <c r="E24" s="219">
        <f t="shared" si="0"/>
        <v>0</v>
      </c>
      <c r="F24" s="216"/>
      <c r="G24" s="216"/>
      <c r="H24" s="219">
        <f t="shared" si="1"/>
        <v>0</v>
      </c>
      <c r="I24" s="216">
        <f t="shared" si="5"/>
        <v>0</v>
      </c>
      <c r="J24" s="219">
        <f t="shared" si="2"/>
        <v>0</v>
      </c>
      <c r="K24" s="216"/>
      <c r="L24" s="219">
        <f t="shared" si="3"/>
        <v>0</v>
      </c>
      <c r="M24" s="219">
        <f t="shared" si="6"/>
        <v>0</v>
      </c>
      <c r="N24" s="218">
        <f t="shared" si="7"/>
        <v>0</v>
      </c>
      <c r="O24" s="216">
        <f t="shared" si="9"/>
        <v>0</v>
      </c>
      <c r="P24" s="219">
        <f t="shared" si="10"/>
        <v>0</v>
      </c>
      <c r="Q24" s="216"/>
    </row>
    <row r="25" spans="2:17">
      <c r="B25" s="216">
        <v>17</v>
      </c>
      <c r="C25" s="216"/>
      <c r="D25" s="216"/>
      <c r="E25" s="219">
        <f t="shared" si="0"/>
        <v>0</v>
      </c>
      <c r="F25" s="216"/>
      <c r="G25" s="216"/>
      <c r="H25" s="219">
        <f t="shared" si="1"/>
        <v>0</v>
      </c>
      <c r="I25" s="216">
        <f t="shared" si="5"/>
        <v>0</v>
      </c>
      <c r="J25" s="219">
        <f t="shared" si="2"/>
        <v>0</v>
      </c>
      <c r="K25" s="216"/>
      <c r="L25" s="219">
        <f t="shared" si="3"/>
        <v>0</v>
      </c>
      <c r="M25" s="219">
        <f t="shared" si="6"/>
        <v>0</v>
      </c>
      <c r="N25" s="218">
        <f t="shared" si="7"/>
        <v>0</v>
      </c>
      <c r="O25" s="216">
        <f t="shared" si="9"/>
        <v>0</v>
      </c>
      <c r="P25" s="219">
        <f t="shared" si="10"/>
        <v>0</v>
      </c>
      <c r="Q25" s="216"/>
    </row>
    <row r="26" spans="2:17">
      <c r="B26" s="216">
        <v>18</v>
      </c>
      <c r="C26" s="216"/>
      <c r="D26" s="216"/>
      <c r="E26" s="219">
        <f t="shared" si="0"/>
        <v>0</v>
      </c>
      <c r="F26" s="216"/>
      <c r="G26" s="216"/>
      <c r="H26" s="219">
        <f t="shared" si="1"/>
        <v>0</v>
      </c>
      <c r="I26" s="216">
        <f t="shared" si="5"/>
        <v>0</v>
      </c>
      <c r="J26" s="219">
        <f t="shared" si="2"/>
        <v>0</v>
      </c>
      <c r="K26" s="216"/>
      <c r="L26" s="219">
        <f t="shared" si="3"/>
        <v>0</v>
      </c>
      <c r="M26" s="219">
        <f t="shared" si="6"/>
        <v>0</v>
      </c>
      <c r="N26" s="218">
        <f t="shared" si="7"/>
        <v>0</v>
      </c>
      <c r="O26" s="216">
        <f t="shared" si="9"/>
        <v>0</v>
      </c>
      <c r="P26" s="219">
        <f t="shared" si="10"/>
        <v>0</v>
      </c>
      <c r="Q26" s="216"/>
    </row>
    <row r="27" spans="2:17">
      <c r="B27" s="216">
        <v>19</v>
      </c>
      <c r="C27" s="216"/>
      <c r="D27" s="216"/>
      <c r="E27" s="219">
        <f t="shared" si="0"/>
        <v>0</v>
      </c>
      <c r="F27" s="216"/>
      <c r="G27" s="216"/>
      <c r="H27" s="219">
        <f t="shared" si="1"/>
        <v>0</v>
      </c>
      <c r="I27" s="216">
        <f t="shared" si="5"/>
        <v>0</v>
      </c>
      <c r="J27" s="219">
        <f t="shared" si="2"/>
        <v>0</v>
      </c>
      <c r="K27" s="216"/>
      <c r="L27" s="219">
        <f t="shared" si="3"/>
        <v>0</v>
      </c>
      <c r="M27" s="219">
        <f t="shared" si="6"/>
        <v>0</v>
      </c>
      <c r="N27" s="218">
        <f t="shared" si="7"/>
        <v>0</v>
      </c>
      <c r="O27" s="216">
        <f t="shared" si="9"/>
        <v>0</v>
      </c>
      <c r="P27" s="219">
        <f t="shared" si="10"/>
        <v>0</v>
      </c>
      <c r="Q27" s="216"/>
    </row>
    <row r="28" spans="2:17">
      <c r="B28" s="216">
        <v>20</v>
      </c>
      <c r="C28" s="216"/>
      <c r="D28" s="216"/>
      <c r="E28" s="219">
        <f t="shared" si="0"/>
        <v>0</v>
      </c>
      <c r="F28" s="216"/>
      <c r="G28" s="216"/>
      <c r="H28" s="219">
        <f t="shared" si="1"/>
        <v>0</v>
      </c>
      <c r="I28" s="216">
        <f t="shared" si="5"/>
        <v>0</v>
      </c>
      <c r="J28" s="219">
        <f t="shared" si="2"/>
        <v>0</v>
      </c>
      <c r="K28" s="216"/>
      <c r="L28" s="219">
        <f t="shared" si="3"/>
        <v>0</v>
      </c>
      <c r="M28" s="219">
        <f t="shared" si="6"/>
        <v>0</v>
      </c>
      <c r="N28" s="218">
        <f t="shared" si="7"/>
        <v>0</v>
      </c>
      <c r="O28" s="216">
        <f t="shared" si="9"/>
        <v>0</v>
      </c>
      <c r="P28" s="219">
        <f t="shared" si="10"/>
        <v>0</v>
      </c>
      <c r="Q28" s="216"/>
    </row>
    <row r="29" spans="2:17">
      <c r="B29" s="216">
        <v>21</v>
      </c>
      <c r="C29" s="216"/>
      <c r="D29" s="216"/>
      <c r="E29" s="219">
        <f t="shared" si="0"/>
        <v>0</v>
      </c>
      <c r="F29" s="216"/>
      <c r="G29" s="216"/>
      <c r="H29" s="219">
        <f t="shared" si="1"/>
        <v>0</v>
      </c>
      <c r="I29" s="216">
        <f t="shared" si="5"/>
        <v>0</v>
      </c>
      <c r="J29" s="219">
        <f t="shared" si="2"/>
        <v>0</v>
      </c>
      <c r="K29" s="216"/>
      <c r="L29" s="219">
        <f t="shared" si="3"/>
        <v>0</v>
      </c>
      <c r="M29" s="219">
        <f t="shared" si="6"/>
        <v>0</v>
      </c>
      <c r="N29" s="218">
        <f t="shared" si="7"/>
        <v>0</v>
      </c>
      <c r="O29" s="216">
        <f t="shared" si="9"/>
        <v>0</v>
      </c>
      <c r="P29" s="219">
        <f t="shared" si="10"/>
        <v>0</v>
      </c>
      <c r="Q29" s="216"/>
    </row>
    <row r="30" spans="2:17">
      <c r="B30" s="216">
        <v>22</v>
      </c>
      <c r="C30" s="216"/>
      <c r="D30" s="216"/>
      <c r="E30" s="219">
        <f t="shared" si="0"/>
        <v>0</v>
      </c>
      <c r="F30" s="216"/>
      <c r="G30" s="216"/>
      <c r="H30" s="219">
        <f t="shared" si="1"/>
        <v>0</v>
      </c>
      <c r="I30" s="216">
        <f t="shared" si="5"/>
        <v>0</v>
      </c>
      <c r="J30" s="219">
        <f t="shared" si="2"/>
        <v>0</v>
      </c>
      <c r="K30" s="216"/>
      <c r="L30" s="219">
        <f t="shared" si="3"/>
        <v>0</v>
      </c>
      <c r="M30" s="219">
        <f t="shared" si="6"/>
        <v>0</v>
      </c>
      <c r="N30" s="218">
        <f t="shared" si="7"/>
        <v>0</v>
      </c>
      <c r="O30" s="216">
        <f t="shared" si="9"/>
        <v>0</v>
      </c>
      <c r="P30" s="219">
        <f t="shared" si="10"/>
        <v>0</v>
      </c>
      <c r="Q30" s="216"/>
    </row>
    <row r="31" spans="2:17">
      <c r="B31" s="216">
        <v>23</v>
      </c>
      <c r="C31" s="216"/>
      <c r="D31" s="216"/>
      <c r="E31" s="219">
        <f t="shared" si="0"/>
        <v>0</v>
      </c>
      <c r="F31" s="216"/>
      <c r="G31" s="216"/>
      <c r="H31" s="219">
        <f t="shared" si="1"/>
        <v>0</v>
      </c>
      <c r="I31" s="216">
        <f t="shared" si="5"/>
        <v>0</v>
      </c>
      <c r="J31" s="219">
        <f t="shared" si="2"/>
        <v>0</v>
      </c>
      <c r="K31" s="216"/>
      <c r="L31" s="219">
        <f t="shared" si="3"/>
        <v>0</v>
      </c>
      <c r="M31" s="219">
        <f t="shared" si="6"/>
        <v>0</v>
      </c>
      <c r="N31" s="218">
        <f t="shared" si="7"/>
        <v>0</v>
      </c>
      <c r="O31" s="216">
        <f t="shared" si="9"/>
        <v>0</v>
      </c>
      <c r="P31" s="219">
        <f t="shared" si="10"/>
        <v>0</v>
      </c>
      <c r="Q31" s="216"/>
    </row>
    <row r="32" spans="2:17">
      <c r="B32" s="216">
        <v>24</v>
      </c>
      <c r="C32" s="216"/>
      <c r="D32" s="216"/>
      <c r="E32" s="219">
        <f t="shared" si="0"/>
        <v>0</v>
      </c>
      <c r="F32" s="216"/>
      <c r="G32" s="216"/>
      <c r="H32" s="219">
        <f t="shared" si="1"/>
        <v>0</v>
      </c>
      <c r="I32" s="216">
        <f t="shared" si="5"/>
        <v>0</v>
      </c>
      <c r="J32" s="219">
        <f t="shared" si="2"/>
        <v>0</v>
      </c>
      <c r="K32" s="216"/>
      <c r="L32" s="219">
        <f t="shared" si="3"/>
        <v>0</v>
      </c>
      <c r="M32" s="219">
        <f t="shared" si="6"/>
        <v>0</v>
      </c>
      <c r="N32" s="218">
        <f t="shared" si="7"/>
        <v>0</v>
      </c>
      <c r="O32" s="216">
        <f t="shared" si="9"/>
        <v>0</v>
      </c>
      <c r="P32" s="219">
        <f t="shared" si="10"/>
        <v>0</v>
      </c>
      <c r="Q32" s="216"/>
    </row>
    <row r="33" spans="2:18">
      <c r="B33" s="216">
        <v>25</v>
      </c>
      <c r="C33" s="216"/>
      <c r="D33" s="216"/>
      <c r="E33" s="219">
        <f t="shared" si="0"/>
        <v>0</v>
      </c>
      <c r="F33" s="216"/>
      <c r="G33" s="216"/>
      <c r="H33" s="219">
        <f t="shared" si="1"/>
        <v>0</v>
      </c>
      <c r="I33" s="216">
        <f t="shared" si="5"/>
        <v>0</v>
      </c>
      <c r="J33" s="219">
        <f t="shared" si="2"/>
        <v>0</v>
      </c>
      <c r="K33" s="216"/>
      <c r="L33" s="219">
        <f t="shared" si="3"/>
        <v>0</v>
      </c>
      <c r="M33" s="219">
        <f t="shared" si="6"/>
        <v>0</v>
      </c>
      <c r="N33" s="218">
        <f t="shared" si="7"/>
        <v>0</v>
      </c>
      <c r="O33" s="216">
        <f t="shared" si="9"/>
        <v>0</v>
      </c>
      <c r="P33" s="219">
        <f t="shared" si="10"/>
        <v>0</v>
      </c>
      <c r="Q33" s="216"/>
    </row>
    <row r="34" spans="2:18">
      <c r="B34" s="216">
        <v>26</v>
      </c>
      <c r="C34" s="216"/>
      <c r="D34" s="216"/>
      <c r="E34" s="219">
        <f t="shared" si="0"/>
        <v>0</v>
      </c>
      <c r="F34" s="216"/>
      <c r="G34" s="216"/>
      <c r="H34" s="219">
        <f t="shared" si="1"/>
        <v>0</v>
      </c>
      <c r="I34" s="216">
        <f t="shared" si="5"/>
        <v>0</v>
      </c>
      <c r="J34" s="219">
        <f t="shared" si="2"/>
        <v>0</v>
      </c>
      <c r="K34" s="216"/>
      <c r="L34" s="219">
        <f t="shared" si="3"/>
        <v>0</v>
      </c>
      <c r="M34" s="219">
        <f t="shared" si="6"/>
        <v>0</v>
      </c>
      <c r="N34" s="218">
        <f t="shared" si="7"/>
        <v>0</v>
      </c>
      <c r="O34" s="216">
        <f t="shared" si="9"/>
        <v>0</v>
      </c>
      <c r="P34" s="219">
        <f t="shared" si="10"/>
        <v>0</v>
      </c>
      <c r="Q34" s="216"/>
    </row>
    <row r="35" spans="2:18">
      <c r="B35" s="216">
        <v>27</v>
      </c>
      <c r="C35" s="216"/>
      <c r="D35" s="216"/>
      <c r="E35" s="219">
        <f t="shared" si="0"/>
        <v>0</v>
      </c>
      <c r="F35" s="216"/>
      <c r="G35" s="216"/>
      <c r="H35" s="219">
        <f t="shared" si="1"/>
        <v>0</v>
      </c>
      <c r="I35" s="216">
        <f t="shared" si="5"/>
        <v>0</v>
      </c>
      <c r="J35" s="219">
        <f t="shared" si="2"/>
        <v>0</v>
      </c>
      <c r="K35" s="216"/>
      <c r="L35" s="219">
        <f t="shared" si="3"/>
        <v>0</v>
      </c>
      <c r="M35" s="219">
        <f t="shared" si="6"/>
        <v>0</v>
      </c>
      <c r="N35" s="218">
        <f t="shared" si="7"/>
        <v>0</v>
      </c>
      <c r="O35" s="216">
        <f t="shared" si="9"/>
        <v>0</v>
      </c>
      <c r="P35" s="219">
        <f t="shared" si="10"/>
        <v>0</v>
      </c>
      <c r="Q35" s="216"/>
    </row>
    <row r="36" spans="2:18">
      <c r="B36" s="216">
        <v>28</v>
      </c>
      <c r="C36" s="216"/>
      <c r="D36" s="216"/>
      <c r="E36" s="219">
        <f t="shared" si="0"/>
        <v>0</v>
      </c>
      <c r="F36" s="216"/>
      <c r="G36" s="216"/>
      <c r="H36" s="219">
        <f t="shared" si="1"/>
        <v>0</v>
      </c>
      <c r="I36" s="216">
        <f t="shared" si="5"/>
        <v>0</v>
      </c>
      <c r="J36" s="219">
        <f t="shared" si="2"/>
        <v>0</v>
      </c>
      <c r="K36" s="216"/>
      <c r="L36" s="219">
        <f t="shared" si="3"/>
        <v>0</v>
      </c>
      <c r="M36" s="219">
        <f t="shared" si="6"/>
        <v>0</v>
      </c>
      <c r="N36" s="218">
        <f t="shared" si="7"/>
        <v>0</v>
      </c>
      <c r="O36" s="216">
        <f t="shared" si="9"/>
        <v>0</v>
      </c>
      <c r="P36" s="219">
        <f t="shared" si="10"/>
        <v>0</v>
      </c>
      <c r="Q36" s="216"/>
    </row>
    <row r="37" spans="2:18">
      <c r="B37" s="216">
        <v>29</v>
      </c>
      <c r="C37" s="216"/>
      <c r="D37" s="216"/>
      <c r="E37" s="219">
        <f t="shared" si="0"/>
        <v>0</v>
      </c>
      <c r="F37" s="216"/>
      <c r="G37" s="216"/>
      <c r="H37" s="219">
        <f t="shared" si="1"/>
        <v>0</v>
      </c>
      <c r="I37" s="216">
        <f t="shared" si="5"/>
        <v>0</v>
      </c>
      <c r="J37" s="219">
        <f t="shared" si="2"/>
        <v>0</v>
      </c>
      <c r="K37" s="216"/>
      <c r="L37" s="219">
        <f t="shared" si="3"/>
        <v>0</v>
      </c>
      <c r="M37" s="219">
        <f t="shared" si="6"/>
        <v>0</v>
      </c>
      <c r="N37" s="218">
        <f t="shared" si="7"/>
        <v>0</v>
      </c>
      <c r="O37" s="216">
        <f t="shared" si="9"/>
        <v>0</v>
      </c>
      <c r="P37" s="219">
        <f t="shared" si="10"/>
        <v>0</v>
      </c>
      <c r="Q37" s="216"/>
    </row>
    <row r="38" spans="2:18">
      <c r="B38" s="216">
        <v>30</v>
      </c>
      <c r="D38" s="216"/>
      <c r="E38" s="219">
        <f t="shared" si="0"/>
        <v>0</v>
      </c>
      <c r="F38" s="3"/>
      <c r="G38" s="3"/>
      <c r="H38" s="219">
        <f t="shared" si="1"/>
        <v>0</v>
      </c>
      <c r="I38" s="216">
        <f t="shared" si="5"/>
        <v>0</v>
      </c>
      <c r="J38" s="219">
        <f t="shared" si="2"/>
        <v>0</v>
      </c>
      <c r="K38" s="3"/>
      <c r="L38" s="219">
        <f>K38*S6/1000</f>
        <v>0</v>
      </c>
      <c r="M38" s="219">
        <f t="shared" si="6"/>
        <v>0</v>
      </c>
      <c r="N38" s="218">
        <f>K38*S7/1000</f>
        <v>0</v>
      </c>
      <c r="O38" s="216">
        <f t="shared" si="9"/>
        <v>0</v>
      </c>
      <c r="P38" s="219">
        <f t="shared" si="10"/>
        <v>0</v>
      </c>
      <c r="Q38" s="3"/>
    </row>
    <row r="39" spans="2:18">
      <c r="B39" s="222">
        <v>31</v>
      </c>
      <c r="D39" s="216"/>
      <c r="E39" s="219">
        <f t="shared" si="0"/>
        <v>0</v>
      </c>
      <c r="F39" s="223"/>
      <c r="G39" s="223"/>
      <c r="H39" s="219">
        <f t="shared" si="1"/>
        <v>0</v>
      </c>
      <c r="I39" s="216">
        <f t="shared" si="5"/>
        <v>0</v>
      </c>
      <c r="J39" s="219">
        <f t="shared" si="2"/>
        <v>0</v>
      </c>
      <c r="K39" s="223"/>
      <c r="L39" s="219">
        <f t="shared" si="3"/>
        <v>0</v>
      </c>
      <c r="M39" s="219">
        <f t="shared" si="6"/>
        <v>0</v>
      </c>
      <c r="N39" s="218">
        <f t="shared" si="7"/>
        <v>0</v>
      </c>
      <c r="O39" s="216">
        <f t="shared" si="9"/>
        <v>0</v>
      </c>
      <c r="P39" s="219">
        <f t="shared" si="10"/>
        <v>0</v>
      </c>
      <c r="Q39" s="223"/>
    </row>
    <row r="40" spans="2:18">
      <c r="B40" s="928" t="s">
        <v>10</v>
      </c>
      <c r="C40" s="929"/>
      <c r="D40" s="929"/>
      <c r="E40" s="930"/>
      <c r="F40" s="130">
        <f t="shared" ref="F40:N40" si="11">SUM(F9:F39)</f>
        <v>0</v>
      </c>
      <c r="G40" s="224">
        <f t="shared" si="11"/>
        <v>0</v>
      </c>
      <c r="H40" s="224">
        <f t="shared" si="11"/>
        <v>0</v>
      </c>
      <c r="I40" s="130"/>
      <c r="J40" s="130"/>
      <c r="K40" s="239">
        <f t="shared" si="11"/>
        <v>0</v>
      </c>
      <c r="L40" s="224">
        <f t="shared" si="11"/>
        <v>0</v>
      </c>
      <c r="M40" s="224">
        <f t="shared" si="11"/>
        <v>0</v>
      </c>
      <c r="N40" s="148">
        <f t="shared" si="11"/>
        <v>0</v>
      </c>
      <c r="O40" s="130"/>
      <c r="P40" s="130"/>
      <c r="Q40" s="3"/>
    </row>
    <row r="42" spans="2:18">
      <c r="B42" s="931" t="s">
        <v>23</v>
      </c>
      <c r="C42" s="931"/>
      <c r="D42" s="931"/>
      <c r="E42" s="130">
        <f>G40*S7/1000</f>
        <v>0</v>
      </c>
      <c r="J42" t="s">
        <v>36</v>
      </c>
      <c r="L42" s="837">
        <f>K40*S7/1000</f>
        <v>0</v>
      </c>
      <c r="N42" s="151"/>
    </row>
    <row r="43" spans="2:18">
      <c r="R43" s="151"/>
    </row>
  </sheetData>
  <mergeCells count="19">
    <mergeCell ref="B2:Q2"/>
    <mergeCell ref="S2:T2"/>
    <mergeCell ref="B3:Q3"/>
    <mergeCell ref="S3:V3"/>
    <mergeCell ref="B4:Q4"/>
    <mergeCell ref="S4:V4"/>
    <mergeCell ref="A5:Q5"/>
    <mergeCell ref="S5:V5"/>
    <mergeCell ref="D6:F6"/>
    <mergeCell ref="G6:H6"/>
    <mergeCell ref="I6:J6"/>
    <mergeCell ref="K6:L6"/>
    <mergeCell ref="O6:P6"/>
    <mergeCell ref="S6:V6"/>
    <mergeCell ref="S7:V7"/>
    <mergeCell ref="S8:V8"/>
    <mergeCell ref="B40:E40"/>
    <mergeCell ref="B42:D42"/>
    <mergeCell ref="M6:M8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W42"/>
  <sheetViews>
    <sheetView zoomScale="80" zoomScaleNormal="80" workbookViewId="0">
      <pane ySplit="8" topLeftCell="A9" activePane="bottomLeft" state="frozen"/>
      <selection pane="bottomLeft" activeCell="V23" sqref="V23"/>
    </sheetView>
  </sheetViews>
  <sheetFormatPr defaultColWidth="9" defaultRowHeight="15"/>
  <cols>
    <col min="1" max="1" width="9" hidden="1" customWidth="1"/>
    <col min="3" max="3" width="9" hidden="1" customWidth="1"/>
    <col min="5" max="5" width="10.42578125" customWidth="1"/>
    <col min="6" max="6" width="9" hidden="1" customWidth="1"/>
    <col min="8" max="8" width="10.42578125" customWidth="1"/>
    <col min="10" max="10" width="10.42578125" customWidth="1"/>
    <col min="11" max="11" width="11.140625" customWidth="1"/>
    <col min="12" max="13" width="10.42578125" customWidth="1"/>
    <col min="14" max="14" width="12" customWidth="1"/>
    <col min="15" max="15" width="8.28515625" customWidth="1"/>
    <col min="16" max="17" width="10.42578125" customWidth="1"/>
    <col min="18" max="18" width="18.28515625" customWidth="1"/>
    <col min="19" max="19" width="8" customWidth="1"/>
    <col min="20" max="20" width="3.28515625" customWidth="1"/>
    <col min="21" max="21" width="6.140625" customWidth="1"/>
    <col min="22" max="22" width="6.28515625" customWidth="1"/>
    <col min="23" max="23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129"/>
      <c r="S2" s="931"/>
      <c r="T2" s="931"/>
      <c r="U2" s="129"/>
      <c r="V2" s="227"/>
      <c r="W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129" t="s">
        <v>3</v>
      </c>
      <c r="S3" s="931"/>
      <c r="T3" s="931"/>
      <c r="U3" s="931"/>
      <c r="V3" s="931"/>
      <c r="W3" s="170"/>
    </row>
    <row r="4" spans="1:23" ht="21">
      <c r="B4" s="939" t="s">
        <v>64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129" t="s">
        <v>5</v>
      </c>
      <c r="S4" s="931"/>
      <c r="T4" s="931"/>
      <c r="U4" s="931"/>
      <c r="V4" s="931"/>
      <c r="W4" s="170"/>
    </row>
    <row r="5" spans="1:23" ht="21">
      <c r="A5" s="932" t="s">
        <v>65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933"/>
      <c r="R5" s="129" t="s">
        <v>7</v>
      </c>
      <c r="S5" s="931"/>
      <c r="T5" s="931"/>
      <c r="U5" s="931"/>
      <c r="V5" s="931"/>
      <c r="W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942" t="s">
        <v>12</v>
      </c>
      <c r="N6" s="215"/>
      <c r="O6" s="934" t="s">
        <v>13</v>
      </c>
      <c r="P6" s="934"/>
      <c r="Q6" s="225" t="s">
        <v>14</v>
      </c>
      <c r="R6" s="129" t="s">
        <v>15</v>
      </c>
      <c r="S6" s="931">
        <v>279.80599999999998</v>
      </c>
      <c r="T6" s="931"/>
      <c r="U6" s="931"/>
      <c r="V6" s="931"/>
      <c r="W6" s="170"/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16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18</v>
      </c>
      <c r="M7" s="943"/>
      <c r="N7" s="217"/>
      <c r="O7" s="217" t="s">
        <v>16</v>
      </c>
      <c r="P7" s="217" t="s">
        <v>17</v>
      </c>
      <c r="Q7" s="226"/>
      <c r="R7" s="129" t="s">
        <v>19</v>
      </c>
      <c r="S7" s="931">
        <v>2.0990000000000002</v>
      </c>
      <c r="T7" s="931"/>
      <c r="U7" s="931"/>
      <c r="V7" s="931"/>
      <c r="W7" s="170"/>
    </row>
    <row r="8" spans="1:23">
      <c r="B8" s="216"/>
      <c r="C8" s="216"/>
      <c r="D8" s="217" t="s">
        <v>21</v>
      </c>
      <c r="E8" s="217" t="s">
        <v>22</v>
      </c>
      <c r="F8" s="217"/>
      <c r="G8" s="217" t="s">
        <v>21</v>
      </c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934"/>
      <c r="N8" s="217" t="s">
        <v>23</v>
      </c>
      <c r="O8" s="217" t="s">
        <v>21</v>
      </c>
      <c r="P8" s="217" t="s">
        <v>22</v>
      </c>
      <c r="Q8" s="226"/>
      <c r="R8" s="129" t="s">
        <v>24</v>
      </c>
      <c r="S8" s="941">
        <f>S6+S7</f>
        <v>281.90499999999997</v>
      </c>
      <c r="T8" s="941"/>
      <c r="U8" s="941"/>
      <c r="V8" s="941"/>
      <c r="W8" s="170"/>
    </row>
    <row r="9" spans="1:23">
      <c r="B9" s="216">
        <v>1</v>
      </c>
      <c r="C9" s="216"/>
      <c r="D9" s="216"/>
      <c r="E9" s="218">
        <f>D9*S$8/1000</f>
        <v>0</v>
      </c>
      <c r="F9" s="216"/>
      <c r="G9" s="216"/>
      <c r="H9" s="218">
        <f>G9*S6/1000</f>
        <v>0</v>
      </c>
      <c r="I9" s="216">
        <f>SUM(D9+G9)</f>
        <v>0</v>
      </c>
      <c r="J9" s="218">
        <f>I9*S6/1000</f>
        <v>0</v>
      </c>
      <c r="K9" s="216">
        <v>0</v>
      </c>
      <c r="L9" s="216">
        <f>K9*S6/1000</f>
        <v>0</v>
      </c>
      <c r="M9" s="216">
        <f>K9*S$8/1000</f>
        <v>0</v>
      </c>
      <c r="N9" s="218">
        <f>$S$7*L9/1000</f>
        <v>0</v>
      </c>
      <c r="O9" s="216">
        <f>SUM(I9-K9)</f>
        <v>0</v>
      </c>
      <c r="P9" s="218">
        <f>O9*S$8/1000</f>
        <v>0</v>
      </c>
      <c r="Q9" s="216"/>
      <c r="W9" s="170"/>
    </row>
    <row r="10" spans="1:23">
      <c r="B10" s="216">
        <v>2</v>
      </c>
      <c r="C10" s="216"/>
      <c r="D10" s="216"/>
      <c r="E10" s="218">
        <f t="shared" ref="E10:E39" si="0">D10*S$8/1000</f>
        <v>0</v>
      </c>
      <c r="F10" s="216"/>
      <c r="G10" s="216">
        <v>0</v>
      </c>
      <c r="H10" s="218">
        <f t="shared" ref="H10:H39" si="1">G10*S7/1000</f>
        <v>0</v>
      </c>
      <c r="I10" s="216">
        <f t="shared" ref="I10:I39" si="2">SUM(D10+G10)</f>
        <v>0</v>
      </c>
      <c r="J10" s="218">
        <f t="shared" ref="J10:J39" si="3">I10*S7/1000</f>
        <v>0</v>
      </c>
      <c r="K10" s="216">
        <v>0</v>
      </c>
      <c r="L10" s="216">
        <f t="shared" ref="L10:L39" si="4">K10*S7/1000</f>
        <v>0</v>
      </c>
      <c r="M10" s="216">
        <f t="shared" ref="M10:M39" si="5">K10*S$8/1000</f>
        <v>0</v>
      </c>
      <c r="N10" s="218">
        <f t="shared" ref="N10:N39" si="6">$S$7*L10/1000</f>
        <v>0</v>
      </c>
      <c r="O10" s="216">
        <f t="shared" ref="O10:O39" si="7">SUM(I10-K10)</f>
        <v>0</v>
      </c>
      <c r="P10" s="218">
        <f t="shared" ref="P10:P39" si="8">O10*S$8/1000</f>
        <v>0</v>
      </c>
      <c r="Q10" s="216"/>
    </row>
    <row r="11" spans="1:23">
      <c r="B11" s="216">
        <v>3</v>
      </c>
      <c r="C11" s="216"/>
      <c r="D11" s="216"/>
      <c r="E11" s="218">
        <f t="shared" si="0"/>
        <v>0</v>
      </c>
      <c r="F11" s="216"/>
      <c r="G11" s="216">
        <v>0</v>
      </c>
      <c r="H11" s="218">
        <f t="shared" si="1"/>
        <v>0</v>
      </c>
      <c r="I11" s="216">
        <f t="shared" si="2"/>
        <v>0</v>
      </c>
      <c r="J11" s="218">
        <f t="shared" si="3"/>
        <v>0</v>
      </c>
      <c r="K11" s="216">
        <v>0</v>
      </c>
      <c r="L11" s="216">
        <f t="shared" si="4"/>
        <v>0</v>
      </c>
      <c r="M11" s="216">
        <f t="shared" si="5"/>
        <v>0</v>
      </c>
      <c r="N11" s="218">
        <f t="shared" si="6"/>
        <v>0</v>
      </c>
      <c r="O11" s="216">
        <f t="shared" si="7"/>
        <v>0</v>
      </c>
      <c r="P11" s="218">
        <f t="shared" si="8"/>
        <v>0</v>
      </c>
      <c r="Q11" s="216"/>
    </row>
    <row r="12" spans="1:23">
      <c r="B12" s="216">
        <v>4</v>
      </c>
      <c r="C12" s="216"/>
      <c r="D12" s="216"/>
      <c r="E12" s="218">
        <f t="shared" si="0"/>
        <v>0</v>
      </c>
      <c r="F12" s="216"/>
      <c r="G12" s="216">
        <v>0</v>
      </c>
      <c r="H12" s="218">
        <f t="shared" si="1"/>
        <v>0</v>
      </c>
      <c r="I12" s="216">
        <f t="shared" si="2"/>
        <v>0</v>
      </c>
      <c r="J12" s="216">
        <f t="shared" si="3"/>
        <v>0</v>
      </c>
      <c r="K12" s="216">
        <v>0</v>
      </c>
      <c r="L12" s="216">
        <f t="shared" si="4"/>
        <v>0</v>
      </c>
      <c r="M12" s="216">
        <f t="shared" si="5"/>
        <v>0</v>
      </c>
      <c r="N12" s="218">
        <f t="shared" si="6"/>
        <v>0</v>
      </c>
      <c r="O12" s="216">
        <f t="shared" si="7"/>
        <v>0</v>
      </c>
      <c r="P12" s="218">
        <f t="shared" si="8"/>
        <v>0</v>
      </c>
      <c r="Q12" s="216"/>
    </row>
    <row r="13" spans="1:23">
      <c r="B13" s="216">
        <v>5</v>
      </c>
      <c r="C13" s="216"/>
      <c r="D13" s="216"/>
      <c r="E13" s="218">
        <f t="shared" si="0"/>
        <v>0</v>
      </c>
      <c r="F13" s="216"/>
      <c r="G13" s="216">
        <v>0</v>
      </c>
      <c r="H13" s="218">
        <f t="shared" si="1"/>
        <v>0</v>
      </c>
      <c r="I13" s="216">
        <f t="shared" si="2"/>
        <v>0</v>
      </c>
      <c r="J13" s="216">
        <f t="shared" si="3"/>
        <v>0</v>
      </c>
      <c r="K13" s="216">
        <v>0</v>
      </c>
      <c r="L13" s="216">
        <f t="shared" si="4"/>
        <v>0</v>
      </c>
      <c r="M13" s="216">
        <f t="shared" si="5"/>
        <v>0</v>
      </c>
      <c r="N13" s="218">
        <f t="shared" si="6"/>
        <v>0</v>
      </c>
      <c r="O13" s="216">
        <f t="shared" si="7"/>
        <v>0</v>
      </c>
      <c r="P13" s="218">
        <f t="shared" si="8"/>
        <v>0</v>
      </c>
      <c r="Q13" s="216"/>
      <c r="R13" s="151"/>
    </row>
    <row r="14" spans="1:23">
      <c r="B14" s="216">
        <v>6</v>
      </c>
      <c r="C14" s="216"/>
      <c r="D14" s="216"/>
      <c r="E14" s="218">
        <f t="shared" si="0"/>
        <v>0</v>
      </c>
      <c r="F14" s="216"/>
      <c r="G14" s="216">
        <v>0</v>
      </c>
      <c r="H14" s="218">
        <f t="shared" si="1"/>
        <v>0</v>
      </c>
      <c r="I14" s="216">
        <f t="shared" si="2"/>
        <v>0</v>
      </c>
      <c r="J14" s="216">
        <f t="shared" si="3"/>
        <v>0</v>
      </c>
      <c r="K14" s="216">
        <v>0</v>
      </c>
      <c r="L14" s="216">
        <f t="shared" si="4"/>
        <v>0</v>
      </c>
      <c r="M14" s="216">
        <f t="shared" si="5"/>
        <v>0</v>
      </c>
      <c r="N14" s="218">
        <f t="shared" si="6"/>
        <v>0</v>
      </c>
      <c r="O14" s="216">
        <f t="shared" si="7"/>
        <v>0</v>
      </c>
      <c r="P14" s="218">
        <f t="shared" si="8"/>
        <v>0</v>
      </c>
      <c r="Q14" s="216"/>
    </row>
    <row r="15" spans="1:23">
      <c r="B15" s="216">
        <v>7</v>
      </c>
      <c r="C15" s="216"/>
      <c r="D15" s="216"/>
      <c r="E15" s="218">
        <f t="shared" si="0"/>
        <v>0</v>
      </c>
      <c r="F15" s="216"/>
      <c r="G15" s="216">
        <v>0</v>
      </c>
      <c r="H15" s="218">
        <f t="shared" si="1"/>
        <v>0</v>
      </c>
      <c r="I15" s="216">
        <f t="shared" si="2"/>
        <v>0</v>
      </c>
      <c r="J15" s="216">
        <f t="shared" si="3"/>
        <v>0</v>
      </c>
      <c r="K15" s="216">
        <v>0</v>
      </c>
      <c r="L15" s="216">
        <f t="shared" si="4"/>
        <v>0</v>
      </c>
      <c r="M15" s="216">
        <f t="shared" si="5"/>
        <v>0</v>
      </c>
      <c r="N15" s="218">
        <f t="shared" si="6"/>
        <v>0</v>
      </c>
      <c r="O15" s="216">
        <f t="shared" si="7"/>
        <v>0</v>
      </c>
      <c r="P15" s="218">
        <f t="shared" si="8"/>
        <v>0</v>
      </c>
      <c r="Q15" s="216"/>
    </row>
    <row r="16" spans="1:23">
      <c r="B16" s="216">
        <v>8</v>
      </c>
      <c r="C16" s="216"/>
      <c r="D16" s="216"/>
      <c r="E16" s="218">
        <f t="shared" si="0"/>
        <v>0</v>
      </c>
      <c r="F16" s="216"/>
      <c r="G16" s="216">
        <v>0</v>
      </c>
      <c r="H16" s="218">
        <f t="shared" si="1"/>
        <v>0</v>
      </c>
      <c r="I16" s="216">
        <f t="shared" si="2"/>
        <v>0</v>
      </c>
      <c r="J16" s="216">
        <f t="shared" si="3"/>
        <v>0</v>
      </c>
      <c r="K16" s="216">
        <v>0</v>
      </c>
      <c r="L16" s="216">
        <f t="shared" si="4"/>
        <v>0</v>
      </c>
      <c r="M16" s="216">
        <f t="shared" si="5"/>
        <v>0</v>
      </c>
      <c r="N16" s="218">
        <f t="shared" si="6"/>
        <v>0</v>
      </c>
      <c r="O16" s="216">
        <f t="shared" si="7"/>
        <v>0</v>
      </c>
      <c r="P16" s="218">
        <f t="shared" si="8"/>
        <v>0</v>
      </c>
      <c r="Q16" s="216"/>
    </row>
    <row r="17" spans="2:17">
      <c r="B17" s="216">
        <v>9</v>
      </c>
      <c r="C17" s="216"/>
      <c r="D17" s="216"/>
      <c r="E17" s="218">
        <f t="shared" si="0"/>
        <v>0</v>
      </c>
      <c r="F17" s="216"/>
      <c r="G17" s="216">
        <v>0</v>
      </c>
      <c r="H17" s="218">
        <f t="shared" si="1"/>
        <v>0</v>
      </c>
      <c r="I17" s="216">
        <f t="shared" si="2"/>
        <v>0</v>
      </c>
      <c r="J17" s="216">
        <f t="shared" si="3"/>
        <v>0</v>
      </c>
      <c r="K17" s="216">
        <v>0</v>
      </c>
      <c r="L17" s="216">
        <f t="shared" si="4"/>
        <v>0</v>
      </c>
      <c r="M17" s="216">
        <f t="shared" si="5"/>
        <v>0</v>
      </c>
      <c r="N17" s="218">
        <f t="shared" si="6"/>
        <v>0</v>
      </c>
      <c r="O17" s="216">
        <f t="shared" si="7"/>
        <v>0</v>
      </c>
      <c r="P17" s="218">
        <f t="shared" si="8"/>
        <v>0</v>
      </c>
      <c r="Q17" s="216"/>
    </row>
    <row r="18" spans="2:17">
      <c r="B18" s="216">
        <v>10</v>
      </c>
      <c r="C18" s="216"/>
      <c r="D18" s="216"/>
      <c r="E18" s="218">
        <f t="shared" si="0"/>
        <v>0</v>
      </c>
      <c r="F18" s="216"/>
      <c r="G18" s="216">
        <v>0</v>
      </c>
      <c r="H18" s="218">
        <f t="shared" si="1"/>
        <v>0</v>
      </c>
      <c r="I18" s="216">
        <f t="shared" si="2"/>
        <v>0</v>
      </c>
      <c r="J18" s="216">
        <f t="shared" si="3"/>
        <v>0</v>
      </c>
      <c r="K18" s="216">
        <v>0</v>
      </c>
      <c r="L18" s="216">
        <f t="shared" si="4"/>
        <v>0</v>
      </c>
      <c r="M18" s="216">
        <f t="shared" si="5"/>
        <v>0</v>
      </c>
      <c r="N18" s="218">
        <f t="shared" si="6"/>
        <v>0</v>
      </c>
      <c r="O18" s="216">
        <f t="shared" si="7"/>
        <v>0</v>
      </c>
      <c r="P18" s="218">
        <f t="shared" si="8"/>
        <v>0</v>
      </c>
      <c r="Q18" s="216"/>
    </row>
    <row r="19" spans="2:17">
      <c r="B19" s="216">
        <v>11</v>
      </c>
      <c r="C19" s="216"/>
      <c r="D19" s="216"/>
      <c r="E19" s="218">
        <f t="shared" si="0"/>
        <v>0</v>
      </c>
      <c r="F19" s="216"/>
      <c r="G19" s="216">
        <v>0</v>
      </c>
      <c r="H19" s="218">
        <f t="shared" si="1"/>
        <v>0</v>
      </c>
      <c r="I19" s="216">
        <f t="shared" si="2"/>
        <v>0</v>
      </c>
      <c r="J19" s="216">
        <f t="shared" si="3"/>
        <v>0</v>
      </c>
      <c r="K19" s="216">
        <v>0</v>
      </c>
      <c r="L19" s="216">
        <f t="shared" si="4"/>
        <v>0</v>
      </c>
      <c r="M19" s="216">
        <f t="shared" si="5"/>
        <v>0</v>
      </c>
      <c r="N19" s="218">
        <f t="shared" si="6"/>
        <v>0</v>
      </c>
      <c r="O19" s="216">
        <f t="shared" si="7"/>
        <v>0</v>
      </c>
      <c r="P19" s="218">
        <f t="shared" si="8"/>
        <v>0</v>
      </c>
      <c r="Q19" s="216"/>
    </row>
    <row r="20" spans="2:17">
      <c r="B20" s="216">
        <v>12</v>
      </c>
      <c r="C20" s="216"/>
      <c r="D20" s="216"/>
      <c r="E20" s="218">
        <f t="shared" si="0"/>
        <v>0</v>
      </c>
      <c r="F20" s="216"/>
      <c r="G20" s="216">
        <v>0</v>
      </c>
      <c r="H20" s="218">
        <f t="shared" si="1"/>
        <v>0</v>
      </c>
      <c r="I20" s="216">
        <f t="shared" si="2"/>
        <v>0</v>
      </c>
      <c r="J20" s="216">
        <f t="shared" si="3"/>
        <v>0</v>
      </c>
      <c r="K20" s="216">
        <v>0</v>
      </c>
      <c r="L20" s="216">
        <f t="shared" si="4"/>
        <v>0</v>
      </c>
      <c r="M20" s="216">
        <f t="shared" si="5"/>
        <v>0</v>
      </c>
      <c r="N20" s="218">
        <f t="shared" si="6"/>
        <v>0</v>
      </c>
      <c r="O20" s="216">
        <f t="shared" si="7"/>
        <v>0</v>
      </c>
      <c r="P20" s="218">
        <f t="shared" si="8"/>
        <v>0</v>
      </c>
      <c r="Q20" s="216"/>
    </row>
    <row r="21" spans="2:17">
      <c r="B21" s="216">
        <v>13</v>
      </c>
      <c r="C21" s="216"/>
      <c r="D21" s="216"/>
      <c r="E21" s="218">
        <f t="shared" si="0"/>
        <v>0</v>
      </c>
      <c r="F21" s="216"/>
      <c r="G21" s="216">
        <v>0</v>
      </c>
      <c r="H21" s="218">
        <f t="shared" si="1"/>
        <v>0</v>
      </c>
      <c r="I21" s="216">
        <f t="shared" si="2"/>
        <v>0</v>
      </c>
      <c r="J21" s="216">
        <f t="shared" si="3"/>
        <v>0</v>
      </c>
      <c r="K21" s="216">
        <v>0</v>
      </c>
      <c r="L21" s="216">
        <f t="shared" si="4"/>
        <v>0</v>
      </c>
      <c r="M21" s="216">
        <f t="shared" si="5"/>
        <v>0</v>
      </c>
      <c r="N21" s="218">
        <f t="shared" si="6"/>
        <v>0</v>
      </c>
      <c r="O21" s="216">
        <f t="shared" si="7"/>
        <v>0</v>
      </c>
      <c r="P21" s="218">
        <f t="shared" si="8"/>
        <v>0</v>
      </c>
      <c r="Q21" s="216"/>
    </row>
    <row r="22" spans="2:17">
      <c r="B22" s="216">
        <v>14</v>
      </c>
      <c r="C22" s="216"/>
      <c r="D22" s="216"/>
      <c r="E22" s="218">
        <f t="shared" si="0"/>
        <v>0</v>
      </c>
      <c r="F22" s="216"/>
      <c r="G22" s="216">
        <v>0</v>
      </c>
      <c r="H22" s="218">
        <f t="shared" si="1"/>
        <v>0</v>
      </c>
      <c r="I22" s="216">
        <f t="shared" si="2"/>
        <v>0</v>
      </c>
      <c r="J22" s="216">
        <f t="shared" si="3"/>
        <v>0</v>
      </c>
      <c r="K22" s="216">
        <v>0</v>
      </c>
      <c r="L22" s="216">
        <f t="shared" si="4"/>
        <v>0</v>
      </c>
      <c r="M22" s="216">
        <f t="shared" si="5"/>
        <v>0</v>
      </c>
      <c r="N22" s="218">
        <f t="shared" si="6"/>
        <v>0</v>
      </c>
      <c r="O22" s="216">
        <f t="shared" si="7"/>
        <v>0</v>
      </c>
      <c r="P22" s="218">
        <f t="shared" si="8"/>
        <v>0</v>
      </c>
      <c r="Q22" s="216"/>
    </row>
    <row r="23" spans="2:17">
      <c r="B23" s="216">
        <v>15</v>
      </c>
      <c r="C23" s="216"/>
      <c r="D23" s="216"/>
      <c r="E23" s="218">
        <f t="shared" si="0"/>
        <v>0</v>
      </c>
      <c r="F23" s="216"/>
      <c r="G23" s="216">
        <v>0</v>
      </c>
      <c r="H23" s="218">
        <f t="shared" si="1"/>
        <v>0</v>
      </c>
      <c r="I23" s="216">
        <f t="shared" si="2"/>
        <v>0</v>
      </c>
      <c r="J23" s="216">
        <f t="shared" si="3"/>
        <v>0</v>
      </c>
      <c r="K23" s="216"/>
      <c r="L23" s="218">
        <f>K23*S6/1000</f>
        <v>0</v>
      </c>
      <c r="M23" s="218">
        <f t="shared" si="5"/>
        <v>0</v>
      </c>
      <c r="N23" s="218">
        <f>K23*S7/1000</f>
        <v>0</v>
      </c>
      <c r="O23" s="216">
        <f t="shared" si="7"/>
        <v>0</v>
      </c>
      <c r="P23" s="218">
        <f t="shared" si="8"/>
        <v>0</v>
      </c>
      <c r="Q23" s="216"/>
    </row>
    <row r="24" spans="2:17">
      <c r="B24" s="216">
        <v>16</v>
      </c>
      <c r="C24" s="216"/>
      <c r="D24" s="216"/>
      <c r="E24" s="218">
        <f t="shared" si="0"/>
        <v>0</v>
      </c>
      <c r="F24" s="216"/>
      <c r="G24" s="216">
        <v>0</v>
      </c>
      <c r="H24" s="218">
        <f t="shared" si="1"/>
        <v>0</v>
      </c>
      <c r="I24" s="216">
        <f t="shared" si="2"/>
        <v>0</v>
      </c>
      <c r="J24" s="216">
        <f t="shared" si="3"/>
        <v>0</v>
      </c>
      <c r="K24" s="216">
        <v>0</v>
      </c>
      <c r="L24" s="216">
        <f t="shared" si="4"/>
        <v>0</v>
      </c>
      <c r="M24" s="216">
        <f t="shared" si="5"/>
        <v>0</v>
      </c>
      <c r="N24" s="218">
        <f t="shared" si="6"/>
        <v>0</v>
      </c>
      <c r="O24" s="216">
        <f t="shared" si="7"/>
        <v>0</v>
      </c>
      <c r="P24" s="218">
        <f t="shared" si="8"/>
        <v>0</v>
      </c>
      <c r="Q24" s="216"/>
    </row>
    <row r="25" spans="2:17">
      <c r="B25" s="216">
        <v>17</v>
      </c>
      <c r="C25" s="216"/>
      <c r="D25" s="216"/>
      <c r="E25" s="218">
        <f t="shared" si="0"/>
        <v>0</v>
      </c>
      <c r="F25" s="216"/>
      <c r="G25" s="216">
        <v>0</v>
      </c>
      <c r="H25" s="218">
        <f t="shared" si="1"/>
        <v>0</v>
      </c>
      <c r="I25" s="216">
        <f t="shared" si="2"/>
        <v>0</v>
      </c>
      <c r="J25" s="216">
        <f t="shared" si="3"/>
        <v>0</v>
      </c>
      <c r="K25" s="216">
        <v>0</v>
      </c>
      <c r="L25" s="216">
        <f t="shared" si="4"/>
        <v>0</v>
      </c>
      <c r="M25" s="216">
        <f t="shared" si="5"/>
        <v>0</v>
      </c>
      <c r="N25" s="218">
        <f t="shared" si="6"/>
        <v>0</v>
      </c>
      <c r="O25" s="216">
        <f t="shared" si="7"/>
        <v>0</v>
      </c>
      <c r="P25" s="218">
        <f t="shared" si="8"/>
        <v>0</v>
      </c>
      <c r="Q25" s="216"/>
    </row>
    <row r="26" spans="2:17">
      <c r="B26" s="216">
        <v>18</v>
      </c>
      <c r="C26" s="216"/>
      <c r="D26" s="216"/>
      <c r="E26" s="218">
        <f t="shared" si="0"/>
        <v>0</v>
      </c>
      <c r="F26" s="216"/>
      <c r="G26" s="216">
        <v>0</v>
      </c>
      <c r="H26" s="218">
        <f t="shared" si="1"/>
        <v>0</v>
      </c>
      <c r="I26" s="216">
        <f t="shared" si="2"/>
        <v>0</v>
      </c>
      <c r="J26" s="216">
        <f t="shared" si="3"/>
        <v>0</v>
      </c>
      <c r="K26" s="216">
        <v>0</v>
      </c>
      <c r="L26" s="216">
        <f t="shared" si="4"/>
        <v>0</v>
      </c>
      <c r="M26" s="216">
        <f t="shared" si="5"/>
        <v>0</v>
      </c>
      <c r="N26" s="218">
        <f t="shared" si="6"/>
        <v>0</v>
      </c>
      <c r="O26" s="216">
        <f t="shared" si="7"/>
        <v>0</v>
      </c>
      <c r="P26" s="218">
        <f t="shared" si="8"/>
        <v>0</v>
      </c>
      <c r="Q26" s="216"/>
    </row>
    <row r="27" spans="2:17">
      <c r="B27" s="216">
        <v>19</v>
      </c>
      <c r="C27" s="216"/>
      <c r="D27" s="216"/>
      <c r="E27" s="218">
        <f t="shared" si="0"/>
        <v>0</v>
      </c>
      <c r="F27" s="216"/>
      <c r="G27" s="216">
        <v>0</v>
      </c>
      <c r="H27" s="218">
        <f t="shared" si="1"/>
        <v>0</v>
      </c>
      <c r="I27" s="216">
        <f t="shared" si="2"/>
        <v>0</v>
      </c>
      <c r="J27" s="216">
        <f t="shared" si="3"/>
        <v>0</v>
      </c>
      <c r="K27" s="216">
        <v>0</v>
      </c>
      <c r="L27" s="216">
        <f t="shared" si="4"/>
        <v>0</v>
      </c>
      <c r="M27" s="216">
        <f t="shared" si="5"/>
        <v>0</v>
      </c>
      <c r="N27" s="218">
        <f t="shared" si="6"/>
        <v>0</v>
      </c>
      <c r="O27" s="216">
        <f t="shared" si="7"/>
        <v>0</v>
      </c>
      <c r="P27" s="218">
        <f t="shared" si="8"/>
        <v>0</v>
      </c>
      <c r="Q27" s="216"/>
    </row>
    <row r="28" spans="2:17">
      <c r="B28" s="216">
        <v>20</v>
      </c>
      <c r="C28" s="216"/>
      <c r="D28" s="216"/>
      <c r="E28" s="218">
        <f t="shared" si="0"/>
        <v>0</v>
      </c>
      <c r="F28" s="216"/>
      <c r="G28" s="216">
        <v>0</v>
      </c>
      <c r="H28" s="218">
        <f t="shared" si="1"/>
        <v>0</v>
      </c>
      <c r="I28" s="216">
        <f t="shared" si="2"/>
        <v>0</v>
      </c>
      <c r="J28" s="216">
        <f t="shared" si="3"/>
        <v>0</v>
      </c>
      <c r="K28" s="216">
        <v>0</v>
      </c>
      <c r="L28" s="216">
        <f t="shared" si="4"/>
        <v>0</v>
      </c>
      <c r="M28" s="216">
        <f t="shared" si="5"/>
        <v>0</v>
      </c>
      <c r="N28" s="218">
        <f t="shared" si="6"/>
        <v>0</v>
      </c>
      <c r="O28" s="216">
        <f t="shared" si="7"/>
        <v>0</v>
      </c>
      <c r="P28" s="218">
        <f t="shared" si="8"/>
        <v>0</v>
      </c>
      <c r="Q28" s="216"/>
    </row>
    <row r="29" spans="2:17">
      <c r="B29" s="216">
        <v>21</v>
      </c>
      <c r="C29" s="216"/>
      <c r="D29" s="216"/>
      <c r="E29" s="218">
        <f t="shared" si="0"/>
        <v>0</v>
      </c>
      <c r="F29" s="216"/>
      <c r="G29" s="216">
        <v>0</v>
      </c>
      <c r="H29" s="218">
        <f t="shared" si="1"/>
        <v>0</v>
      </c>
      <c r="I29" s="216">
        <f t="shared" si="2"/>
        <v>0</v>
      </c>
      <c r="J29" s="216">
        <f t="shared" si="3"/>
        <v>0</v>
      </c>
      <c r="K29" s="216">
        <v>0</v>
      </c>
      <c r="L29" s="216">
        <f t="shared" si="4"/>
        <v>0</v>
      </c>
      <c r="M29" s="216">
        <f t="shared" si="5"/>
        <v>0</v>
      </c>
      <c r="N29" s="218">
        <f t="shared" si="6"/>
        <v>0</v>
      </c>
      <c r="O29" s="216">
        <f t="shared" si="7"/>
        <v>0</v>
      </c>
      <c r="P29" s="218">
        <f t="shared" si="8"/>
        <v>0</v>
      </c>
      <c r="Q29" s="216"/>
    </row>
    <row r="30" spans="2:17">
      <c r="B30" s="216">
        <v>22</v>
      </c>
      <c r="C30" s="216"/>
      <c r="D30" s="216"/>
      <c r="E30" s="218">
        <f t="shared" si="0"/>
        <v>0</v>
      </c>
      <c r="F30" s="216"/>
      <c r="G30" s="216">
        <v>0</v>
      </c>
      <c r="H30" s="218">
        <f t="shared" si="1"/>
        <v>0</v>
      </c>
      <c r="I30" s="216">
        <f t="shared" si="2"/>
        <v>0</v>
      </c>
      <c r="J30" s="216">
        <f t="shared" si="3"/>
        <v>0</v>
      </c>
      <c r="K30" s="216">
        <v>0</v>
      </c>
      <c r="L30" s="216">
        <f t="shared" si="4"/>
        <v>0</v>
      </c>
      <c r="M30" s="216">
        <f t="shared" si="5"/>
        <v>0</v>
      </c>
      <c r="N30" s="218">
        <f t="shared" si="6"/>
        <v>0</v>
      </c>
      <c r="O30" s="216">
        <f t="shared" si="7"/>
        <v>0</v>
      </c>
      <c r="P30" s="218">
        <f t="shared" si="8"/>
        <v>0</v>
      </c>
      <c r="Q30" s="216"/>
    </row>
    <row r="31" spans="2:17">
      <c r="B31" s="216">
        <v>23</v>
      </c>
      <c r="C31" s="216"/>
      <c r="D31" s="216"/>
      <c r="E31" s="218">
        <f t="shared" si="0"/>
        <v>0</v>
      </c>
      <c r="F31" s="216"/>
      <c r="G31" s="216">
        <v>0</v>
      </c>
      <c r="H31" s="218">
        <f t="shared" si="1"/>
        <v>0</v>
      </c>
      <c r="I31" s="216">
        <f t="shared" si="2"/>
        <v>0</v>
      </c>
      <c r="J31" s="216">
        <f t="shared" si="3"/>
        <v>0</v>
      </c>
      <c r="K31" s="216">
        <v>0</v>
      </c>
      <c r="L31" s="216">
        <f t="shared" si="4"/>
        <v>0</v>
      </c>
      <c r="M31" s="216">
        <f t="shared" si="5"/>
        <v>0</v>
      </c>
      <c r="N31" s="218">
        <f t="shared" si="6"/>
        <v>0</v>
      </c>
      <c r="O31" s="216">
        <f t="shared" si="7"/>
        <v>0</v>
      </c>
      <c r="P31" s="218">
        <f t="shared" si="8"/>
        <v>0</v>
      </c>
      <c r="Q31" s="216"/>
    </row>
    <row r="32" spans="2:17">
      <c r="B32" s="216">
        <v>24</v>
      </c>
      <c r="C32" s="216"/>
      <c r="D32" s="216"/>
      <c r="E32" s="218">
        <f t="shared" si="0"/>
        <v>0</v>
      </c>
      <c r="F32" s="216"/>
      <c r="G32" s="216">
        <v>0</v>
      </c>
      <c r="H32" s="218">
        <f t="shared" si="1"/>
        <v>0</v>
      </c>
      <c r="I32" s="216">
        <f t="shared" si="2"/>
        <v>0</v>
      </c>
      <c r="J32" s="216">
        <f t="shared" si="3"/>
        <v>0</v>
      </c>
      <c r="K32" s="216">
        <v>0</v>
      </c>
      <c r="L32" s="216">
        <f t="shared" si="4"/>
        <v>0</v>
      </c>
      <c r="M32" s="216">
        <f t="shared" si="5"/>
        <v>0</v>
      </c>
      <c r="N32" s="218">
        <f t="shared" si="6"/>
        <v>0</v>
      </c>
      <c r="O32" s="216">
        <f t="shared" si="7"/>
        <v>0</v>
      </c>
      <c r="P32" s="218">
        <f t="shared" si="8"/>
        <v>0</v>
      </c>
      <c r="Q32" s="216"/>
    </row>
    <row r="33" spans="2:17">
      <c r="B33" s="216">
        <v>25</v>
      </c>
      <c r="C33" s="216"/>
      <c r="D33" s="216"/>
      <c r="E33" s="218">
        <f t="shared" si="0"/>
        <v>0</v>
      </c>
      <c r="F33" s="216"/>
      <c r="G33" s="216">
        <v>0</v>
      </c>
      <c r="H33" s="218">
        <f t="shared" si="1"/>
        <v>0</v>
      </c>
      <c r="I33" s="216">
        <f t="shared" si="2"/>
        <v>0</v>
      </c>
      <c r="J33" s="216">
        <f t="shared" si="3"/>
        <v>0</v>
      </c>
      <c r="K33" s="216">
        <v>0</v>
      </c>
      <c r="L33" s="216">
        <f t="shared" si="4"/>
        <v>0</v>
      </c>
      <c r="M33" s="216">
        <f t="shared" si="5"/>
        <v>0</v>
      </c>
      <c r="N33" s="218">
        <f t="shared" si="6"/>
        <v>0</v>
      </c>
      <c r="O33" s="216">
        <f t="shared" si="7"/>
        <v>0</v>
      </c>
      <c r="P33" s="218">
        <f t="shared" si="8"/>
        <v>0</v>
      </c>
      <c r="Q33" s="216"/>
    </row>
    <row r="34" spans="2:17">
      <c r="B34" s="216">
        <v>26</v>
      </c>
      <c r="C34" s="216"/>
      <c r="D34" s="216"/>
      <c r="E34" s="218">
        <f t="shared" si="0"/>
        <v>0</v>
      </c>
      <c r="F34" s="216"/>
      <c r="G34" s="216">
        <v>0</v>
      </c>
      <c r="H34" s="218">
        <f t="shared" si="1"/>
        <v>0</v>
      </c>
      <c r="I34" s="216">
        <f t="shared" si="2"/>
        <v>0</v>
      </c>
      <c r="J34" s="216">
        <f t="shared" si="3"/>
        <v>0</v>
      </c>
      <c r="K34" s="216">
        <v>0</v>
      </c>
      <c r="L34" s="216">
        <f t="shared" si="4"/>
        <v>0</v>
      </c>
      <c r="M34" s="216">
        <f t="shared" si="5"/>
        <v>0</v>
      </c>
      <c r="N34" s="218">
        <f t="shared" si="6"/>
        <v>0</v>
      </c>
      <c r="O34" s="216">
        <f t="shared" si="7"/>
        <v>0</v>
      </c>
      <c r="P34" s="218">
        <f t="shared" si="8"/>
        <v>0</v>
      </c>
      <c r="Q34" s="216"/>
    </row>
    <row r="35" spans="2:17">
      <c r="B35" s="216">
        <v>27</v>
      </c>
      <c r="C35" s="216"/>
      <c r="D35" s="216"/>
      <c r="E35" s="218">
        <f t="shared" si="0"/>
        <v>0</v>
      </c>
      <c r="F35" s="216"/>
      <c r="G35" s="216">
        <v>0</v>
      </c>
      <c r="H35" s="218">
        <f t="shared" si="1"/>
        <v>0</v>
      </c>
      <c r="I35" s="216">
        <f t="shared" si="2"/>
        <v>0</v>
      </c>
      <c r="J35" s="216">
        <f t="shared" si="3"/>
        <v>0</v>
      </c>
      <c r="K35" s="216">
        <v>0</v>
      </c>
      <c r="L35" s="216">
        <f t="shared" si="4"/>
        <v>0</v>
      </c>
      <c r="M35" s="216">
        <f t="shared" si="5"/>
        <v>0</v>
      </c>
      <c r="N35" s="218">
        <f t="shared" si="6"/>
        <v>0</v>
      </c>
      <c r="O35" s="216">
        <f t="shared" si="7"/>
        <v>0</v>
      </c>
      <c r="P35" s="218">
        <f t="shared" si="8"/>
        <v>0</v>
      </c>
      <c r="Q35" s="216"/>
    </row>
    <row r="36" spans="2:17">
      <c r="B36" s="216">
        <v>28</v>
      </c>
      <c r="C36" s="216"/>
      <c r="D36" s="216"/>
      <c r="E36" s="218">
        <f t="shared" si="0"/>
        <v>0</v>
      </c>
      <c r="F36" s="216"/>
      <c r="G36" s="216">
        <v>0</v>
      </c>
      <c r="H36" s="218">
        <f t="shared" si="1"/>
        <v>0</v>
      </c>
      <c r="I36" s="216">
        <f t="shared" si="2"/>
        <v>0</v>
      </c>
      <c r="J36" s="216">
        <f t="shared" si="3"/>
        <v>0</v>
      </c>
      <c r="K36" s="216">
        <v>0</v>
      </c>
      <c r="L36" s="216">
        <f t="shared" si="4"/>
        <v>0</v>
      </c>
      <c r="M36" s="216">
        <f t="shared" si="5"/>
        <v>0</v>
      </c>
      <c r="N36" s="218">
        <f t="shared" si="6"/>
        <v>0</v>
      </c>
      <c r="O36" s="216">
        <f t="shared" si="7"/>
        <v>0</v>
      </c>
      <c r="P36" s="218">
        <f t="shared" si="8"/>
        <v>0</v>
      </c>
      <c r="Q36" s="216"/>
    </row>
    <row r="37" spans="2:17">
      <c r="B37" s="216">
        <v>29</v>
      </c>
      <c r="C37" s="216"/>
      <c r="D37" s="216"/>
      <c r="E37" s="218">
        <f t="shared" si="0"/>
        <v>0</v>
      </c>
      <c r="F37" s="216"/>
      <c r="G37" s="216">
        <v>0</v>
      </c>
      <c r="H37" s="218">
        <f t="shared" si="1"/>
        <v>0</v>
      </c>
      <c r="I37" s="216">
        <f t="shared" si="2"/>
        <v>0</v>
      </c>
      <c r="J37" s="216">
        <f t="shared" si="3"/>
        <v>0</v>
      </c>
      <c r="K37" s="216">
        <v>0</v>
      </c>
      <c r="L37" s="216">
        <f t="shared" si="4"/>
        <v>0</v>
      </c>
      <c r="M37" s="216">
        <f t="shared" si="5"/>
        <v>0</v>
      </c>
      <c r="N37" s="218">
        <f t="shared" si="6"/>
        <v>0</v>
      </c>
      <c r="O37" s="216">
        <f t="shared" si="7"/>
        <v>0</v>
      </c>
      <c r="P37" s="218">
        <f t="shared" si="8"/>
        <v>0</v>
      </c>
      <c r="Q37" s="216"/>
    </row>
    <row r="38" spans="2:17">
      <c r="B38" s="216">
        <v>30</v>
      </c>
      <c r="D38" s="216"/>
      <c r="E38" s="218">
        <f t="shared" si="0"/>
        <v>0</v>
      </c>
      <c r="F38" s="3"/>
      <c r="G38" s="3">
        <v>0</v>
      </c>
      <c r="H38" s="218">
        <f t="shared" si="1"/>
        <v>0</v>
      </c>
      <c r="I38" s="216">
        <f t="shared" si="2"/>
        <v>0</v>
      </c>
      <c r="J38" s="216">
        <f t="shared" si="3"/>
        <v>0</v>
      </c>
      <c r="K38" s="3"/>
      <c r="L38" s="216">
        <f t="shared" si="4"/>
        <v>0</v>
      </c>
      <c r="M38" s="218">
        <f t="shared" si="5"/>
        <v>0</v>
      </c>
      <c r="N38" s="218">
        <f t="shared" si="6"/>
        <v>0</v>
      </c>
      <c r="O38" s="216">
        <f t="shared" si="7"/>
        <v>0</v>
      </c>
      <c r="P38" s="218">
        <f t="shared" si="8"/>
        <v>0</v>
      </c>
      <c r="Q38" s="3"/>
    </row>
    <row r="39" spans="2:17">
      <c r="B39" s="222">
        <v>31</v>
      </c>
      <c r="D39" s="216"/>
      <c r="E39" s="218">
        <f t="shared" si="0"/>
        <v>0</v>
      </c>
      <c r="F39" s="223"/>
      <c r="G39" s="223"/>
      <c r="H39" s="218">
        <f t="shared" si="1"/>
        <v>0</v>
      </c>
      <c r="I39" s="216">
        <f t="shared" si="2"/>
        <v>0</v>
      </c>
      <c r="J39" s="216">
        <f t="shared" si="3"/>
        <v>0</v>
      </c>
      <c r="K39" s="223"/>
      <c r="L39" s="216">
        <f t="shared" si="4"/>
        <v>0</v>
      </c>
      <c r="M39" s="216">
        <f t="shared" si="5"/>
        <v>0</v>
      </c>
      <c r="N39" s="218">
        <f t="shared" si="6"/>
        <v>0</v>
      </c>
      <c r="O39" s="216">
        <f t="shared" si="7"/>
        <v>0</v>
      </c>
      <c r="P39" s="218">
        <f t="shared" si="8"/>
        <v>0</v>
      </c>
      <c r="Q39" s="223"/>
    </row>
    <row r="40" spans="2:17">
      <c r="B40" s="928" t="s">
        <v>10</v>
      </c>
      <c r="C40" s="929"/>
      <c r="D40" s="929"/>
      <c r="E40" s="930"/>
      <c r="F40" s="130">
        <f t="shared" ref="F40:N40" si="9">SUM(F9:F39)</f>
        <v>0</v>
      </c>
      <c r="G40" s="130">
        <f t="shared" si="9"/>
        <v>0</v>
      </c>
      <c r="H40" s="130">
        <f t="shared" si="9"/>
        <v>0</v>
      </c>
      <c r="I40" s="130"/>
      <c r="J40" s="130"/>
      <c r="K40" s="172">
        <f t="shared" si="9"/>
        <v>0</v>
      </c>
      <c r="L40" s="130">
        <f t="shared" si="9"/>
        <v>0</v>
      </c>
      <c r="M40" s="130"/>
      <c r="N40" s="130">
        <f t="shared" si="9"/>
        <v>0</v>
      </c>
      <c r="O40" s="130"/>
      <c r="P40" s="130"/>
      <c r="Q40" s="3"/>
    </row>
    <row r="42" spans="2:17">
      <c r="B42" s="931" t="s">
        <v>23</v>
      </c>
      <c r="C42" s="931"/>
      <c r="D42" s="931"/>
      <c r="E42" s="130">
        <f>G40*S7/1000</f>
        <v>0</v>
      </c>
      <c r="J42" s="3" t="s">
        <v>36</v>
      </c>
      <c r="K42" s="3"/>
      <c r="L42" s="130">
        <f>K40*S7/1000</f>
        <v>0</v>
      </c>
    </row>
  </sheetData>
  <mergeCells count="19">
    <mergeCell ref="B2:Q2"/>
    <mergeCell ref="S2:T2"/>
    <mergeCell ref="B3:Q3"/>
    <mergeCell ref="S3:V3"/>
    <mergeCell ref="B4:Q4"/>
    <mergeCell ref="S4:V4"/>
    <mergeCell ref="A5:Q5"/>
    <mergeCell ref="S5:V5"/>
    <mergeCell ref="D6:F6"/>
    <mergeCell ref="G6:H6"/>
    <mergeCell ref="I6:J6"/>
    <mergeCell ref="K6:L6"/>
    <mergeCell ref="O6:P6"/>
    <mergeCell ref="S6:V6"/>
    <mergeCell ref="S7:V7"/>
    <mergeCell ref="S8:V8"/>
    <mergeCell ref="B40:E40"/>
    <mergeCell ref="B42:D42"/>
    <mergeCell ref="M6:M8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W42"/>
  <sheetViews>
    <sheetView zoomScale="80" zoomScaleNormal="80" workbookViewId="0">
      <pane ySplit="8" topLeftCell="A9" activePane="bottomLeft" state="frozen"/>
      <selection pane="bottomLeft" activeCell="R2" sqref="R2:U2"/>
    </sheetView>
  </sheetViews>
  <sheetFormatPr defaultColWidth="9" defaultRowHeight="15"/>
  <cols>
    <col min="1" max="1" width="9" hidden="1" customWidth="1"/>
    <col min="3" max="3" width="9" hidden="1" customWidth="1"/>
    <col min="5" max="5" width="10.42578125" customWidth="1"/>
    <col min="6" max="6" width="9" hidden="1" customWidth="1"/>
    <col min="8" max="8" width="10.42578125" customWidth="1"/>
    <col min="10" max="10" width="10.42578125" customWidth="1"/>
    <col min="12" max="12" width="10.42578125" customWidth="1"/>
    <col min="13" max="13" width="12" customWidth="1"/>
    <col min="14" max="14" width="8.28515625" customWidth="1"/>
    <col min="15" max="16" width="10.42578125" customWidth="1"/>
    <col min="17" max="17" width="18.28515625" customWidth="1"/>
    <col min="18" max="18" width="11.28515625" customWidth="1"/>
    <col min="19" max="19" width="3" hidden="1" customWidth="1"/>
    <col min="20" max="20" width="6.140625" customWidth="1"/>
    <col min="21" max="21" width="6.28515625" customWidth="1"/>
    <col min="22" max="22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129" t="s">
        <v>55</v>
      </c>
      <c r="R2" s="931"/>
      <c r="S2" s="931"/>
      <c r="T2" s="129"/>
      <c r="U2" s="227"/>
      <c r="V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129" t="s">
        <v>3</v>
      </c>
      <c r="R3" s="931"/>
      <c r="S3" s="931"/>
      <c r="T3" s="931"/>
      <c r="U3" s="931"/>
      <c r="V3" s="170"/>
    </row>
    <row r="4" spans="1:23" ht="21">
      <c r="B4" s="939" t="s">
        <v>66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129" t="s">
        <v>5</v>
      </c>
      <c r="R4" s="931"/>
      <c r="S4" s="931"/>
      <c r="T4" s="931"/>
      <c r="U4" s="931"/>
      <c r="V4" s="170"/>
    </row>
    <row r="5" spans="1:23" ht="21">
      <c r="A5" s="932"/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129" t="s">
        <v>7</v>
      </c>
      <c r="R5" s="931"/>
      <c r="S5" s="931"/>
      <c r="T5" s="931"/>
      <c r="U5" s="931"/>
      <c r="V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215"/>
      <c r="N6" s="934" t="s">
        <v>13</v>
      </c>
      <c r="O6" s="934"/>
      <c r="P6" s="225" t="s">
        <v>14</v>
      </c>
      <c r="Q6" s="129" t="s">
        <v>15</v>
      </c>
      <c r="R6" s="931"/>
      <c r="S6" s="931"/>
      <c r="T6" s="931"/>
      <c r="U6" s="931"/>
      <c r="V6" s="170"/>
      <c r="W6" t="s">
        <v>67</v>
      </c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16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17</v>
      </c>
      <c r="M7" s="217"/>
      <c r="N7" s="217" t="s">
        <v>16</v>
      </c>
      <c r="O7" s="217" t="s">
        <v>17</v>
      </c>
      <c r="P7" s="226"/>
      <c r="Q7" s="129" t="s">
        <v>19</v>
      </c>
      <c r="R7" s="931"/>
      <c r="S7" s="931"/>
      <c r="T7" s="931"/>
      <c r="U7" s="931"/>
      <c r="V7" s="170"/>
    </row>
    <row r="8" spans="1:23">
      <c r="B8" s="216"/>
      <c r="C8" s="216"/>
      <c r="D8" s="217" t="s">
        <v>21</v>
      </c>
      <c r="E8" s="217" t="s">
        <v>22</v>
      </c>
      <c r="F8" s="217"/>
      <c r="G8" s="217" t="s">
        <v>21</v>
      </c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217" t="s">
        <v>23</v>
      </c>
      <c r="N8" s="217" t="s">
        <v>21</v>
      </c>
      <c r="O8" s="217" t="s">
        <v>22</v>
      </c>
      <c r="P8" s="226"/>
      <c r="Q8" s="129" t="s">
        <v>24</v>
      </c>
      <c r="R8" s="941">
        <f>R6+R7</f>
        <v>0</v>
      </c>
      <c r="S8" s="941"/>
      <c r="T8" s="941"/>
      <c r="U8" s="941"/>
      <c r="V8" s="170"/>
    </row>
    <row r="9" spans="1:23">
      <c r="B9" s="216">
        <v>1</v>
      </c>
      <c r="C9" s="216"/>
      <c r="D9" s="216"/>
      <c r="E9" s="216"/>
      <c r="F9" s="216"/>
      <c r="G9" s="216"/>
      <c r="H9" s="216"/>
      <c r="I9" s="216"/>
      <c r="J9" s="216"/>
      <c r="K9" s="216"/>
      <c r="L9" s="218">
        <f>+H9</f>
        <v>0</v>
      </c>
      <c r="M9" s="218">
        <f t="shared" ref="M9:M24" si="0">$R$7*L9/1000</f>
        <v>0</v>
      </c>
      <c r="N9" s="216"/>
      <c r="O9" s="216"/>
      <c r="P9" s="216"/>
      <c r="V9" s="170"/>
    </row>
    <row r="10" spans="1:23">
      <c r="B10" s="216">
        <v>2</v>
      </c>
      <c r="C10" s="216"/>
      <c r="D10" s="216"/>
      <c r="E10" s="216"/>
      <c r="F10" s="216"/>
      <c r="G10" s="216"/>
      <c r="H10" s="216"/>
      <c r="I10" s="216"/>
      <c r="J10" s="216"/>
      <c r="K10" s="216"/>
      <c r="L10" s="218">
        <f>+H10</f>
        <v>0</v>
      </c>
      <c r="M10" s="218">
        <f t="shared" si="0"/>
        <v>0</v>
      </c>
      <c r="N10" s="216"/>
      <c r="O10" s="216"/>
      <c r="P10" s="216"/>
    </row>
    <row r="11" spans="1:23">
      <c r="B11" s="216">
        <v>3</v>
      </c>
      <c r="C11" s="216"/>
      <c r="D11" s="216"/>
      <c r="E11" s="216">
        <v>0</v>
      </c>
      <c r="F11" s="216"/>
      <c r="G11" s="216"/>
      <c r="H11" s="218"/>
      <c r="I11" s="216">
        <f>D11+G11</f>
        <v>0</v>
      </c>
      <c r="J11" s="216">
        <v>0</v>
      </c>
      <c r="K11" s="216">
        <v>0</v>
      </c>
      <c r="L11" s="218">
        <f>+H11</f>
        <v>0</v>
      </c>
      <c r="M11" s="218">
        <f t="shared" si="0"/>
        <v>0</v>
      </c>
      <c r="N11" s="216">
        <v>0</v>
      </c>
      <c r="O11" s="218">
        <f>N11*R$8/1000</f>
        <v>0</v>
      </c>
      <c r="P11" s="216"/>
    </row>
    <row r="12" spans="1:23">
      <c r="B12" s="216">
        <v>4</v>
      </c>
      <c r="C12" s="216"/>
      <c r="D12" s="216"/>
      <c r="E12" s="218">
        <f>D12*R$8/1000</f>
        <v>0</v>
      </c>
      <c r="F12" s="216"/>
      <c r="G12" s="216"/>
      <c r="H12" s="218"/>
      <c r="I12" s="216">
        <f>D12+G12</f>
        <v>0</v>
      </c>
      <c r="J12" s="218">
        <f>I12*T$8/1000</f>
        <v>0</v>
      </c>
      <c r="K12" s="216">
        <v>0</v>
      </c>
      <c r="L12" s="218">
        <f>+H12</f>
        <v>0</v>
      </c>
      <c r="M12" s="218">
        <f t="shared" si="0"/>
        <v>0</v>
      </c>
      <c r="N12" s="216">
        <f>D12+G12-K12</f>
        <v>0</v>
      </c>
      <c r="O12" s="218">
        <f>N12*R$8/1000</f>
        <v>0</v>
      </c>
      <c r="P12" s="216"/>
    </row>
    <row r="13" spans="1:23">
      <c r="B13" s="216">
        <v>5</v>
      </c>
      <c r="C13" s="216"/>
      <c r="D13" s="216"/>
      <c r="E13" s="218">
        <f t="shared" ref="E13:E39" si="1">D13*R$8/1000</f>
        <v>0</v>
      </c>
      <c r="F13" s="216"/>
      <c r="G13" s="216"/>
      <c r="H13" s="218"/>
      <c r="I13" s="216">
        <v>0</v>
      </c>
      <c r="J13" s="218">
        <f t="shared" ref="J13:J39" si="2">I13*T$8/1000</f>
        <v>0</v>
      </c>
      <c r="K13" s="216"/>
      <c r="L13" s="218">
        <f t="shared" ref="L13:L39" si="3">+H13</f>
        <v>0</v>
      </c>
      <c r="M13" s="218">
        <f t="shared" si="0"/>
        <v>0</v>
      </c>
      <c r="N13" s="216">
        <f>D13+G13-K13</f>
        <v>0</v>
      </c>
      <c r="O13" s="218">
        <f t="shared" ref="O13:O39" si="4">N13*R$8/1000</f>
        <v>0</v>
      </c>
      <c r="P13" s="216"/>
    </row>
    <row r="14" spans="1:23">
      <c r="B14" s="13">
        <v>6</v>
      </c>
      <c r="C14" s="13"/>
      <c r="D14" s="13"/>
      <c r="E14" s="219">
        <f t="shared" si="1"/>
        <v>0</v>
      </c>
      <c r="F14" s="13"/>
      <c r="G14" s="13"/>
      <c r="H14" s="219"/>
      <c r="I14" s="13"/>
      <c r="J14" s="219"/>
      <c r="K14" s="13"/>
      <c r="L14" s="218">
        <f t="shared" si="3"/>
        <v>0</v>
      </c>
      <c r="M14" s="219">
        <f t="shared" si="0"/>
        <v>0</v>
      </c>
      <c r="N14" s="13">
        <f>D14+G14-K14</f>
        <v>0</v>
      </c>
      <c r="O14" s="219">
        <f t="shared" si="4"/>
        <v>0</v>
      </c>
      <c r="P14" s="216"/>
    </row>
    <row r="15" spans="1:23">
      <c r="B15" s="216">
        <v>7</v>
      </c>
      <c r="C15" s="216"/>
      <c r="D15" s="216"/>
      <c r="E15" s="218">
        <f t="shared" si="1"/>
        <v>0</v>
      </c>
      <c r="F15" s="216"/>
      <c r="G15" s="216"/>
      <c r="H15" s="218"/>
      <c r="I15" s="216"/>
      <c r="J15" s="218">
        <f t="shared" si="2"/>
        <v>0</v>
      </c>
      <c r="K15" s="216">
        <v>0</v>
      </c>
      <c r="L15" s="218">
        <f t="shared" si="3"/>
        <v>0</v>
      </c>
      <c r="M15" s="218">
        <f t="shared" si="0"/>
        <v>0</v>
      </c>
      <c r="N15" s="216">
        <f t="shared" ref="N15:N39" si="5">D15+G15-K15</f>
        <v>0</v>
      </c>
      <c r="O15" s="218">
        <f t="shared" si="4"/>
        <v>0</v>
      </c>
      <c r="P15" s="216"/>
    </row>
    <row r="16" spans="1:23">
      <c r="B16" s="216">
        <v>8</v>
      </c>
      <c r="C16" s="216"/>
      <c r="D16" s="216"/>
      <c r="E16" s="218">
        <f t="shared" si="1"/>
        <v>0</v>
      </c>
      <c r="F16" s="216"/>
      <c r="G16" s="216"/>
      <c r="H16" s="218"/>
      <c r="I16" s="216"/>
      <c r="J16" s="218">
        <f t="shared" si="2"/>
        <v>0</v>
      </c>
      <c r="K16" s="216">
        <v>0</v>
      </c>
      <c r="L16" s="218">
        <f t="shared" si="3"/>
        <v>0</v>
      </c>
      <c r="M16" s="218">
        <f t="shared" si="0"/>
        <v>0</v>
      </c>
      <c r="N16" s="216">
        <f t="shared" si="5"/>
        <v>0</v>
      </c>
      <c r="O16" s="218">
        <f t="shared" si="4"/>
        <v>0</v>
      </c>
      <c r="P16" s="216"/>
    </row>
    <row r="17" spans="2:16">
      <c r="B17" s="216">
        <v>9</v>
      </c>
      <c r="C17" s="216"/>
      <c r="D17" s="216"/>
      <c r="E17" s="218">
        <f t="shared" si="1"/>
        <v>0</v>
      </c>
      <c r="F17" s="216"/>
      <c r="G17" s="216"/>
      <c r="H17" s="218"/>
      <c r="I17" s="216"/>
      <c r="J17" s="218">
        <f t="shared" si="2"/>
        <v>0</v>
      </c>
      <c r="K17" s="216">
        <v>0</v>
      </c>
      <c r="L17" s="218">
        <f t="shared" si="3"/>
        <v>0</v>
      </c>
      <c r="M17" s="218">
        <f t="shared" si="0"/>
        <v>0</v>
      </c>
      <c r="N17" s="216">
        <f t="shared" si="5"/>
        <v>0</v>
      </c>
      <c r="O17" s="218">
        <f t="shared" si="4"/>
        <v>0</v>
      </c>
      <c r="P17" s="216"/>
    </row>
    <row r="18" spans="2:16">
      <c r="B18" s="13">
        <v>10</v>
      </c>
      <c r="C18" s="13"/>
      <c r="D18" s="13"/>
      <c r="E18" s="219">
        <f t="shared" si="1"/>
        <v>0</v>
      </c>
      <c r="F18" s="13"/>
      <c r="G18" s="13"/>
      <c r="H18" s="219"/>
      <c r="I18" s="13">
        <v>0</v>
      </c>
      <c r="J18" s="219">
        <f t="shared" si="2"/>
        <v>0</v>
      </c>
      <c r="K18" s="13"/>
      <c r="L18" s="218">
        <f t="shared" si="3"/>
        <v>0</v>
      </c>
      <c r="M18" s="219">
        <f t="shared" si="0"/>
        <v>0</v>
      </c>
      <c r="N18" s="13">
        <f t="shared" si="5"/>
        <v>0</v>
      </c>
      <c r="O18" s="219">
        <f t="shared" si="4"/>
        <v>0</v>
      </c>
      <c r="P18" s="216"/>
    </row>
    <row r="19" spans="2:16">
      <c r="B19" s="13"/>
      <c r="C19" s="13"/>
      <c r="D19" s="13"/>
      <c r="E19" s="219"/>
      <c r="F19" s="13"/>
      <c r="G19" s="13"/>
      <c r="H19" s="219"/>
      <c r="I19" s="13"/>
      <c r="J19" s="219"/>
      <c r="K19" s="13"/>
      <c r="L19" s="218">
        <f t="shared" si="3"/>
        <v>0</v>
      </c>
      <c r="M19" s="218">
        <f t="shared" si="0"/>
        <v>0</v>
      </c>
      <c r="N19" s="216">
        <f t="shared" si="5"/>
        <v>0</v>
      </c>
      <c r="O19" s="218">
        <f t="shared" si="4"/>
        <v>0</v>
      </c>
      <c r="P19" s="216"/>
    </row>
    <row r="20" spans="2:16">
      <c r="B20" s="216">
        <v>12</v>
      </c>
      <c r="C20" s="216"/>
      <c r="D20" s="216"/>
      <c r="E20" s="218">
        <f t="shared" si="1"/>
        <v>0</v>
      </c>
      <c r="F20" s="216"/>
      <c r="G20" s="216"/>
      <c r="H20" s="218"/>
      <c r="I20" s="216">
        <v>0</v>
      </c>
      <c r="J20" s="218">
        <f t="shared" si="2"/>
        <v>0</v>
      </c>
      <c r="K20" s="216">
        <v>0</v>
      </c>
      <c r="L20" s="218">
        <f t="shared" si="3"/>
        <v>0</v>
      </c>
      <c r="M20" s="218">
        <f t="shared" si="0"/>
        <v>0</v>
      </c>
      <c r="N20" s="216">
        <f t="shared" si="5"/>
        <v>0</v>
      </c>
      <c r="O20" s="218">
        <f t="shared" si="4"/>
        <v>0</v>
      </c>
      <c r="P20" s="216"/>
    </row>
    <row r="21" spans="2:16">
      <c r="B21" s="13">
        <v>13</v>
      </c>
      <c r="C21" s="13"/>
      <c r="D21" s="13"/>
      <c r="E21" s="219">
        <f t="shared" si="1"/>
        <v>0</v>
      </c>
      <c r="F21" s="13"/>
      <c r="G21" s="13"/>
      <c r="H21" s="219"/>
      <c r="I21" s="13"/>
      <c r="J21" s="219"/>
      <c r="K21" s="13"/>
      <c r="L21" s="218">
        <f t="shared" si="3"/>
        <v>0</v>
      </c>
      <c r="M21" s="219">
        <f t="shared" si="0"/>
        <v>0</v>
      </c>
      <c r="N21" s="13">
        <f t="shared" si="5"/>
        <v>0</v>
      </c>
      <c r="O21" s="219">
        <f t="shared" si="4"/>
        <v>0</v>
      </c>
      <c r="P21" s="216"/>
    </row>
    <row r="22" spans="2:16">
      <c r="B22" s="13"/>
      <c r="C22" s="13"/>
      <c r="D22" s="13"/>
      <c r="E22" s="219"/>
      <c r="F22" s="13"/>
      <c r="G22" s="13"/>
      <c r="H22" s="219"/>
      <c r="I22" s="13"/>
      <c r="J22" s="219"/>
      <c r="K22" s="13"/>
      <c r="L22" s="218">
        <f t="shared" si="3"/>
        <v>0</v>
      </c>
      <c r="M22" s="218">
        <f t="shared" si="0"/>
        <v>0</v>
      </c>
      <c r="N22" s="216">
        <f t="shared" si="5"/>
        <v>0</v>
      </c>
      <c r="O22" s="218">
        <f t="shared" si="4"/>
        <v>0</v>
      </c>
      <c r="P22" s="216"/>
    </row>
    <row r="23" spans="2:16">
      <c r="B23" s="13">
        <v>15</v>
      </c>
      <c r="C23" s="13"/>
      <c r="D23" s="13"/>
      <c r="E23" s="219">
        <f t="shared" si="1"/>
        <v>0</v>
      </c>
      <c r="F23" s="13"/>
      <c r="G23" s="13"/>
      <c r="H23" s="219"/>
      <c r="I23" s="13">
        <v>0</v>
      </c>
      <c r="J23" s="219">
        <f t="shared" si="2"/>
        <v>0</v>
      </c>
      <c r="K23" s="13">
        <v>0</v>
      </c>
      <c r="L23" s="219">
        <f t="shared" si="3"/>
        <v>0</v>
      </c>
      <c r="M23" s="219">
        <f t="shared" si="0"/>
        <v>0</v>
      </c>
      <c r="N23" s="13">
        <f t="shared" si="5"/>
        <v>0</v>
      </c>
      <c r="O23" s="219">
        <f t="shared" si="4"/>
        <v>0</v>
      </c>
      <c r="P23" s="216"/>
    </row>
    <row r="24" spans="2:16">
      <c r="B24" s="216">
        <v>16</v>
      </c>
      <c r="C24" s="216"/>
      <c r="D24" s="216"/>
      <c r="E24" s="218">
        <f t="shared" si="1"/>
        <v>0</v>
      </c>
      <c r="F24" s="216"/>
      <c r="G24" s="216"/>
      <c r="H24" s="218"/>
      <c r="I24" s="216">
        <v>0</v>
      </c>
      <c r="J24" s="218">
        <f t="shared" si="2"/>
        <v>0</v>
      </c>
      <c r="K24" s="216"/>
      <c r="L24" s="218">
        <f t="shared" si="3"/>
        <v>0</v>
      </c>
      <c r="M24" s="218">
        <f t="shared" si="0"/>
        <v>0</v>
      </c>
      <c r="N24" s="216">
        <f t="shared" si="5"/>
        <v>0</v>
      </c>
      <c r="O24" s="218">
        <f t="shared" si="4"/>
        <v>0</v>
      </c>
      <c r="P24" s="216"/>
    </row>
    <row r="25" spans="2:16">
      <c r="B25" s="13">
        <v>17</v>
      </c>
      <c r="C25" s="13"/>
      <c r="D25" s="13"/>
      <c r="E25" s="219">
        <f t="shared" si="1"/>
        <v>0</v>
      </c>
      <c r="F25" s="13"/>
      <c r="G25" s="13"/>
      <c r="H25" s="218"/>
      <c r="I25" s="13">
        <v>0</v>
      </c>
      <c r="J25" s="219">
        <f t="shared" si="2"/>
        <v>0</v>
      </c>
      <c r="K25" s="13"/>
      <c r="L25" s="218">
        <f t="shared" si="3"/>
        <v>0</v>
      </c>
      <c r="M25" s="219">
        <f>K25*R$7/1000</f>
        <v>0</v>
      </c>
      <c r="N25" s="13">
        <f t="shared" si="5"/>
        <v>0</v>
      </c>
      <c r="O25" s="219">
        <f t="shared" si="4"/>
        <v>0</v>
      </c>
      <c r="P25" s="216"/>
    </row>
    <row r="26" spans="2:16">
      <c r="B26" s="216">
        <v>18</v>
      </c>
      <c r="C26" s="216"/>
      <c r="D26" s="216"/>
      <c r="E26" s="218">
        <f t="shared" si="1"/>
        <v>0</v>
      </c>
      <c r="F26" s="216"/>
      <c r="G26" s="216"/>
      <c r="H26" s="218"/>
      <c r="I26" s="216">
        <v>0</v>
      </c>
      <c r="J26" s="218">
        <f t="shared" si="2"/>
        <v>0</v>
      </c>
      <c r="K26" s="216">
        <v>0</v>
      </c>
      <c r="L26" s="218">
        <f t="shared" si="3"/>
        <v>0</v>
      </c>
      <c r="M26" s="218">
        <f t="shared" ref="M26:M39" si="6">K26*R$7/1000</f>
        <v>0</v>
      </c>
      <c r="N26" s="216">
        <f t="shared" si="5"/>
        <v>0</v>
      </c>
      <c r="O26" s="218">
        <f t="shared" si="4"/>
        <v>0</v>
      </c>
      <c r="P26" s="216"/>
    </row>
    <row r="27" spans="2:16">
      <c r="B27" s="13">
        <v>19</v>
      </c>
      <c r="C27" s="13"/>
      <c r="D27" s="13"/>
      <c r="E27" s="219"/>
      <c r="F27" s="13"/>
      <c r="G27" s="13"/>
      <c r="H27" s="219"/>
      <c r="I27" s="13"/>
      <c r="J27" s="219"/>
      <c r="K27" s="13"/>
      <c r="L27" s="218">
        <f t="shared" si="3"/>
        <v>0</v>
      </c>
      <c r="M27" s="218">
        <f t="shared" si="6"/>
        <v>0</v>
      </c>
      <c r="N27" s="216">
        <f t="shared" si="5"/>
        <v>0</v>
      </c>
      <c r="O27" s="218">
        <f t="shared" si="4"/>
        <v>0</v>
      </c>
      <c r="P27" s="216"/>
    </row>
    <row r="28" spans="2:16">
      <c r="B28" s="216">
        <v>20</v>
      </c>
      <c r="C28" s="216"/>
      <c r="D28" s="216"/>
      <c r="E28" s="218">
        <f t="shared" si="1"/>
        <v>0</v>
      </c>
      <c r="F28" s="216"/>
      <c r="G28" s="216"/>
      <c r="H28" s="218"/>
      <c r="I28" s="216">
        <v>0</v>
      </c>
      <c r="J28" s="218">
        <f t="shared" si="2"/>
        <v>0</v>
      </c>
      <c r="K28" s="216">
        <v>0</v>
      </c>
      <c r="L28" s="218">
        <f t="shared" si="3"/>
        <v>0</v>
      </c>
      <c r="M28" s="218">
        <f t="shared" si="6"/>
        <v>0</v>
      </c>
      <c r="N28" s="216">
        <f t="shared" si="5"/>
        <v>0</v>
      </c>
      <c r="O28" s="218">
        <f t="shared" si="4"/>
        <v>0</v>
      </c>
      <c r="P28" s="216"/>
    </row>
    <row r="29" spans="2:16">
      <c r="B29" s="216">
        <v>21</v>
      </c>
      <c r="C29" s="216"/>
      <c r="D29" s="216"/>
      <c r="E29" s="218">
        <f t="shared" si="1"/>
        <v>0</v>
      </c>
      <c r="F29" s="216"/>
      <c r="G29" s="216"/>
      <c r="H29" s="218"/>
      <c r="I29" s="216">
        <v>0</v>
      </c>
      <c r="J29" s="218">
        <f t="shared" si="2"/>
        <v>0</v>
      </c>
      <c r="K29" s="216">
        <v>0</v>
      </c>
      <c r="L29" s="218">
        <f t="shared" si="3"/>
        <v>0</v>
      </c>
      <c r="M29" s="218">
        <f t="shared" si="6"/>
        <v>0</v>
      </c>
      <c r="N29" s="216">
        <f t="shared" si="5"/>
        <v>0</v>
      </c>
      <c r="O29" s="218">
        <f t="shared" si="4"/>
        <v>0</v>
      </c>
      <c r="P29" s="216"/>
    </row>
    <row r="30" spans="2:16">
      <c r="B30" s="216">
        <v>22</v>
      </c>
      <c r="C30" s="216"/>
      <c r="D30" s="216"/>
      <c r="E30" s="218">
        <f t="shared" si="1"/>
        <v>0</v>
      </c>
      <c r="F30" s="216"/>
      <c r="G30" s="216"/>
      <c r="H30" s="218"/>
      <c r="I30" s="216">
        <v>0</v>
      </c>
      <c r="J30" s="218">
        <f t="shared" si="2"/>
        <v>0</v>
      </c>
      <c r="K30" s="216"/>
      <c r="L30" s="218">
        <f t="shared" si="3"/>
        <v>0</v>
      </c>
      <c r="M30" s="218">
        <f t="shared" si="6"/>
        <v>0</v>
      </c>
      <c r="N30" s="216">
        <f t="shared" si="5"/>
        <v>0</v>
      </c>
      <c r="O30" s="218">
        <f t="shared" si="4"/>
        <v>0</v>
      </c>
      <c r="P30" s="216"/>
    </row>
    <row r="31" spans="2:16">
      <c r="B31" s="216">
        <v>23</v>
      </c>
      <c r="C31" s="216"/>
      <c r="D31" s="216"/>
      <c r="E31" s="218">
        <f t="shared" si="1"/>
        <v>0</v>
      </c>
      <c r="F31" s="216"/>
      <c r="G31" s="216"/>
      <c r="H31" s="218"/>
      <c r="I31" s="216">
        <v>0</v>
      </c>
      <c r="J31" s="218">
        <f t="shared" si="2"/>
        <v>0</v>
      </c>
      <c r="K31" s="216">
        <v>0</v>
      </c>
      <c r="L31" s="218">
        <f t="shared" si="3"/>
        <v>0</v>
      </c>
      <c r="M31" s="218">
        <f t="shared" si="6"/>
        <v>0</v>
      </c>
      <c r="N31" s="216">
        <f t="shared" si="5"/>
        <v>0</v>
      </c>
      <c r="O31" s="218">
        <f t="shared" si="4"/>
        <v>0</v>
      </c>
      <c r="P31" s="216"/>
    </row>
    <row r="32" spans="2:16">
      <c r="B32" s="13"/>
      <c r="C32" s="13"/>
      <c r="D32" s="13"/>
      <c r="E32" s="219"/>
      <c r="F32" s="13"/>
      <c r="G32" s="13"/>
      <c r="H32" s="219"/>
      <c r="I32" s="13"/>
      <c r="J32" s="219"/>
      <c r="K32" s="13"/>
      <c r="L32" s="218">
        <f t="shared" si="3"/>
        <v>0</v>
      </c>
      <c r="M32" s="218">
        <f t="shared" si="6"/>
        <v>0</v>
      </c>
      <c r="N32" s="216">
        <f t="shared" si="5"/>
        <v>0</v>
      </c>
      <c r="O32" s="218">
        <f t="shared" si="4"/>
        <v>0</v>
      </c>
      <c r="P32" s="216"/>
    </row>
    <row r="33" spans="2:17">
      <c r="B33" s="216">
        <v>25</v>
      </c>
      <c r="C33" s="216"/>
      <c r="D33" s="216"/>
      <c r="E33" s="218">
        <f t="shared" si="1"/>
        <v>0</v>
      </c>
      <c r="F33" s="216"/>
      <c r="G33" s="216"/>
      <c r="H33" s="218"/>
      <c r="I33" s="216">
        <v>0</v>
      </c>
      <c r="J33" s="218">
        <f>I33*T$8/1000</f>
        <v>0</v>
      </c>
      <c r="K33" s="216"/>
      <c r="L33" s="218">
        <f t="shared" si="3"/>
        <v>0</v>
      </c>
      <c r="M33" s="218">
        <f t="shared" si="6"/>
        <v>0</v>
      </c>
      <c r="N33" s="216">
        <f t="shared" si="5"/>
        <v>0</v>
      </c>
      <c r="O33" s="218">
        <f t="shared" si="4"/>
        <v>0</v>
      </c>
      <c r="P33" s="216"/>
    </row>
    <row r="34" spans="2:17">
      <c r="B34" s="216">
        <v>26</v>
      </c>
      <c r="C34" s="216"/>
      <c r="D34" s="216"/>
      <c r="E34" s="218">
        <f t="shared" si="1"/>
        <v>0</v>
      </c>
      <c r="F34" s="216"/>
      <c r="G34" s="216"/>
      <c r="H34" s="218"/>
      <c r="I34" s="216">
        <v>0</v>
      </c>
      <c r="J34" s="218">
        <f>I34*T$8/1000</f>
        <v>0</v>
      </c>
      <c r="K34" s="216"/>
      <c r="L34" s="218">
        <f t="shared" si="3"/>
        <v>0</v>
      </c>
      <c r="M34" s="218">
        <f t="shared" si="6"/>
        <v>0</v>
      </c>
      <c r="N34" s="216">
        <f t="shared" si="5"/>
        <v>0</v>
      </c>
      <c r="O34" s="218">
        <f t="shared" si="4"/>
        <v>0</v>
      </c>
      <c r="P34" s="216"/>
    </row>
    <row r="35" spans="2:17">
      <c r="B35" s="216">
        <v>27</v>
      </c>
      <c r="C35" s="216"/>
      <c r="D35" s="216"/>
      <c r="E35" s="218">
        <f t="shared" si="1"/>
        <v>0</v>
      </c>
      <c r="F35" s="216"/>
      <c r="G35" s="216"/>
      <c r="H35" s="218"/>
      <c r="I35" s="216">
        <v>0</v>
      </c>
      <c r="J35" s="218">
        <f t="shared" si="2"/>
        <v>0</v>
      </c>
      <c r="K35" s="216">
        <v>0</v>
      </c>
      <c r="L35" s="218">
        <f t="shared" si="3"/>
        <v>0</v>
      </c>
      <c r="M35" s="218">
        <f t="shared" si="6"/>
        <v>0</v>
      </c>
      <c r="N35" s="216">
        <f t="shared" si="5"/>
        <v>0</v>
      </c>
      <c r="O35" s="218">
        <f t="shared" si="4"/>
        <v>0</v>
      </c>
      <c r="P35" s="216"/>
    </row>
    <row r="36" spans="2:17">
      <c r="B36" s="216">
        <v>28</v>
      </c>
      <c r="C36" s="216"/>
      <c r="D36" s="216"/>
      <c r="E36" s="218">
        <f t="shared" si="1"/>
        <v>0</v>
      </c>
      <c r="F36" s="216"/>
      <c r="G36" s="216"/>
      <c r="H36" s="218"/>
      <c r="I36" s="216">
        <v>0</v>
      </c>
      <c r="J36" s="218">
        <f t="shared" si="2"/>
        <v>0</v>
      </c>
      <c r="K36" s="216">
        <v>0</v>
      </c>
      <c r="L36" s="218">
        <f t="shared" si="3"/>
        <v>0</v>
      </c>
      <c r="M36" s="218">
        <f t="shared" si="6"/>
        <v>0</v>
      </c>
      <c r="N36" s="216">
        <f t="shared" si="5"/>
        <v>0</v>
      </c>
      <c r="O36" s="218">
        <f t="shared" si="4"/>
        <v>0</v>
      </c>
      <c r="P36" s="216"/>
    </row>
    <row r="37" spans="2:17">
      <c r="B37" s="216">
        <v>29</v>
      </c>
      <c r="C37" s="216"/>
      <c r="D37" s="216"/>
      <c r="E37" s="218">
        <f t="shared" si="1"/>
        <v>0</v>
      </c>
      <c r="F37" s="216"/>
      <c r="G37" s="216"/>
      <c r="H37" s="218"/>
      <c r="I37" s="216">
        <v>0</v>
      </c>
      <c r="J37" s="218">
        <f t="shared" si="2"/>
        <v>0</v>
      </c>
      <c r="K37" s="216">
        <v>0</v>
      </c>
      <c r="L37" s="218">
        <f t="shared" si="3"/>
        <v>0</v>
      </c>
      <c r="M37" s="218">
        <f t="shared" si="6"/>
        <v>0</v>
      </c>
      <c r="N37" s="216">
        <f t="shared" si="5"/>
        <v>0</v>
      </c>
      <c r="O37" s="218">
        <f t="shared" si="4"/>
        <v>0</v>
      </c>
      <c r="P37" s="216"/>
    </row>
    <row r="38" spans="2:17">
      <c r="B38" s="216">
        <v>30</v>
      </c>
      <c r="D38" s="216"/>
      <c r="E38" s="218">
        <f t="shared" si="1"/>
        <v>0</v>
      </c>
      <c r="F38" s="3"/>
      <c r="G38" s="3"/>
      <c r="H38" s="218"/>
      <c r="I38" s="216"/>
      <c r="J38" s="218">
        <f t="shared" si="2"/>
        <v>0</v>
      </c>
      <c r="K38" s="3"/>
      <c r="L38" s="218">
        <f t="shared" si="3"/>
        <v>0</v>
      </c>
      <c r="M38" s="218">
        <f t="shared" si="6"/>
        <v>0</v>
      </c>
      <c r="N38" s="216">
        <f t="shared" si="5"/>
        <v>0</v>
      </c>
      <c r="O38" s="218">
        <f t="shared" si="4"/>
        <v>0</v>
      </c>
      <c r="P38" s="3"/>
    </row>
    <row r="39" spans="2:17">
      <c r="B39" s="222">
        <v>31</v>
      </c>
      <c r="D39" s="216"/>
      <c r="E39" s="218">
        <f t="shared" si="1"/>
        <v>0</v>
      </c>
      <c r="F39" s="223"/>
      <c r="G39" s="223"/>
      <c r="H39" s="218"/>
      <c r="I39" s="216"/>
      <c r="J39" s="218">
        <f t="shared" si="2"/>
        <v>0</v>
      </c>
      <c r="K39" s="223"/>
      <c r="L39" s="218">
        <f t="shared" si="3"/>
        <v>0</v>
      </c>
      <c r="M39" s="218">
        <f t="shared" si="6"/>
        <v>0</v>
      </c>
      <c r="N39" s="216">
        <f t="shared" si="5"/>
        <v>0</v>
      </c>
      <c r="O39" s="218">
        <f t="shared" si="4"/>
        <v>0</v>
      </c>
      <c r="P39" s="223"/>
    </row>
    <row r="40" spans="2:17">
      <c r="B40" s="928" t="s">
        <v>10</v>
      </c>
      <c r="C40" s="929"/>
      <c r="D40" s="929"/>
      <c r="E40" s="930"/>
      <c r="F40" s="130">
        <f t="shared" ref="F40:M40" si="7">SUM(F9:F39)</f>
        <v>0</v>
      </c>
      <c r="G40" s="224">
        <f t="shared" si="7"/>
        <v>0</v>
      </c>
      <c r="H40" s="224">
        <f t="shared" si="7"/>
        <v>0</v>
      </c>
      <c r="I40" s="130"/>
      <c r="J40" s="130"/>
      <c r="K40" s="224">
        <f t="shared" si="7"/>
        <v>0</v>
      </c>
      <c r="L40" s="224">
        <f t="shared" si="7"/>
        <v>0</v>
      </c>
      <c r="M40" s="130">
        <f t="shared" si="7"/>
        <v>0</v>
      </c>
      <c r="N40" s="130"/>
      <c r="O40" s="130"/>
      <c r="P40" s="3"/>
    </row>
    <row r="42" spans="2:17">
      <c r="B42" s="931" t="s">
        <v>23</v>
      </c>
      <c r="C42" s="931"/>
      <c r="D42" s="931"/>
      <c r="E42" s="8">
        <f>G40*R7/1000</f>
        <v>0</v>
      </c>
      <c r="Q42">
        <v>6</v>
      </c>
    </row>
  </sheetData>
  <mergeCells count="18">
    <mergeCell ref="B2:P2"/>
    <mergeCell ref="R2:S2"/>
    <mergeCell ref="B3:P3"/>
    <mergeCell ref="R3:U3"/>
    <mergeCell ref="B4:P4"/>
    <mergeCell ref="R4:U4"/>
    <mergeCell ref="R7:U7"/>
    <mergeCell ref="R8:U8"/>
    <mergeCell ref="B40:E40"/>
    <mergeCell ref="B42:D42"/>
    <mergeCell ref="A5:P5"/>
    <mergeCell ref="R5:U5"/>
    <mergeCell ref="D6:F6"/>
    <mergeCell ref="G6:H6"/>
    <mergeCell ref="I6:J6"/>
    <mergeCell ref="K6:L6"/>
    <mergeCell ref="N6:O6"/>
    <mergeCell ref="R6:U6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W43"/>
  <sheetViews>
    <sheetView topLeftCell="B1" zoomScale="80" zoomScaleNormal="80" workbookViewId="0">
      <pane ySplit="8" topLeftCell="A9" activePane="bottomLeft" state="frozen"/>
      <selection pane="bottomLeft" activeCell="R2" sqref="R2:V2"/>
    </sheetView>
  </sheetViews>
  <sheetFormatPr defaultColWidth="9" defaultRowHeight="15"/>
  <cols>
    <col min="1" max="1" width="9" hidden="1" customWidth="1"/>
    <col min="3" max="3" width="9" hidden="1" customWidth="1"/>
    <col min="4" max="4" width="11.5703125" customWidth="1"/>
    <col min="5" max="5" width="10.42578125" customWidth="1"/>
    <col min="6" max="6" width="9" hidden="1" customWidth="1"/>
    <col min="8" max="8" width="10.42578125" customWidth="1"/>
    <col min="10" max="10" width="10.42578125" customWidth="1"/>
    <col min="11" max="11" width="10.5703125" customWidth="1"/>
    <col min="12" max="13" width="10.42578125" customWidth="1"/>
    <col min="14" max="14" width="12" customWidth="1"/>
    <col min="15" max="15" width="8.28515625" customWidth="1"/>
    <col min="16" max="17" width="10.42578125" customWidth="1"/>
    <col min="18" max="18" width="18.28515625" customWidth="1"/>
    <col min="19" max="19" width="9.5703125" customWidth="1"/>
    <col min="20" max="20" width="3" hidden="1" customWidth="1"/>
    <col min="21" max="21" width="6.140625" customWidth="1"/>
    <col min="22" max="22" width="6.28515625" customWidth="1"/>
    <col min="23" max="23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129"/>
      <c r="S2" s="931"/>
      <c r="T2" s="931"/>
      <c r="U2" s="129"/>
      <c r="V2" s="227"/>
      <c r="W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129" t="s">
        <v>3</v>
      </c>
      <c r="S3" s="931"/>
      <c r="T3" s="931"/>
      <c r="U3" s="931"/>
      <c r="V3" s="931"/>
      <c r="W3" s="170"/>
    </row>
    <row r="4" spans="1:23" ht="21">
      <c r="B4" s="939" t="s">
        <v>68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129" t="s">
        <v>5</v>
      </c>
      <c r="S4" s="931"/>
      <c r="T4" s="931"/>
      <c r="U4" s="931"/>
      <c r="V4" s="931"/>
      <c r="W4" s="170"/>
    </row>
    <row r="5" spans="1:23" ht="21">
      <c r="A5" s="932" t="s">
        <v>65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933"/>
      <c r="R5" s="129" t="s">
        <v>7</v>
      </c>
      <c r="S5" s="931"/>
      <c r="T5" s="931"/>
      <c r="U5" s="931"/>
      <c r="V5" s="931"/>
      <c r="W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942" t="s">
        <v>12</v>
      </c>
      <c r="N6" s="215"/>
      <c r="O6" s="934" t="s">
        <v>13</v>
      </c>
      <c r="P6" s="934"/>
      <c r="Q6" s="225" t="s">
        <v>14</v>
      </c>
      <c r="R6" s="129" t="s">
        <v>15</v>
      </c>
      <c r="S6" s="931">
        <v>340</v>
      </c>
      <c r="T6" s="931"/>
      <c r="U6" s="931"/>
      <c r="V6" s="931"/>
      <c r="W6" s="170"/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21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18</v>
      </c>
      <c r="M7" s="943"/>
      <c r="N7" s="217"/>
      <c r="O7" s="217" t="s">
        <v>16</v>
      </c>
      <c r="P7" s="217" t="s">
        <v>17</v>
      </c>
      <c r="Q7" s="226"/>
      <c r="R7" s="129" t="s">
        <v>19</v>
      </c>
      <c r="S7" s="941">
        <v>2.5499999999999998</v>
      </c>
      <c r="T7" s="941"/>
      <c r="U7" s="941"/>
      <c r="V7" s="941"/>
      <c r="W7" s="170"/>
    </row>
    <row r="8" spans="1:23">
      <c r="B8" s="216"/>
      <c r="C8" s="216"/>
      <c r="D8" s="217" t="s">
        <v>21</v>
      </c>
      <c r="E8" s="217" t="s">
        <v>22</v>
      </c>
      <c r="F8" s="217"/>
      <c r="G8" s="217"/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934"/>
      <c r="N8" s="217" t="s">
        <v>23</v>
      </c>
      <c r="O8" s="217" t="s">
        <v>21</v>
      </c>
      <c r="P8" s="217" t="s">
        <v>22</v>
      </c>
      <c r="Q8" s="226"/>
      <c r="R8" s="129" t="s">
        <v>24</v>
      </c>
      <c r="S8" s="941">
        <f>S6+S7</f>
        <v>342.55</v>
      </c>
      <c r="T8" s="941"/>
      <c r="U8" s="941"/>
      <c r="V8" s="941"/>
      <c r="W8" s="170"/>
    </row>
    <row r="9" spans="1:23">
      <c r="B9" s="216">
        <v>1</v>
      </c>
      <c r="C9" s="216"/>
      <c r="D9" s="216"/>
      <c r="E9" s="219">
        <f t="shared" ref="E9:E39" si="0">$S$8*D9/1000</f>
        <v>0</v>
      </c>
      <c r="F9" s="216"/>
      <c r="G9" s="216"/>
      <c r="H9" s="219"/>
      <c r="I9" s="216">
        <f>+D9+G9</f>
        <v>0</v>
      </c>
      <c r="J9" s="219">
        <f t="shared" ref="J9:J39" si="1">$S$8*I9/1000</f>
        <v>0</v>
      </c>
      <c r="K9" s="216"/>
      <c r="L9" s="219">
        <f>K9*S$6/1000</f>
        <v>0</v>
      </c>
      <c r="M9" s="219">
        <f>K9*S$8/1000</f>
        <v>0</v>
      </c>
      <c r="N9" s="218">
        <f t="shared" ref="N9:N39" si="2">$S$7*L9/1000</f>
        <v>0</v>
      </c>
      <c r="O9" s="216">
        <f>+I9-K9</f>
        <v>0</v>
      </c>
      <c r="P9" s="219"/>
      <c r="Q9" s="216"/>
      <c r="W9" s="170"/>
    </row>
    <row r="10" spans="1:23">
      <c r="B10" s="216">
        <v>2</v>
      </c>
      <c r="C10" s="216"/>
      <c r="D10" s="216"/>
      <c r="E10" s="219"/>
      <c r="F10" s="216"/>
      <c r="G10" s="216"/>
      <c r="H10" s="219">
        <f t="shared" ref="H10:H39" si="3">$S$8*G10/1000</f>
        <v>0</v>
      </c>
      <c r="I10" s="216">
        <f t="shared" ref="I10:I39" si="4">+D10+G10</f>
        <v>0</v>
      </c>
      <c r="J10" s="219">
        <f t="shared" si="1"/>
        <v>0</v>
      </c>
      <c r="K10" s="216"/>
      <c r="L10" s="219">
        <f t="shared" ref="L10:L39" si="5">K10*S$6/1000</f>
        <v>0</v>
      </c>
      <c r="M10" s="219">
        <f t="shared" ref="M10:M39" si="6">K10*S$8/1000</f>
        <v>0</v>
      </c>
      <c r="N10" s="218">
        <f t="shared" si="2"/>
        <v>0</v>
      </c>
      <c r="O10" s="216">
        <f t="shared" ref="O10:O39" si="7">+I10-K10</f>
        <v>0</v>
      </c>
      <c r="P10" s="219">
        <f t="shared" ref="P10:P39" si="8">O10*S$8/1000</f>
        <v>0</v>
      </c>
      <c r="Q10" s="216"/>
    </row>
    <row r="11" spans="1:23">
      <c r="B11" s="216">
        <v>3</v>
      </c>
      <c r="C11" s="216"/>
      <c r="D11" s="216"/>
      <c r="E11" s="219"/>
      <c r="F11" s="216"/>
      <c r="G11" s="216"/>
      <c r="H11" s="219">
        <f t="shared" si="3"/>
        <v>0</v>
      </c>
      <c r="I11" s="216">
        <f t="shared" si="4"/>
        <v>0</v>
      </c>
      <c r="J11" s="219">
        <f t="shared" si="1"/>
        <v>0</v>
      </c>
      <c r="K11" s="216"/>
      <c r="L11" s="219">
        <f t="shared" si="5"/>
        <v>0</v>
      </c>
      <c r="M11" s="219">
        <f t="shared" si="6"/>
        <v>0</v>
      </c>
      <c r="N11" s="218">
        <f t="shared" si="2"/>
        <v>0</v>
      </c>
      <c r="O11" s="216">
        <f t="shared" si="7"/>
        <v>0</v>
      </c>
      <c r="P11" s="219">
        <f t="shared" si="8"/>
        <v>0</v>
      </c>
      <c r="Q11" s="216"/>
    </row>
    <row r="12" spans="1:23">
      <c r="B12" s="216">
        <v>4</v>
      </c>
      <c r="C12" s="216"/>
      <c r="D12" s="216"/>
      <c r="E12" s="219"/>
      <c r="F12" s="216"/>
      <c r="G12" s="216"/>
      <c r="H12" s="219">
        <f t="shared" si="3"/>
        <v>0</v>
      </c>
      <c r="I12" s="216">
        <f t="shared" si="4"/>
        <v>0</v>
      </c>
      <c r="J12" s="219">
        <f t="shared" si="1"/>
        <v>0</v>
      </c>
      <c r="K12" s="216"/>
      <c r="L12" s="219">
        <f t="shared" si="5"/>
        <v>0</v>
      </c>
      <c r="M12" s="219">
        <f t="shared" si="6"/>
        <v>0</v>
      </c>
      <c r="N12" s="218">
        <f t="shared" si="2"/>
        <v>0</v>
      </c>
      <c r="O12" s="216">
        <f t="shared" si="7"/>
        <v>0</v>
      </c>
      <c r="P12" s="219">
        <f t="shared" si="8"/>
        <v>0</v>
      </c>
      <c r="Q12" s="216"/>
    </row>
    <row r="13" spans="1:23">
      <c r="B13" s="216">
        <v>5</v>
      </c>
      <c r="C13" s="216"/>
      <c r="D13" s="216"/>
      <c r="E13" s="219"/>
      <c r="F13" s="216"/>
      <c r="G13" s="216"/>
      <c r="H13" s="219"/>
      <c r="I13" s="216">
        <f t="shared" si="4"/>
        <v>0</v>
      </c>
      <c r="J13" s="219"/>
      <c r="K13" s="216"/>
      <c r="L13" s="219">
        <f t="shared" si="5"/>
        <v>0</v>
      </c>
      <c r="M13" s="219">
        <f t="shared" si="6"/>
        <v>0</v>
      </c>
      <c r="N13" s="218">
        <f t="shared" si="2"/>
        <v>0</v>
      </c>
      <c r="O13" s="216">
        <f t="shared" si="7"/>
        <v>0</v>
      </c>
      <c r="P13" s="219"/>
      <c r="Q13" s="216"/>
    </row>
    <row r="14" spans="1:23">
      <c r="B14" s="216">
        <v>6</v>
      </c>
      <c r="C14" s="216"/>
      <c r="D14" s="216"/>
      <c r="E14" s="219"/>
      <c r="F14" s="216"/>
      <c r="G14" s="216"/>
      <c r="H14" s="219">
        <f t="shared" si="3"/>
        <v>0</v>
      </c>
      <c r="I14" s="216">
        <f t="shared" si="4"/>
        <v>0</v>
      </c>
      <c r="J14" s="219"/>
      <c r="K14" s="216"/>
      <c r="L14" s="219">
        <f t="shared" si="5"/>
        <v>0</v>
      </c>
      <c r="M14" s="219">
        <f t="shared" si="6"/>
        <v>0</v>
      </c>
      <c r="N14" s="218">
        <f t="shared" si="2"/>
        <v>0</v>
      </c>
      <c r="O14" s="216">
        <f t="shared" si="7"/>
        <v>0</v>
      </c>
      <c r="P14" s="219"/>
      <c r="Q14" s="216"/>
    </row>
    <row r="15" spans="1:23">
      <c r="B15" s="216">
        <v>7</v>
      </c>
      <c r="C15" s="216"/>
      <c r="D15" s="216"/>
      <c r="E15" s="219"/>
      <c r="F15" s="216"/>
      <c r="G15" s="216"/>
      <c r="H15" s="219">
        <f t="shared" si="3"/>
        <v>0</v>
      </c>
      <c r="I15" s="216">
        <f t="shared" si="4"/>
        <v>0</v>
      </c>
      <c r="J15" s="219"/>
      <c r="K15" s="216"/>
      <c r="L15" s="219">
        <f t="shared" si="5"/>
        <v>0</v>
      </c>
      <c r="M15" s="219">
        <f t="shared" si="6"/>
        <v>0</v>
      </c>
      <c r="N15" s="218">
        <f t="shared" si="2"/>
        <v>0</v>
      </c>
      <c r="O15" s="216">
        <f t="shared" si="7"/>
        <v>0</v>
      </c>
      <c r="P15" s="219"/>
      <c r="Q15" s="216"/>
      <c r="S15" s="151"/>
    </row>
    <row r="16" spans="1:23">
      <c r="B16" s="216">
        <v>8</v>
      </c>
      <c r="C16" s="216"/>
      <c r="D16" s="216"/>
      <c r="E16" s="219"/>
      <c r="F16" s="216"/>
      <c r="G16" s="216"/>
      <c r="H16" s="219">
        <f t="shared" si="3"/>
        <v>0</v>
      </c>
      <c r="I16" s="216">
        <f t="shared" si="4"/>
        <v>0</v>
      </c>
      <c r="J16" s="219"/>
      <c r="K16" s="216"/>
      <c r="L16" s="219">
        <f t="shared" si="5"/>
        <v>0</v>
      </c>
      <c r="M16" s="219">
        <f t="shared" si="6"/>
        <v>0</v>
      </c>
      <c r="N16" s="218">
        <f t="shared" si="2"/>
        <v>0</v>
      </c>
      <c r="O16" s="216">
        <f t="shared" si="7"/>
        <v>0</v>
      </c>
      <c r="P16" s="219"/>
      <c r="Q16" s="216"/>
    </row>
    <row r="17" spans="2:17">
      <c r="B17" s="216">
        <v>9</v>
      </c>
      <c r="C17" s="216"/>
      <c r="D17" s="216"/>
      <c r="E17" s="219"/>
      <c r="F17" s="216"/>
      <c r="G17" s="836"/>
      <c r="H17" s="219">
        <f t="shared" si="3"/>
        <v>0</v>
      </c>
      <c r="I17" s="216">
        <f t="shared" si="4"/>
        <v>0</v>
      </c>
      <c r="J17" s="219"/>
      <c r="K17" s="216"/>
      <c r="L17" s="219"/>
      <c r="M17" s="219"/>
      <c r="N17" s="218"/>
      <c r="O17" s="216">
        <f t="shared" si="7"/>
        <v>0</v>
      </c>
      <c r="P17" s="219">
        <f t="shared" si="8"/>
        <v>0</v>
      </c>
      <c r="Q17" s="216"/>
    </row>
    <row r="18" spans="2:17">
      <c r="B18" s="216">
        <v>10</v>
      </c>
      <c r="C18" s="216"/>
      <c r="D18" s="216"/>
      <c r="E18" s="219">
        <f t="shared" si="0"/>
        <v>0</v>
      </c>
      <c r="F18" s="216"/>
      <c r="G18" s="216"/>
      <c r="H18" s="219">
        <f t="shared" si="3"/>
        <v>0</v>
      </c>
      <c r="I18" s="216">
        <f t="shared" si="4"/>
        <v>0</v>
      </c>
      <c r="J18" s="219">
        <f t="shared" si="1"/>
        <v>0</v>
      </c>
      <c r="K18" s="216"/>
      <c r="L18" s="219">
        <f t="shared" si="5"/>
        <v>0</v>
      </c>
      <c r="M18" s="219">
        <f t="shared" si="6"/>
        <v>0</v>
      </c>
      <c r="N18" s="218">
        <f t="shared" si="2"/>
        <v>0</v>
      </c>
      <c r="O18" s="216">
        <f t="shared" si="7"/>
        <v>0</v>
      </c>
      <c r="P18" s="219">
        <f t="shared" si="8"/>
        <v>0</v>
      </c>
      <c r="Q18" s="216"/>
    </row>
    <row r="19" spans="2:17">
      <c r="B19" s="216">
        <v>11</v>
      </c>
      <c r="C19" s="216"/>
      <c r="D19" s="216"/>
      <c r="E19" s="219">
        <f t="shared" si="0"/>
        <v>0</v>
      </c>
      <c r="F19" s="216"/>
      <c r="G19" s="216"/>
      <c r="H19" s="219">
        <f t="shared" si="3"/>
        <v>0</v>
      </c>
      <c r="I19" s="216">
        <f t="shared" si="4"/>
        <v>0</v>
      </c>
      <c r="J19" s="219">
        <f t="shared" si="1"/>
        <v>0</v>
      </c>
      <c r="K19" s="216"/>
      <c r="L19" s="219">
        <f t="shared" si="5"/>
        <v>0</v>
      </c>
      <c r="M19" s="219">
        <f t="shared" si="6"/>
        <v>0</v>
      </c>
      <c r="N19" s="218">
        <f t="shared" si="2"/>
        <v>0</v>
      </c>
      <c r="O19" s="216">
        <f t="shared" si="7"/>
        <v>0</v>
      </c>
      <c r="P19" s="219">
        <f t="shared" si="8"/>
        <v>0</v>
      </c>
      <c r="Q19" s="216"/>
    </row>
    <row r="20" spans="2:17">
      <c r="B20" s="216">
        <v>12</v>
      </c>
      <c r="C20" s="216"/>
      <c r="D20" s="216"/>
      <c r="E20" s="219">
        <f t="shared" si="0"/>
        <v>0</v>
      </c>
      <c r="F20" s="216"/>
      <c r="G20" s="216"/>
      <c r="H20" s="219">
        <f t="shared" si="3"/>
        <v>0</v>
      </c>
      <c r="I20" s="216">
        <f t="shared" si="4"/>
        <v>0</v>
      </c>
      <c r="J20" s="219">
        <f t="shared" si="1"/>
        <v>0</v>
      </c>
      <c r="K20" s="216"/>
      <c r="L20" s="219">
        <f t="shared" si="5"/>
        <v>0</v>
      </c>
      <c r="M20" s="219">
        <f t="shared" si="6"/>
        <v>0</v>
      </c>
      <c r="N20" s="218">
        <f t="shared" si="2"/>
        <v>0</v>
      </c>
      <c r="O20" s="216">
        <f t="shared" si="7"/>
        <v>0</v>
      </c>
      <c r="P20" s="219">
        <f t="shared" si="8"/>
        <v>0</v>
      </c>
      <c r="Q20" s="216"/>
    </row>
    <row r="21" spans="2:17">
      <c r="B21" s="216">
        <v>13</v>
      </c>
      <c r="C21" s="216"/>
      <c r="D21" s="216"/>
      <c r="E21" s="219">
        <f t="shared" si="0"/>
        <v>0</v>
      </c>
      <c r="F21" s="216"/>
      <c r="G21" s="216"/>
      <c r="H21" s="219">
        <f t="shared" si="3"/>
        <v>0</v>
      </c>
      <c r="I21" s="216">
        <f t="shared" si="4"/>
        <v>0</v>
      </c>
      <c r="J21" s="219">
        <f t="shared" si="1"/>
        <v>0</v>
      </c>
      <c r="K21" s="216"/>
      <c r="L21" s="219">
        <f t="shared" si="5"/>
        <v>0</v>
      </c>
      <c r="M21" s="219">
        <f t="shared" si="6"/>
        <v>0</v>
      </c>
      <c r="N21" s="218">
        <f t="shared" si="2"/>
        <v>0</v>
      </c>
      <c r="O21" s="216">
        <f t="shared" si="7"/>
        <v>0</v>
      </c>
      <c r="P21" s="219">
        <f t="shared" si="8"/>
        <v>0</v>
      </c>
      <c r="Q21" s="216"/>
    </row>
    <row r="22" spans="2:17">
      <c r="B22" s="216">
        <v>14</v>
      </c>
      <c r="C22" s="216"/>
      <c r="D22" s="216"/>
      <c r="E22" s="219">
        <f t="shared" si="0"/>
        <v>0</v>
      </c>
      <c r="F22" s="216"/>
      <c r="G22" s="216"/>
      <c r="H22" s="219">
        <f t="shared" si="3"/>
        <v>0</v>
      </c>
      <c r="I22" s="216">
        <f t="shared" si="4"/>
        <v>0</v>
      </c>
      <c r="J22" s="219">
        <f t="shared" si="1"/>
        <v>0</v>
      </c>
      <c r="K22" s="216"/>
      <c r="L22" s="219">
        <f t="shared" si="5"/>
        <v>0</v>
      </c>
      <c r="M22" s="219">
        <f t="shared" si="6"/>
        <v>0</v>
      </c>
      <c r="N22" s="218">
        <f t="shared" si="2"/>
        <v>0</v>
      </c>
      <c r="O22" s="216">
        <f t="shared" si="7"/>
        <v>0</v>
      </c>
      <c r="P22" s="219">
        <f t="shared" si="8"/>
        <v>0</v>
      </c>
      <c r="Q22" s="216"/>
    </row>
    <row r="23" spans="2:17">
      <c r="B23" s="216">
        <v>15</v>
      </c>
      <c r="C23" s="216"/>
      <c r="D23" s="216"/>
      <c r="E23" s="219">
        <f t="shared" si="0"/>
        <v>0</v>
      </c>
      <c r="F23" s="216"/>
      <c r="G23" s="216"/>
      <c r="H23" s="219">
        <f t="shared" si="3"/>
        <v>0</v>
      </c>
      <c r="I23" s="216">
        <f t="shared" si="4"/>
        <v>0</v>
      </c>
      <c r="J23" s="219">
        <f t="shared" si="1"/>
        <v>0</v>
      </c>
      <c r="K23" s="216"/>
      <c r="L23" s="219">
        <f t="shared" si="5"/>
        <v>0</v>
      </c>
      <c r="M23" s="219">
        <f t="shared" si="6"/>
        <v>0</v>
      </c>
      <c r="N23" s="218">
        <f t="shared" si="2"/>
        <v>0</v>
      </c>
      <c r="O23" s="216">
        <f t="shared" si="7"/>
        <v>0</v>
      </c>
      <c r="P23" s="219">
        <f t="shared" si="8"/>
        <v>0</v>
      </c>
      <c r="Q23" s="216"/>
    </row>
    <row r="24" spans="2:17">
      <c r="B24" s="216">
        <v>16</v>
      </c>
      <c r="C24" s="216"/>
      <c r="D24" s="216"/>
      <c r="E24" s="219">
        <f t="shared" si="0"/>
        <v>0</v>
      </c>
      <c r="F24" s="216"/>
      <c r="G24" s="836"/>
      <c r="H24" s="219">
        <f t="shared" si="3"/>
        <v>0</v>
      </c>
      <c r="I24" s="216">
        <f t="shared" si="4"/>
        <v>0</v>
      </c>
      <c r="J24" s="219">
        <f t="shared" si="1"/>
        <v>0</v>
      </c>
      <c r="K24" s="216"/>
      <c r="L24" s="219">
        <f t="shared" si="5"/>
        <v>0</v>
      </c>
      <c r="M24" s="219">
        <f t="shared" si="6"/>
        <v>0</v>
      </c>
      <c r="N24" s="218">
        <f t="shared" si="2"/>
        <v>0</v>
      </c>
      <c r="O24" s="216">
        <f t="shared" si="7"/>
        <v>0</v>
      </c>
      <c r="P24" s="219">
        <f t="shared" si="8"/>
        <v>0</v>
      </c>
      <c r="Q24" s="216"/>
    </row>
    <row r="25" spans="2:17">
      <c r="B25" s="216">
        <v>17</v>
      </c>
      <c r="C25" s="216"/>
      <c r="D25" s="216"/>
      <c r="E25" s="219">
        <f t="shared" si="0"/>
        <v>0</v>
      </c>
      <c r="F25" s="836"/>
      <c r="G25" s="836"/>
      <c r="H25" s="219">
        <f t="shared" si="3"/>
        <v>0</v>
      </c>
      <c r="I25" s="216">
        <f t="shared" si="4"/>
        <v>0</v>
      </c>
      <c r="J25" s="219">
        <f t="shared" si="1"/>
        <v>0</v>
      </c>
      <c r="K25" s="216"/>
      <c r="L25" s="219">
        <f t="shared" si="5"/>
        <v>0</v>
      </c>
      <c r="M25" s="219">
        <f t="shared" si="6"/>
        <v>0</v>
      </c>
      <c r="N25" s="218">
        <f t="shared" si="2"/>
        <v>0</v>
      </c>
      <c r="O25" s="216">
        <f t="shared" si="7"/>
        <v>0</v>
      </c>
      <c r="P25" s="219">
        <f t="shared" si="8"/>
        <v>0</v>
      </c>
      <c r="Q25" s="216"/>
    </row>
    <row r="26" spans="2:17">
      <c r="B26" s="216">
        <v>18</v>
      </c>
      <c r="C26" s="216"/>
      <c r="D26" s="216"/>
      <c r="E26" s="219">
        <f t="shared" si="0"/>
        <v>0</v>
      </c>
      <c r="F26" s="216"/>
      <c r="G26" s="216"/>
      <c r="H26" s="219">
        <f t="shared" si="3"/>
        <v>0</v>
      </c>
      <c r="I26" s="216">
        <f t="shared" si="4"/>
        <v>0</v>
      </c>
      <c r="J26" s="219">
        <f t="shared" si="1"/>
        <v>0</v>
      </c>
      <c r="K26" s="216"/>
      <c r="L26" s="219">
        <f t="shared" si="5"/>
        <v>0</v>
      </c>
      <c r="M26" s="219">
        <f t="shared" si="6"/>
        <v>0</v>
      </c>
      <c r="N26" s="218">
        <f t="shared" si="2"/>
        <v>0</v>
      </c>
      <c r="O26" s="216">
        <f t="shared" si="7"/>
        <v>0</v>
      </c>
      <c r="P26" s="219">
        <f t="shared" si="8"/>
        <v>0</v>
      </c>
      <c r="Q26" s="216"/>
    </row>
    <row r="27" spans="2:17">
      <c r="B27" s="216">
        <v>19</v>
      </c>
      <c r="C27" s="216"/>
      <c r="D27" s="216"/>
      <c r="E27" s="219">
        <f t="shared" si="0"/>
        <v>0</v>
      </c>
      <c r="F27" s="216"/>
      <c r="G27" s="216"/>
      <c r="H27" s="219">
        <f t="shared" si="3"/>
        <v>0</v>
      </c>
      <c r="I27" s="216">
        <f t="shared" si="4"/>
        <v>0</v>
      </c>
      <c r="J27" s="219">
        <f t="shared" si="1"/>
        <v>0</v>
      </c>
      <c r="K27" s="216"/>
      <c r="L27" s="219">
        <f t="shared" si="5"/>
        <v>0</v>
      </c>
      <c r="M27" s="219">
        <f t="shared" si="6"/>
        <v>0</v>
      </c>
      <c r="N27" s="218">
        <f t="shared" si="2"/>
        <v>0</v>
      </c>
      <c r="O27" s="216">
        <f t="shared" si="7"/>
        <v>0</v>
      </c>
      <c r="P27" s="219">
        <f t="shared" si="8"/>
        <v>0</v>
      </c>
      <c r="Q27" s="216"/>
    </row>
    <row r="28" spans="2:17">
      <c r="B28" s="216">
        <v>20</v>
      </c>
      <c r="C28" s="216"/>
      <c r="D28" s="216"/>
      <c r="E28" s="219">
        <f t="shared" si="0"/>
        <v>0</v>
      </c>
      <c r="F28" s="216"/>
      <c r="G28" s="216"/>
      <c r="H28" s="219">
        <f t="shared" si="3"/>
        <v>0</v>
      </c>
      <c r="I28" s="216">
        <f t="shared" si="4"/>
        <v>0</v>
      </c>
      <c r="J28" s="219">
        <f t="shared" si="1"/>
        <v>0</v>
      </c>
      <c r="K28" s="216"/>
      <c r="L28" s="219">
        <f t="shared" si="5"/>
        <v>0</v>
      </c>
      <c r="M28" s="219">
        <f t="shared" si="6"/>
        <v>0</v>
      </c>
      <c r="N28" s="218">
        <f t="shared" si="2"/>
        <v>0</v>
      </c>
      <c r="O28" s="216">
        <f t="shared" si="7"/>
        <v>0</v>
      </c>
      <c r="P28" s="219">
        <f t="shared" si="8"/>
        <v>0</v>
      </c>
      <c r="Q28" s="216"/>
    </row>
    <row r="29" spans="2:17">
      <c r="B29" s="216">
        <v>21</v>
      </c>
      <c r="C29" s="216"/>
      <c r="D29" s="216"/>
      <c r="E29" s="219">
        <f t="shared" si="0"/>
        <v>0</v>
      </c>
      <c r="F29" s="216"/>
      <c r="G29" s="216"/>
      <c r="H29" s="219">
        <f t="shared" si="3"/>
        <v>0</v>
      </c>
      <c r="I29" s="216">
        <f t="shared" si="4"/>
        <v>0</v>
      </c>
      <c r="J29" s="219">
        <f t="shared" si="1"/>
        <v>0</v>
      </c>
      <c r="K29" s="216"/>
      <c r="L29" s="219">
        <f t="shared" si="5"/>
        <v>0</v>
      </c>
      <c r="M29" s="219">
        <f t="shared" si="6"/>
        <v>0</v>
      </c>
      <c r="N29" s="218">
        <f t="shared" si="2"/>
        <v>0</v>
      </c>
      <c r="O29" s="216">
        <f t="shared" si="7"/>
        <v>0</v>
      </c>
      <c r="P29" s="219">
        <f t="shared" si="8"/>
        <v>0</v>
      </c>
      <c r="Q29" s="216"/>
    </row>
    <row r="30" spans="2:17">
      <c r="B30" s="216">
        <v>22</v>
      </c>
      <c r="C30" s="216"/>
      <c r="D30" s="216"/>
      <c r="E30" s="219">
        <f t="shared" si="0"/>
        <v>0</v>
      </c>
      <c r="F30" s="216"/>
      <c r="G30" s="216"/>
      <c r="H30" s="219">
        <f t="shared" si="3"/>
        <v>0</v>
      </c>
      <c r="I30" s="216">
        <f t="shared" si="4"/>
        <v>0</v>
      </c>
      <c r="J30" s="219">
        <f t="shared" si="1"/>
        <v>0</v>
      </c>
      <c r="K30" s="216"/>
      <c r="L30" s="219">
        <f t="shared" si="5"/>
        <v>0</v>
      </c>
      <c r="M30" s="219">
        <f t="shared" si="6"/>
        <v>0</v>
      </c>
      <c r="N30" s="218">
        <f t="shared" si="2"/>
        <v>0</v>
      </c>
      <c r="O30" s="216">
        <f t="shared" si="7"/>
        <v>0</v>
      </c>
      <c r="P30" s="219">
        <f t="shared" si="8"/>
        <v>0</v>
      </c>
      <c r="Q30" s="216"/>
    </row>
    <row r="31" spans="2:17">
      <c r="B31" s="216">
        <v>23</v>
      </c>
      <c r="C31" s="216"/>
      <c r="D31" s="216"/>
      <c r="E31" s="219">
        <f t="shared" si="0"/>
        <v>0</v>
      </c>
      <c r="F31" s="216"/>
      <c r="G31" s="216"/>
      <c r="H31" s="219">
        <f t="shared" si="3"/>
        <v>0</v>
      </c>
      <c r="I31" s="216">
        <f t="shared" si="4"/>
        <v>0</v>
      </c>
      <c r="J31" s="219">
        <f t="shared" si="1"/>
        <v>0</v>
      </c>
      <c r="K31" s="216"/>
      <c r="L31" s="219">
        <f t="shared" si="5"/>
        <v>0</v>
      </c>
      <c r="M31" s="219">
        <f t="shared" si="6"/>
        <v>0</v>
      </c>
      <c r="N31" s="218">
        <f t="shared" si="2"/>
        <v>0</v>
      </c>
      <c r="O31" s="216">
        <f t="shared" si="7"/>
        <v>0</v>
      </c>
      <c r="P31" s="219">
        <f t="shared" si="8"/>
        <v>0</v>
      </c>
      <c r="Q31" s="216"/>
    </row>
    <row r="32" spans="2:17">
      <c r="B32" s="216">
        <v>24</v>
      </c>
      <c r="C32" s="216"/>
      <c r="D32" s="216"/>
      <c r="E32" s="219">
        <f t="shared" si="0"/>
        <v>0</v>
      </c>
      <c r="F32" s="216"/>
      <c r="G32" s="216"/>
      <c r="H32" s="219">
        <f t="shared" si="3"/>
        <v>0</v>
      </c>
      <c r="I32" s="216">
        <f t="shared" si="4"/>
        <v>0</v>
      </c>
      <c r="J32" s="219">
        <f t="shared" si="1"/>
        <v>0</v>
      </c>
      <c r="K32" s="216"/>
      <c r="L32" s="219">
        <f t="shared" si="5"/>
        <v>0</v>
      </c>
      <c r="M32" s="219">
        <f t="shared" si="6"/>
        <v>0</v>
      </c>
      <c r="N32" s="218">
        <f t="shared" si="2"/>
        <v>0</v>
      </c>
      <c r="O32" s="216">
        <f t="shared" si="7"/>
        <v>0</v>
      </c>
      <c r="P32" s="219">
        <f t="shared" si="8"/>
        <v>0</v>
      </c>
      <c r="Q32" s="216"/>
    </row>
    <row r="33" spans="2:17">
      <c r="B33" s="216">
        <v>25</v>
      </c>
      <c r="C33" s="216"/>
      <c r="D33" s="216"/>
      <c r="E33" s="219">
        <f t="shared" si="0"/>
        <v>0</v>
      </c>
      <c r="F33" s="216"/>
      <c r="G33" s="216"/>
      <c r="H33" s="219">
        <f t="shared" si="3"/>
        <v>0</v>
      </c>
      <c r="I33" s="216">
        <f t="shared" si="4"/>
        <v>0</v>
      </c>
      <c r="J33" s="219">
        <f t="shared" si="1"/>
        <v>0</v>
      </c>
      <c r="K33" s="216"/>
      <c r="L33" s="219">
        <f t="shared" si="5"/>
        <v>0</v>
      </c>
      <c r="M33" s="219">
        <f t="shared" si="6"/>
        <v>0</v>
      </c>
      <c r="N33" s="218">
        <f t="shared" si="2"/>
        <v>0</v>
      </c>
      <c r="O33" s="216">
        <f t="shared" si="7"/>
        <v>0</v>
      </c>
      <c r="P33" s="219">
        <f t="shared" si="8"/>
        <v>0</v>
      </c>
      <c r="Q33" s="216"/>
    </row>
    <row r="34" spans="2:17">
      <c r="B34" s="216">
        <v>26</v>
      </c>
      <c r="C34" s="216"/>
      <c r="D34" s="216"/>
      <c r="E34" s="219">
        <f t="shared" si="0"/>
        <v>0</v>
      </c>
      <c r="F34" s="216"/>
      <c r="G34" s="216"/>
      <c r="H34" s="219">
        <f t="shared" si="3"/>
        <v>0</v>
      </c>
      <c r="I34" s="216">
        <f t="shared" si="4"/>
        <v>0</v>
      </c>
      <c r="J34" s="219">
        <f t="shared" si="1"/>
        <v>0</v>
      </c>
      <c r="K34" s="216"/>
      <c r="L34" s="219">
        <f t="shared" si="5"/>
        <v>0</v>
      </c>
      <c r="M34" s="219">
        <f t="shared" si="6"/>
        <v>0</v>
      </c>
      <c r="N34" s="218">
        <f t="shared" si="2"/>
        <v>0</v>
      </c>
      <c r="O34" s="216">
        <f t="shared" si="7"/>
        <v>0</v>
      </c>
      <c r="P34" s="219">
        <f t="shared" si="8"/>
        <v>0</v>
      </c>
      <c r="Q34" s="216"/>
    </row>
    <row r="35" spans="2:17">
      <c r="B35" s="216">
        <v>27</v>
      </c>
      <c r="C35" s="216"/>
      <c r="D35" s="216"/>
      <c r="E35" s="219">
        <f t="shared" si="0"/>
        <v>0</v>
      </c>
      <c r="F35" s="216"/>
      <c r="G35" s="216"/>
      <c r="H35" s="219">
        <f t="shared" si="3"/>
        <v>0</v>
      </c>
      <c r="I35" s="216">
        <f t="shared" si="4"/>
        <v>0</v>
      </c>
      <c r="J35" s="219">
        <f t="shared" si="1"/>
        <v>0</v>
      </c>
      <c r="K35" s="216"/>
      <c r="L35" s="219">
        <f t="shared" si="5"/>
        <v>0</v>
      </c>
      <c r="M35" s="219">
        <f t="shared" si="6"/>
        <v>0</v>
      </c>
      <c r="N35" s="218">
        <f t="shared" si="2"/>
        <v>0</v>
      </c>
      <c r="O35" s="216">
        <f t="shared" si="7"/>
        <v>0</v>
      </c>
      <c r="P35" s="219">
        <f t="shared" si="8"/>
        <v>0</v>
      </c>
      <c r="Q35" s="216"/>
    </row>
    <row r="36" spans="2:17">
      <c r="B36" s="216">
        <v>28</v>
      </c>
      <c r="C36" s="216"/>
      <c r="D36" s="216"/>
      <c r="E36" s="219">
        <f t="shared" si="0"/>
        <v>0</v>
      </c>
      <c r="F36" s="216"/>
      <c r="G36" s="216"/>
      <c r="H36" s="219">
        <f t="shared" si="3"/>
        <v>0</v>
      </c>
      <c r="I36" s="216">
        <f t="shared" si="4"/>
        <v>0</v>
      </c>
      <c r="J36" s="219">
        <f t="shared" si="1"/>
        <v>0</v>
      </c>
      <c r="K36" s="216"/>
      <c r="L36" s="219">
        <f t="shared" si="5"/>
        <v>0</v>
      </c>
      <c r="M36" s="219">
        <f t="shared" si="6"/>
        <v>0</v>
      </c>
      <c r="N36" s="218">
        <f t="shared" si="2"/>
        <v>0</v>
      </c>
      <c r="O36" s="216">
        <f t="shared" si="7"/>
        <v>0</v>
      </c>
      <c r="P36" s="219">
        <f t="shared" si="8"/>
        <v>0</v>
      </c>
      <c r="Q36" s="216"/>
    </row>
    <row r="37" spans="2:17">
      <c r="B37" s="216">
        <v>29</v>
      </c>
      <c r="C37" s="216"/>
      <c r="D37" s="216"/>
      <c r="E37" s="219">
        <f t="shared" si="0"/>
        <v>0</v>
      </c>
      <c r="F37" s="216"/>
      <c r="G37" s="216"/>
      <c r="H37" s="219">
        <f t="shared" si="3"/>
        <v>0</v>
      </c>
      <c r="I37" s="216">
        <f t="shared" si="4"/>
        <v>0</v>
      </c>
      <c r="J37" s="219">
        <f t="shared" si="1"/>
        <v>0</v>
      </c>
      <c r="K37" s="216"/>
      <c r="L37" s="219">
        <f t="shared" si="5"/>
        <v>0</v>
      </c>
      <c r="M37" s="219">
        <f t="shared" si="6"/>
        <v>0</v>
      </c>
      <c r="N37" s="218">
        <f t="shared" si="2"/>
        <v>0</v>
      </c>
      <c r="O37" s="216">
        <f t="shared" si="7"/>
        <v>0</v>
      </c>
      <c r="P37" s="219">
        <f t="shared" si="8"/>
        <v>0</v>
      </c>
      <c r="Q37" s="216"/>
    </row>
    <row r="38" spans="2:17">
      <c r="B38" s="216">
        <v>30</v>
      </c>
      <c r="C38" s="216"/>
      <c r="D38" s="216"/>
      <c r="E38" s="219">
        <f t="shared" si="0"/>
        <v>0</v>
      </c>
      <c r="F38" s="216"/>
      <c r="G38" s="216"/>
      <c r="H38" s="219">
        <f t="shared" si="3"/>
        <v>0</v>
      </c>
      <c r="I38" s="216">
        <f t="shared" si="4"/>
        <v>0</v>
      </c>
      <c r="J38" s="219">
        <f t="shared" si="1"/>
        <v>0</v>
      </c>
      <c r="K38" s="216"/>
      <c r="L38" s="219">
        <f t="shared" si="5"/>
        <v>0</v>
      </c>
      <c r="M38" s="219">
        <f t="shared" si="6"/>
        <v>0</v>
      </c>
      <c r="N38" s="218">
        <f t="shared" si="2"/>
        <v>0</v>
      </c>
      <c r="O38" s="216">
        <f t="shared" si="7"/>
        <v>0</v>
      </c>
      <c r="P38" s="219">
        <f t="shared" si="8"/>
        <v>0</v>
      </c>
      <c r="Q38" s="216"/>
    </row>
    <row r="39" spans="2:17">
      <c r="B39" s="216">
        <v>31</v>
      </c>
      <c r="C39" s="216"/>
      <c r="D39" s="216"/>
      <c r="E39" s="219">
        <f t="shared" si="0"/>
        <v>0</v>
      </c>
      <c r="F39" s="216"/>
      <c r="G39" s="216"/>
      <c r="H39" s="219">
        <f t="shared" si="3"/>
        <v>0</v>
      </c>
      <c r="I39" s="216">
        <f t="shared" si="4"/>
        <v>0</v>
      </c>
      <c r="J39" s="219">
        <f t="shared" si="1"/>
        <v>0</v>
      </c>
      <c r="K39" s="216"/>
      <c r="L39" s="219">
        <f t="shared" si="5"/>
        <v>0</v>
      </c>
      <c r="M39" s="219">
        <f t="shared" si="6"/>
        <v>0</v>
      </c>
      <c r="N39" s="218">
        <f t="shared" si="2"/>
        <v>0</v>
      </c>
      <c r="O39" s="216">
        <f t="shared" si="7"/>
        <v>0</v>
      </c>
      <c r="P39" s="219">
        <f t="shared" si="8"/>
        <v>0</v>
      </c>
      <c r="Q39" s="216"/>
    </row>
    <row r="40" spans="2:17">
      <c r="B40" s="3" t="s">
        <v>10</v>
      </c>
      <c r="C40" s="3"/>
      <c r="D40" s="130"/>
      <c r="E40" s="130"/>
      <c r="F40" s="130">
        <f>SUM(F7:F39)</f>
        <v>0</v>
      </c>
      <c r="G40" s="224">
        <f>SUM(G9:G39)</f>
        <v>0</v>
      </c>
      <c r="H40" s="224">
        <f>SUM(H9:H39)</f>
        <v>0</v>
      </c>
      <c r="I40" s="130"/>
      <c r="J40" s="130"/>
      <c r="K40" s="239">
        <f>SUM(K9:K39)</f>
        <v>0</v>
      </c>
      <c r="L40" s="224">
        <f>SUM(L9:L39)</f>
        <v>0</v>
      </c>
      <c r="M40" s="148"/>
      <c r="N40" s="130">
        <f>SUM(N7:N39)</f>
        <v>0</v>
      </c>
      <c r="O40" s="148"/>
      <c r="P40" s="148"/>
      <c r="Q40" s="3"/>
    </row>
    <row r="42" spans="2:17">
      <c r="D42" s="928" t="s">
        <v>23</v>
      </c>
      <c r="E42" s="930"/>
      <c r="F42" s="129"/>
      <c r="G42" s="130">
        <f>G40*S7/1000</f>
        <v>0</v>
      </c>
      <c r="J42" s="3" t="s">
        <v>36</v>
      </c>
      <c r="K42" s="3"/>
      <c r="L42" s="129">
        <f>K40*S7/1000</f>
        <v>0</v>
      </c>
    </row>
    <row r="43" spans="2:17">
      <c r="N43" s="151">
        <f>L40+N40</f>
        <v>0</v>
      </c>
    </row>
  </sheetData>
  <mergeCells count="18">
    <mergeCell ref="B2:Q2"/>
    <mergeCell ref="S2:T2"/>
    <mergeCell ref="B3:Q3"/>
    <mergeCell ref="S3:V3"/>
    <mergeCell ref="B4:Q4"/>
    <mergeCell ref="S4:V4"/>
    <mergeCell ref="S7:V7"/>
    <mergeCell ref="S8:V8"/>
    <mergeCell ref="D42:E42"/>
    <mergeCell ref="M6:M8"/>
    <mergeCell ref="A5:Q5"/>
    <mergeCell ref="S5:V5"/>
    <mergeCell ref="D6:F6"/>
    <mergeCell ref="G6:H6"/>
    <mergeCell ref="I6:J6"/>
    <mergeCell ref="K6:L6"/>
    <mergeCell ref="O6:P6"/>
    <mergeCell ref="S6:V6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W42"/>
  <sheetViews>
    <sheetView topLeftCell="B1" zoomScale="80" zoomScaleNormal="80" workbookViewId="0">
      <pane ySplit="8" topLeftCell="A33" activePane="bottomLeft" state="frozen"/>
      <selection pane="bottomLeft" activeCell="U45" sqref="U45"/>
    </sheetView>
  </sheetViews>
  <sheetFormatPr defaultColWidth="9" defaultRowHeight="21"/>
  <cols>
    <col min="1" max="1" width="9" hidden="1" customWidth="1"/>
    <col min="2" max="2" width="9.140625" style="831"/>
    <col min="3" max="3" width="9" hidden="1" customWidth="1"/>
    <col min="5" max="5" width="10.42578125" customWidth="1"/>
    <col min="6" max="6" width="9" hidden="1" customWidth="1"/>
    <col min="8" max="8" width="15.28515625" style="831" customWidth="1"/>
    <col min="9" max="9" width="9.5703125" customWidth="1"/>
    <col min="10" max="10" width="10.42578125" customWidth="1"/>
    <col min="11" max="11" width="10.5703125" customWidth="1"/>
    <col min="12" max="12" width="10.42578125" customWidth="1"/>
    <col min="13" max="13" width="13.28515625" style="831" customWidth="1"/>
    <col min="14" max="14" width="12" customWidth="1"/>
    <col min="15" max="15" width="8.28515625" customWidth="1"/>
    <col min="16" max="17" width="10.42578125" customWidth="1"/>
    <col min="18" max="18" width="18.28515625" customWidth="1"/>
    <col min="19" max="19" width="10.5703125" customWidth="1"/>
    <col min="20" max="20" width="3" hidden="1" customWidth="1"/>
    <col min="21" max="21" width="8.5703125" customWidth="1"/>
    <col min="22" max="22" width="6.28515625" customWidth="1"/>
    <col min="23" max="23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129"/>
      <c r="S2" s="931"/>
      <c r="T2" s="931"/>
      <c r="U2" s="129"/>
      <c r="V2" s="227"/>
      <c r="W2" s="228"/>
    </row>
    <row r="3" spans="1:23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129" t="s">
        <v>3</v>
      </c>
      <c r="S3" s="931"/>
      <c r="T3" s="931"/>
      <c r="U3" s="931"/>
      <c r="V3" s="931"/>
      <c r="W3" s="170"/>
    </row>
    <row r="4" spans="1:23">
      <c r="B4" s="939" t="s">
        <v>69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129" t="s">
        <v>5</v>
      </c>
      <c r="S4" s="931"/>
      <c r="T4" s="931"/>
      <c r="U4" s="931"/>
      <c r="V4" s="931"/>
      <c r="W4" s="170"/>
    </row>
    <row r="5" spans="1:23">
      <c r="A5" s="932" t="s">
        <v>70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933"/>
      <c r="R5" s="129" t="s">
        <v>7</v>
      </c>
      <c r="S5" s="931"/>
      <c r="T5" s="931"/>
      <c r="U5" s="931"/>
      <c r="V5" s="931"/>
      <c r="W5" s="170"/>
    </row>
    <row r="6" spans="1:23">
      <c r="B6" s="3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920" t="s">
        <v>12</v>
      </c>
      <c r="N6" s="215"/>
      <c r="O6" s="934" t="s">
        <v>13</v>
      </c>
      <c r="P6" s="934"/>
      <c r="Q6" s="225" t="s">
        <v>14</v>
      </c>
      <c r="R6" s="129" t="s">
        <v>15</v>
      </c>
      <c r="S6" s="931">
        <v>290</v>
      </c>
      <c r="T6" s="931"/>
      <c r="U6" s="931"/>
      <c r="V6" s="931"/>
      <c r="W6" s="170"/>
    </row>
    <row r="7" spans="1:23">
      <c r="B7" s="312"/>
      <c r="C7" s="216"/>
      <c r="D7" s="217" t="s">
        <v>16</v>
      </c>
      <c r="E7" s="217" t="s">
        <v>17</v>
      </c>
      <c r="F7" s="217"/>
      <c r="G7" s="217" t="s">
        <v>16</v>
      </c>
      <c r="H7" s="918" t="s">
        <v>50</v>
      </c>
      <c r="I7" s="217" t="s">
        <v>16</v>
      </c>
      <c r="J7" s="217" t="s">
        <v>17</v>
      </c>
      <c r="K7" s="217" t="s">
        <v>16</v>
      </c>
      <c r="L7" s="217" t="s">
        <v>18</v>
      </c>
      <c r="M7" s="921"/>
      <c r="N7" s="217"/>
      <c r="O7" s="217" t="s">
        <v>16</v>
      </c>
      <c r="P7" s="217" t="s">
        <v>17</v>
      </c>
      <c r="Q7" s="226"/>
      <c r="R7" s="129" t="s">
        <v>19</v>
      </c>
      <c r="S7" s="931">
        <v>2.1749999999999998</v>
      </c>
      <c r="T7" s="931"/>
      <c r="U7" s="931"/>
      <c r="V7" s="931"/>
      <c r="W7" s="170"/>
    </row>
    <row r="8" spans="1:23">
      <c r="B8" s="312"/>
      <c r="C8" s="216"/>
      <c r="D8" s="217" t="s">
        <v>21</v>
      </c>
      <c r="E8" s="217" t="s">
        <v>22</v>
      </c>
      <c r="F8" s="217"/>
      <c r="G8" s="217" t="s">
        <v>21</v>
      </c>
      <c r="H8" s="919"/>
      <c r="I8" s="217" t="s">
        <v>21</v>
      </c>
      <c r="J8" s="217" t="s">
        <v>22</v>
      </c>
      <c r="K8" s="217" t="s">
        <v>21</v>
      </c>
      <c r="L8" s="217" t="s">
        <v>22</v>
      </c>
      <c r="M8" s="919"/>
      <c r="N8" s="217" t="s">
        <v>23</v>
      </c>
      <c r="O8" s="217" t="s">
        <v>21</v>
      </c>
      <c r="P8" s="217" t="s">
        <v>22</v>
      </c>
      <c r="Q8" s="226"/>
      <c r="R8" s="129" t="s">
        <v>24</v>
      </c>
      <c r="S8" s="941">
        <f>S6+S7</f>
        <v>292.17500000000001</v>
      </c>
      <c r="T8" s="941"/>
      <c r="U8" s="941"/>
      <c r="V8" s="941"/>
      <c r="W8" s="170"/>
    </row>
    <row r="9" spans="1:23">
      <c r="B9" s="312">
        <v>1</v>
      </c>
      <c r="C9" s="216"/>
      <c r="D9" s="216">
        <v>365</v>
      </c>
      <c r="E9" s="219">
        <f t="shared" ref="E9:E39" si="0">$S$8*D9/1000</f>
        <v>106.64387499999999</v>
      </c>
      <c r="F9" s="216"/>
      <c r="G9" s="216">
        <v>28</v>
      </c>
      <c r="H9" s="832">
        <f t="shared" ref="H9:H39" si="1">$S$8*G9/1000</f>
        <v>8.1809000000000012</v>
      </c>
      <c r="I9" s="216">
        <f>D9+G9</f>
        <v>393</v>
      </c>
      <c r="J9" s="219">
        <f t="shared" ref="J9:J39" si="2">$S$8*I9/1000</f>
        <v>114.824775</v>
      </c>
      <c r="K9" s="216">
        <v>336</v>
      </c>
      <c r="L9" s="219">
        <f>K9*S$6/1000</f>
        <v>97.44</v>
      </c>
      <c r="M9" s="832">
        <f>K9*S$8/1000</f>
        <v>98.1708</v>
      </c>
      <c r="N9" s="218">
        <f>K9*S$7/1000</f>
        <v>0.73080000000000001</v>
      </c>
      <c r="O9" s="216">
        <f>I9-K9</f>
        <v>57</v>
      </c>
      <c r="P9" s="219">
        <f>O9*S$8/1000</f>
        <v>16.653975000000003</v>
      </c>
      <c r="Q9" s="216"/>
      <c r="W9" s="170"/>
    </row>
    <row r="10" spans="1:23">
      <c r="B10" s="312">
        <v>2</v>
      </c>
      <c r="C10" s="216"/>
      <c r="D10" s="216">
        <f>+O9</f>
        <v>57</v>
      </c>
      <c r="E10" s="219">
        <f t="shared" si="0"/>
        <v>16.653975000000003</v>
      </c>
      <c r="F10" s="216"/>
      <c r="G10" s="216">
        <v>40</v>
      </c>
      <c r="H10" s="832">
        <f t="shared" si="1"/>
        <v>11.686999999999999</v>
      </c>
      <c r="I10" s="216">
        <f t="shared" ref="I10:I39" si="3">D10+G10</f>
        <v>97</v>
      </c>
      <c r="J10" s="219">
        <f t="shared" si="2"/>
        <v>28.340975000000004</v>
      </c>
      <c r="K10" s="216"/>
      <c r="L10" s="219">
        <f t="shared" ref="L10:L39" si="4">K10*S$6/1000</f>
        <v>0</v>
      </c>
      <c r="M10" s="832">
        <f t="shared" ref="M10:M39" si="5">K10*S$8/1000</f>
        <v>0</v>
      </c>
      <c r="N10" s="218">
        <f t="shared" ref="N10:N39" si="6">K10*S$7/1000</f>
        <v>0</v>
      </c>
      <c r="O10" s="216">
        <f t="shared" ref="O10:O39" si="7">I10-K10</f>
        <v>97</v>
      </c>
      <c r="P10" s="219">
        <f t="shared" ref="P10:P39" si="8">O10*S$8/1000</f>
        <v>28.340975000000004</v>
      </c>
      <c r="Q10" s="216"/>
    </row>
    <row r="11" spans="1:23">
      <c r="B11" s="312">
        <v>3</v>
      </c>
      <c r="C11" s="216"/>
      <c r="D11" s="216">
        <f t="shared" ref="D11:D38" si="9">+O10</f>
        <v>97</v>
      </c>
      <c r="E11" s="219">
        <f t="shared" si="0"/>
        <v>28.340975000000004</v>
      </c>
      <c r="F11" s="216"/>
      <c r="G11" s="216">
        <v>44</v>
      </c>
      <c r="H11" s="832">
        <f t="shared" si="1"/>
        <v>12.855700000000001</v>
      </c>
      <c r="I11" s="216">
        <f t="shared" si="3"/>
        <v>141</v>
      </c>
      <c r="J11" s="219">
        <f t="shared" si="2"/>
        <v>41.196675000000006</v>
      </c>
      <c r="K11" s="216"/>
      <c r="L11" s="219">
        <f t="shared" si="4"/>
        <v>0</v>
      </c>
      <c r="M11" s="832">
        <f t="shared" si="5"/>
        <v>0</v>
      </c>
      <c r="N11" s="218">
        <f t="shared" si="6"/>
        <v>0</v>
      </c>
      <c r="O11" s="216">
        <f t="shared" si="7"/>
        <v>141</v>
      </c>
      <c r="P11" s="219">
        <f t="shared" si="8"/>
        <v>41.196675000000006</v>
      </c>
      <c r="Q11" s="216"/>
    </row>
    <row r="12" spans="1:23">
      <c r="B12" s="312">
        <v>4</v>
      </c>
      <c r="C12" s="216"/>
      <c r="D12" s="216">
        <f t="shared" si="9"/>
        <v>141</v>
      </c>
      <c r="E12" s="219">
        <f t="shared" si="0"/>
        <v>41.196675000000006</v>
      </c>
      <c r="F12" s="216"/>
      <c r="G12" s="216">
        <v>44</v>
      </c>
      <c r="H12" s="832">
        <f t="shared" si="1"/>
        <v>12.855700000000001</v>
      </c>
      <c r="I12" s="216">
        <f t="shared" si="3"/>
        <v>185</v>
      </c>
      <c r="J12" s="219">
        <f t="shared" si="2"/>
        <v>54.052374999999998</v>
      </c>
      <c r="K12" s="216"/>
      <c r="L12" s="219">
        <f t="shared" si="4"/>
        <v>0</v>
      </c>
      <c r="M12" s="832">
        <f t="shared" si="5"/>
        <v>0</v>
      </c>
      <c r="N12" s="218">
        <f t="shared" si="6"/>
        <v>0</v>
      </c>
      <c r="O12" s="216">
        <f t="shared" si="7"/>
        <v>185</v>
      </c>
      <c r="P12" s="219">
        <f t="shared" si="8"/>
        <v>54.052374999999998</v>
      </c>
      <c r="Q12" s="216"/>
    </row>
    <row r="13" spans="1:23">
      <c r="B13" s="312">
        <v>5</v>
      </c>
      <c r="C13" s="216"/>
      <c r="D13" s="216">
        <f t="shared" si="9"/>
        <v>185</v>
      </c>
      <c r="E13" s="219">
        <f t="shared" si="0"/>
        <v>54.052374999999998</v>
      </c>
      <c r="F13" s="216"/>
      <c r="G13" s="216">
        <v>46</v>
      </c>
      <c r="H13" s="832">
        <f t="shared" si="1"/>
        <v>13.440050000000001</v>
      </c>
      <c r="I13" s="216">
        <f t="shared" si="3"/>
        <v>231</v>
      </c>
      <c r="J13" s="219">
        <f t="shared" si="2"/>
        <v>67.492424999999997</v>
      </c>
      <c r="K13" s="216">
        <v>48</v>
      </c>
      <c r="L13" s="219">
        <f t="shared" si="4"/>
        <v>13.92</v>
      </c>
      <c r="M13" s="832">
        <f t="shared" si="5"/>
        <v>14.024400000000002</v>
      </c>
      <c r="N13" s="218">
        <f t="shared" si="6"/>
        <v>0.10439999999999999</v>
      </c>
      <c r="O13" s="216">
        <f t="shared" si="7"/>
        <v>183</v>
      </c>
      <c r="P13" s="219">
        <f t="shared" si="8"/>
        <v>53.468025000000004</v>
      </c>
      <c r="Q13" s="216"/>
    </row>
    <row r="14" spans="1:23">
      <c r="B14" s="312">
        <v>6</v>
      </c>
      <c r="C14" s="216"/>
      <c r="D14" s="216">
        <f t="shared" si="9"/>
        <v>183</v>
      </c>
      <c r="E14" s="219">
        <f t="shared" si="0"/>
        <v>53.468025000000004</v>
      </c>
      <c r="F14" s="216"/>
      <c r="G14" s="216">
        <v>34</v>
      </c>
      <c r="H14" s="832">
        <f t="shared" si="1"/>
        <v>9.9339500000000012</v>
      </c>
      <c r="I14" s="216">
        <f t="shared" si="3"/>
        <v>217</v>
      </c>
      <c r="J14" s="219">
        <f t="shared" si="2"/>
        <v>63.401975000000007</v>
      </c>
      <c r="K14" s="216"/>
      <c r="L14" s="219">
        <f t="shared" si="4"/>
        <v>0</v>
      </c>
      <c r="M14" s="832">
        <f t="shared" si="5"/>
        <v>0</v>
      </c>
      <c r="N14" s="218">
        <f t="shared" si="6"/>
        <v>0</v>
      </c>
      <c r="O14" s="216">
        <f t="shared" si="7"/>
        <v>217</v>
      </c>
      <c r="P14" s="219">
        <f t="shared" si="8"/>
        <v>63.401975000000007</v>
      </c>
      <c r="Q14" s="216"/>
    </row>
    <row r="15" spans="1:23">
      <c r="B15" s="312">
        <v>7</v>
      </c>
      <c r="C15" s="216"/>
      <c r="D15" s="216">
        <f t="shared" si="9"/>
        <v>217</v>
      </c>
      <c r="E15" s="219">
        <f t="shared" si="0"/>
        <v>63.401975000000007</v>
      </c>
      <c r="F15" s="216"/>
      <c r="G15" s="216">
        <v>0</v>
      </c>
      <c r="H15" s="832">
        <f t="shared" si="1"/>
        <v>0</v>
      </c>
      <c r="I15" s="216">
        <f t="shared" si="3"/>
        <v>217</v>
      </c>
      <c r="J15" s="219">
        <f t="shared" si="2"/>
        <v>63.401975000000007</v>
      </c>
      <c r="K15" s="216"/>
      <c r="L15" s="219">
        <f t="shared" si="4"/>
        <v>0</v>
      </c>
      <c r="M15" s="832">
        <f t="shared" si="5"/>
        <v>0</v>
      </c>
      <c r="N15" s="218">
        <f t="shared" si="6"/>
        <v>0</v>
      </c>
      <c r="O15" s="216">
        <f t="shared" si="7"/>
        <v>217</v>
      </c>
      <c r="P15" s="219">
        <f t="shared" si="8"/>
        <v>63.401975000000007</v>
      </c>
      <c r="Q15" s="216"/>
    </row>
    <row r="16" spans="1:23">
      <c r="B16" s="312">
        <v>8</v>
      </c>
      <c r="C16" s="216"/>
      <c r="D16" s="216">
        <f t="shared" si="9"/>
        <v>217</v>
      </c>
      <c r="E16" s="219">
        <f t="shared" si="0"/>
        <v>63.401975000000007</v>
      </c>
      <c r="F16" s="216"/>
      <c r="G16" s="216">
        <v>56</v>
      </c>
      <c r="H16" s="832">
        <f t="shared" si="1"/>
        <v>16.361800000000002</v>
      </c>
      <c r="I16" s="216">
        <f t="shared" si="3"/>
        <v>273</v>
      </c>
      <c r="J16" s="219">
        <f t="shared" si="2"/>
        <v>79.76377500000001</v>
      </c>
      <c r="K16" s="216"/>
      <c r="L16" s="219">
        <f t="shared" si="4"/>
        <v>0</v>
      </c>
      <c r="M16" s="832">
        <f t="shared" si="5"/>
        <v>0</v>
      </c>
      <c r="N16" s="218">
        <f t="shared" si="6"/>
        <v>0</v>
      </c>
      <c r="O16" s="216">
        <f t="shared" si="7"/>
        <v>273</v>
      </c>
      <c r="P16" s="219">
        <f t="shared" si="8"/>
        <v>79.76377500000001</v>
      </c>
      <c r="Q16" s="216"/>
    </row>
    <row r="17" spans="2:17" s="234" customFormat="1">
      <c r="B17" s="833">
        <v>9</v>
      </c>
      <c r="C17" s="13"/>
      <c r="D17" s="216">
        <f t="shared" si="9"/>
        <v>273</v>
      </c>
      <c r="E17" s="219">
        <f t="shared" si="0"/>
        <v>79.76377500000001</v>
      </c>
      <c r="F17" s="13"/>
      <c r="G17" s="13">
        <v>51</v>
      </c>
      <c r="H17" s="832">
        <f t="shared" si="1"/>
        <v>14.900925000000001</v>
      </c>
      <c r="I17" s="13">
        <f t="shared" si="3"/>
        <v>324</v>
      </c>
      <c r="J17" s="219">
        <f t="shared" si="2"/>
        <v>94.664699999999996</v>
      </c>
      <c r="K17" s="13">
        <v>260</v>
      </c>
      <c r="L17" s="219">
        <f t="shared" si="4"/>
        <v>75.400000000000006</v>
      </c>
      <c r="M17" s="832">
        <f t="shared" si="5"/>
        <v>75.965500000000006</v>
      </c>
      <c r="N17" s="219">
        <f t="shared" si="6"/>
        <v>0.5655</v>
      </c>
      <c r="O17" s="13">
        <f t="shared" si="7"/>
        <v>64</v>
      </c>
      <c r="P17" s="219">
        <f t="shared" si="8"/>
        <v>18.699200000000001</v>
      </c>
      <c r="Q17" s="13"/>
    </row>
    <row r="18" spans="2:17" s="234" customFormat="1">
      <c r="B18" s="833">
        <v>10</v>
      </c>
      <c r="C18" s="13"/>
      <c r="D18" s="216">
        <f t="shared" si="9"/>
        <v>64</v>
      </c>
      <c r="E18" s="219">
        <f t="shared" si="0"/>
        <v>18.699200000000001</v>
      </c>
      <c r="F18" s="13"/>
      <c r="G18" s="13"/>
      <c r="H18" s="832">
        <f t="shared" si="1"/>
        <v>0</v>
      </c>
      <c r="I18" s="13">
        <f t="shared" si="3"/>
        <v>64</v>
      </c>
      <c r="J18" s="219">
        <f t="shared" si="2"/>
        <v>18.699200000000001</v>
      </c>
      <c r="K18" s="13"/>
      <c r="L18" s="219">
        <f t="shared" si="4"/>
        <v>0</v>
      </c>
      <c r="M18" s="832">
        <f t="shared" si="5"/>
        <v>0</v>
      </c>
      <c r="N18" s="219">
        <f t="shared" si="6"/>
        <v>0</v>
      </c>
      <c r="O18" s="13">
        <f t="shared" si="7"/>
        <v>64</v>
      </c>
      <c r="P18" s="219">
        <f t="shared" si="8"/>
        <v>18.699200000000001</v>
      </c>
      <c r="Q18" s="13"/>
    </row>
    <row r="19" spans="2:17" s="234" customFormat="1">
      <c r="B19" s="833">
        <v>11</v>
      </c>
      <c r="C19" s="13"/>
      <c r="D19" s="216">
        <f t="shared" si="9"/>
        <v>64</v>
      </c>
      <c r="E19" s="219">
        <f t="shared" si="0"/>
        <v>18.699200000000001</v>
      </c>
      <c r="F19" s="13"/>
      <c r="G19" s="13"/>
      <c r="H19" s="832">
        <f t="shared" si="1"/>
        <v>0</v>
      </c>
      <c r="I19" s="13">
        <f t="shared" si="3"/>
        <v>64</v>
      </c>
      <c r="J19" s="219">
        <f t="shared" si="2"/>
        <v>18.699200000000001</v>
      </c>
      <c r="K19" s="13"/>
      <c r="L19" s="219">
        <f t="shared" si="4"/>
        <v>0</v>
      </c>
      <c r="M19" s="832">
        <f t="shared" si="5"/>
        <v>0</v>
      </c>
      <c r="N19" s="219">
        <f t="shared" si="6"/>
        <v>0</v>
      </c>
      <c r="O19" s="13">
        <f t="shared" si="7"/>
        <v>64</v>
      </c>
      <c r="P19" s="219">
        <f t="shared" si="8"/>
        <v>18.699200000000001</v>
      </c>
      <c r="Q19" s="13"/>
    </row>
    <row r="20" spans="2:17" s="234" customFormat="1">
      <c r="B20" s="833">
        <v>12</v>
      </c>
      <c r="C20" s="13"/>
      <c r="D20" s="216">
        <f t="shared" si="9"/>
        <v>64</v>
      </c>
      <c r="E20" s="219">
        <f t="shared" si="0"/>
        <v>18.699200000000001</v>
      </c>
      <c r="F20" s="13"/>
      <c r="G20" s="13">
        <v>43</v>
      </c>
      <c r="H20" s="832">
        <f t="shared" si="1"/>
        <v>12.563525</v>
      </c>
      <c r="I20" s="13">
        <f t="shared" si="3"/>
        <v>107</v>
      </c>
      <c r="J20" s="219">
        <f t="shared" si="2"/>
        <v>31.262725000000003</v>
      </c>
      <c r="K20" s="13"/>
      <c r="L20" s="219">
        <f t="shared" si="4"/>
        <v>0</v>
      </c>
      <c r="M20" s="832">
        <f t="shared" si="5"/>
        <v>0</v>
      </c>
      <c r="N20" s="219">
        <f t="shared" si="6"/>
        <v>0</v>
      </c>
      <c r="O20" s="13">
        <f t="shared" si="7"/>
        <v>107</v>
      </c>
      <c r="P20" s="219">
        <f t="shared" si="8"/>
        <v>31.262725000000003</v>
      </c>
      <c r="Q20" s="13"/>
    </row>
    <row r="21" spans="2:17" s="234" customFormat="1">
      <c r="B21" s="833">
        <v>13</v>
      </c>
      <c r="C21" s="13"/>
      <c r="D21" s="216">
        <f t="shared" si="9"/>
        <v>107</v>
      </c>
      <c r="E21" s="219">
        <f t="shared" si="0"/>
        <v>31.262725000000003</v>
      </c>
      <c r="F21" s="13"/>
      <c r="G21" s="13"/>
      <c r="H21" s="832">
        <f t="shared" si="1"/>
        <v>0</v>
      </c>
      <c r="I21" s="13">
        <f t="shared" si="3"/>
        <v>107</v>
      </c>
      <c r="J21" s="219">
        <f t="shared" si="2"/>
        <v>31.262725000000003</v>
      </c>
      <c r="K21" s="13"/>
      <c r="L21" s="219">
        <f t="shared" si="4"/>
        <v>0</v>
      </c>
      <c r="M21" s="832">
        <f t="shared" si="5"/>
        <v>0</v>
      </c>
      <c r="N21" s="219">
        <f t="shared" si="6"/>
        <v>0</v>
      </c>
      <c r="O21" s="13">
        <f t="shared" si="7"/>
        <v>107</v>
      </c>
      <c r="P21" s="219">
        <f t="shared" si="8"/>
        <v>31.262725000000003</v>
      </c>
      <c r="Q21" s="13"/>
    </row>
    <row r="22" spans="2:17">
      <c r="B22" s="312">
        <v>14</v>
      </c>
      <c r="C22" s="216"/>
      <c r="D22" s="216">
        <f t="shared" si="9"/>
        <v>107</v>
      </c>
      <c r="E22" s="219">
        <f t="shared" si="0"/>
        <v>31.262725000000003</v>
      </c>
      <c r="F22" s="216"/>
      <c r="G22" s="216"/>
      <c r="H22" s="832">
        <f t="shared" si="1"/>
        <v>0</v>
      </c>
      <c r="I22" s="216">
        <f t="shared" si="3"/>
        <v>107</v>
      </c>
      <c r="J22" s="219">
        <f t="shared" si="2"/>
        <v>31.262725000000003</v>
      </c>
      <c r="K22" s="216"/>
      <c r="L22" s="219">
        <f t="shared" si="4"/>
        <v>0</v>
      </c>
      <c r="M22" s="832">
        <f t="shared" si="5"/>
        <v>0</v>
      </c>
      <c r="N22" s="218">
        <f t="shared" si="6"/>
        <v>0</v>
      </c>
      <c r="O22" s="216">
        <f t="shared" si="7"/>
        <v>107</v>
      </c>
      <c r="P22" s="219">
        <f t="shared" si="8"/>
        <v>31.262725000000003</v>
      </c>
      <c r="Q22" s="216"/>
    </row>
    <row r="23" spans="2:17">
      <c r="B23" s="312">
        <v>15</v>
      </c>
      <c r="C23" s="216"/>
      <c r="D23" s="216">
        <f t="shared" si="9"/>
        <v>107</v>
      </c>
      <c r="E23" s="219">
        <f t="shared" si="0"/>
        <v>31.262725000000003</v>
      </c>
      <c r="F23" s="216"/>
      <c r="G23" s="216"/>
      <c r="H23" s="832">
        <f t="shared" si="1"/>
        <v>0</v>
      </c>
      <c r="I23" s="216">
        <f t="shared" si="3"/>
        <v>107</v>
      </c>
      <c r="J23" s="219">
        <f t="shared" si="2"/>
        <v>31.262725000000003</v>
      </c>
      <c r="K23" s="216"/>
      <c r="L23" s="219">
        <f t="shared" si="4"/>
        <v>0</v>
      </c>
      <c r="M23" s="832">
        <f t="shared" si="5"/>
        <v>0</v>
      </c>
      <c r="N23" s="218">
        <f t="shared" si="6"/>
        <v>0</v>
      </c>
      <c r="O23" s="216">
        <f t="shared" si="7"/>
        <v>107</v>
      </c>
      <c r="P23" s="219">
        <f t="shared" si="8"/>
        <v>31.262725000000003</v>
      </c>
      <c r="Q23" s="216"/>
    </row>
    <row r="24" spans="2:17">
      <c r="B24" s="312">
        <v>16</v>
      </c>
      <c r="C24" s="216"/>
      <c r="D24" s="216">
        <f t="shared" si="9"/>
        <v>107</v>
      </c>
      <c r="E24" s="219">
        <f t="shared" si="0"/>
        <v>31.262725000000003</v>
      </c>
      <c r="F24" s="216"/>
      <c r="G24" s="216">
        <v>35</v>
      </c>
      <c r="H24" s="832">
        <f t="shared" si="1"/>
        <v>10.226125</v>
      </c>
      <c r="I24" s="216">
        <f t="shared" si="3"/>
        <v>142</v>
      </c>
      <c r="J24" s="219">
        <f t="shared" si="2"/>
        <v>41.488849999999999</v>
      </c>
      <c r="K24" s="216">
        <v>25</v>
      </c>
      <c r="L24" s="219">
        <f t="shared" si="4"/>
        <v>7.25</v>
      </c>
      <c r="M24" s="832">
        <f t="shared" si="5"/>
        <v>7.3043750000000003</v>
      </c>
      <c r="N24" s="218">
        <f t="shared" si="6"/>
        <v>5.4374999999999993E-2</v>
      </c>
      <c r="O24" s="216">
        <f t="shared" si="7"/>
        <v>117</v>
      </c>
      <c r="P24" s="219">
        <f t="shared" si="8"/>
        <v>34.184474999999999</v>
      </c>
      <c r="Q24" s="216"/>
    </row>
    <row r="25" spans="2:17">
      <c r="B25" s="312">
        <v>17</v>
      </c>
      <c r="C25" s="216"/>
      <c r="D25" s="216">
        <f t="shared" si="9"/>
        <v>117</v>
      </c>
      <c r="E25" s="219">
        <f t="shared" si="0"/>
        <v>34.184474999999999</v>
      </c>
      <c r="F25" s="216"/>
      <c r="G25" s="216"/>
      <c r="H25" s="832">
        <f t="shared" si="1"/>
        <v>0</v>
      </c>
      <c r="I25" s="216">
        <f t="shared" si="3"/>
        <v>117</v>
      </c>
      <c r="J25" s="219">
        <f t="shared" si="2"/>
        <v>34.184474999999999</v>
      </c>
      <c r="K25" s="216"/>
      <c r="L25" s="219">
        <f t="shared" si="4"/>
        <v>0</v>
      </c>
      <c r="M25" s="832">
        <f t="shared" si="5"/>
        <v>0</v>
      </c>
      <c r="N25" s="218">
        <f t="shared" si="6"/>
        <v>0</v>
      </c>
      <c r="O25" s="216">
        <f t="shared" si="7"/>
        <v>117</v>
      </c>
      <c r="P25" s="219">
        <f t="shared" si="8"/>
        <v>34.184474999999999</v>
      </c>
      <c r="Q25" s="216"/>
    </row>
    <row r="26" spans="2:17">
      <c r="B26" s="312">
        <v>18</v>
      </c>
      <c r="C26" s="216"/>
      <c r="D26" s="216">
        <f t="shared" si="9"/>
        <v>117</v>
      </c>
      <c r="E26" s="219">
        <f t="shared" si="0"/>
        <v>34.184474999999999</v>
      </c>
      <c r="F26" s="216"/>
      <c r="G26" s="216"/>
      <c r="H26" s="832">
        <f t="shared" si="1"/>
        <v>0</v>
      </c>
      <c r="I26" s="216">
        <f t="shared" si="3"/>
        <v>117</v>
      </c>
      <c r="J26" s="219">
        <f t="shared" si="2"/>
        <v>34.184474999999999</v>
      </c>
      <c r="K26" s="216"/>
      <c r="L26" s="219">
        <f t="shared" si="4"/>
        <v>0</v>
      </c>
      <c r="M26" s="832">
        <f t="shared" si="5"/>
        <v>0</v>
      </c>
      <c r="N26" s="218">
        <f t="shared" si="6"/>
        <v>0</v>
      </c>
      <c r="O26" s="216">
        <f t="shared" si="7"/>
        <v>117</v>
      </c>
      <c r="P26" s="219">
        <f t="shared" si="8"/>
        <v>34.184474999999999</v>
      </c>
      <c r="Q26" s="216"/>
    </row>
    <row r="27" spans="2:17">
      <c r="B27" s="312">
        <v>19</v>
      </c>
      <c r="C27" s="216"/>
      <c r="D27" s="216">
        <f t="shared" si="9"/>
        <v>117</v>
      </c>
      <c r="E27" s="219">
        <f t="shared" si="0"/>
        <v>34.184474999999999</v>
      </c>
      <c r="F27" s="216"/>
      <c r="G27" s="216"/>
      <c r="H27" s="832">
        <f t="shared" si="1"/>
        <v>0</v>
      </c>
      <c r="I27" s="216">
        <f t="shared" si="3"/>
        <v>117</v>
      </c>
      <c r="J27" s="219">
        <f t="shared" si="2"/>
        <v>34.184474999999999</v>
      </c>
      <c r="K27" s="216"/>
      <c r="L27" s="219">
        <f t="shared" si="4"/>
        <v>0</v>
      </c>
      <c r="M27" s="832">
        <f t="shared" si="5"/>
        <v>0</v>
      </c>
      <c r="N27" s="218">
        <f t="shared" si="6"/>
        <v>0</v>
      </c>
      <c r="O27" s="216">
        <f t="shared" si="7"/>
        <v>117</v>
      </c>
      <c r="P27" s="219">
        <f t="shared" si="8"/>
        <v>34.184474999999999</v>
      </c>
      <c r="Q27" s="216"/>
    </row>
    <row r="28" spans="2:17">
      <c r="B28" s="312">
        <v>20</v>
      </c>
      <c r="C28" s="216"/>
      <c r="D28" s="216">
        <f t="shared" si="9"/>
        <v>117</v>
      </c>
      <c r="E28" s="219">
        <f t="shared" si="0"/>
        <v>34.184474999999999</v>
      </c>
      <c r="F28" s="216"/>
      <c r="G28" s="216"/>
      <c r="H28" s="832">
        <f t="shared" si="1"/>
        <v>0</v>
      </c>
      <c r="I28" s="216">
        <f t="shared" si="3"/>
        <v>117</v>
      </c>
      <c r="J28" s="219">
        <f t="shared" si="2"/>
        <v>34.184474999999999</v>
      </c>
      <c r="K28" s="216"/>
      <c r="L28" s="219">
        <f t="shared" si="4"/>
        <v>0</v>
      </c>
      <c r="M28" s="832">
        <f t="shared" si="5"/>
        <v>0</v>
      </c>
      <c r="N28" s="218">
        <f t="shared" si="6"/>
        <v>0</v>
      </c>
      <c r="O28" s="216">
        <f t="shared" si="7"/>
        <v>117</v>
      </c>
      <c r="P28" s="219">
        <f t="shared" si="8"/>
        <v>34.184474999999999</v>
      </c>
      <c r="Q28" s="216"/>
    </row>
    <row r="29" spans="2:17">
      <c r="B29" s="312">
        <v>21</v>
      </c>
      <c r="C29" s="216"/>
      <c r="D29" s="216">
        <f t="shared" si="9"/>
        <v>117</v>
      </c>
      <c r="E29" s="219">
        <f t="shared" si="0"/>
        <v>34.184474999999999</v>
      </c>
      <c r="F29" s="216"/>
      <c r="G29" s="216"/>
      <c r="H29" s="832">
        <f t="shared" si="1"/>
        <v>0</v>
      </c>
      <c r="I29" s="216">
        <f t="shared" si="3"/>
        <v>117</v>
      </c>
      <c r="J29" s="219">
        <f t="shared" si="2"/>
        <v>34.184474999999999</v>
      </c>
      <c r="K29" s="216"/>
      <c r="L29" s="219">
        <f t="shared" si="4"/>
        <v>0</v>
      </c>
      <c r="M29" s="832">
        <f t="shared" si="5"/>
        <v>0</v>
      </c>
      <c r="N29" s="218">
        <f t="shared" si="6"/>
        <v>0</v>
      </c>
      <c r="O29" s="216">
        <f t="shared" si="7"/>
        <v>117</v>
      </c>
      <c r="P29" s="219">
        <f t="shared" si="8"/>
        <v>34.184474999999999</v>
      </c>
      <c r="Q29" s="216"/>
    </row>
    <row r="30" spans="2:17">
      <c r="B30" s="312">
        <v>22</v>
      </c>
      <c r="C30" s="216"/>
      <c r="D30" s="216">
        <f t="shared" si="9"/>
        <v>117</v>
      </c>
      <c r="E30" s="219">
        <f t="shared" si="0"/>
        <v>34.184474999999999</v>
      </c>
      <c r="F30" s="216"/>
      <c r="G30" s="216">
        <v>52</v>
      </c>
      <c r="H30" s="832">
        <f t="shared" si="1"/>
        <v>15.193100000000001</v>
      </c>
      <c r="I30" s="216">
        <f t="shared" si="3"/>
        <v>169</v>
      </c>
      <c r="J30" s="219">
        <f t="shared" si="2"/>
        <v>49.377575000000007</v>
      </c>
      <c r="K30" s="216"/>
      <c r="L30" s="219">
        <f t="shared" si="4"/>
        <v>0</v>
      </c>
      <c r="M30" s="832">
        <f t="shared" si="5"/>
        <v>0</v>
      </c>
      <c r="N30" s="218">
        <f t="shared" si="6"/>
        <v>0</v>
      </c>
      <c r="O30" s="216">
        <f t="shared" si="7"/>
        <v>169</v>
      </c>
      <c r="P30" s="219">
        <f t="shared" si="8"/>
        <v>49.377575000000007</v>
      </c>
      <c r="Q30" s="216"/>
    </row>
    <row r="31" spans="2:17">
      <c r="B31" s="312">
        <v>23</v>
      </c>
      <c r="C31" s="216"/>
      <c r="D31" s="216">
        <f t="shared" si="9"/>
        <v>169</v>
      </c>
      <c r="E31" s="219">
        <f t="shared" si="0"/>
        <v>49.377575000000007</v>
      </c>
      <c r="F31" s="216"/>
      <c r="G31" s="216">
        <v>28</v>
      </c>
      <c r="H31" s="832">
        <f t="shared" si="1"/>
        <v>8.1809000000000012</v>
      </c>
      <c r="I31" s="216">
        <f t="shared" si="3"/>
        <v>197</v>
      </c>
      <c r="J31" s="219">
        <f t="shared" si="2"/>
        <v>57.558475000000008</v>
      </c>
      <c r="K31" s="216"/>
      <c r="L31" s="219">
        <f t="shared" si="4"/>
        <v>0</v>
      </c>
      <c r="M31" s="832">
        <f t="shared" si="5"/>
        <v>0</v>
      </c>
      <c r="N31" s="218">
        <f t="shared" si="6"/>
        <v>0</v>
      </c>
      <c r="O31" s="216">
        <f t="shared" si="7"/>
        <v>197</v>
      </c>
      <c r="P31" s="219">
        <f t="shared" si="8"/>
        <v>57.558475000000008</v>
      </c>
      <c r="Q31" s="216"/>
    </row>
    <row r="32" spans="2:17">
      <c r="B32" s="312">
        <v>24</v>
      </c>
      <c r="C32" s="216"/>
      <c r="D32" s="216">
        <f t="shared" si="9"/>
        <v>197</v>
      </c>
      <c r="E32" s="219">
        <f t="shared" si="0"/>
        <v>57.558475000000008</v>
      </c>
      <c r="F32" s="216"/>
      <c r="G32" s="216">
        <v>31</v>
      </c>
      <c r="H32" s="832">
        <f t="shared" si="1"/>
        <v>9.0574250000000003</v>
      </c>
      <c r="I32" s="216">
        <f t="shared" si="3"/>
        <v>228</v>
      </c>
      <c r="J32" s="219">
        <f t="shared" si="2"/>
        <v>66.615900000000011</v>
      </c>
      <c r="K32" s="216"/>
      <c r="L32" s="219">
        <f t="shared" si="4"/>
        <v>0</v>
      </c>
      <c r="M32" s="832">
        <f t="shared" si="5"/>
        <v>0</v>
      </c>
      <c r="N32" s="218">
        <f t="shared" si="6"/>
        <v>0</v>
      </c>
      <c r="O32" s="216">
        <f t="shared" si="7"/>
        <v>228</v>
      </c>
      <c r="P32" s="219">
        <f t="shared" si="8"/>
        <v>66.615900000000011</v>
      </c>
      <c r="Q32" s="216"/>
    </row>
    <row r="33" spans="2:21">
      <c r="B33" s="312">
        <v>25</v>
      </c>
      <c r="C33" s="216"/>
      <c r="D33" s="216">
        <f t="shared" si="9"/>
        <v>228</v>
      </c>
      <c r="E33" s="219">
        <f t="shared" si="0"/>
        <v>66.615900000000011</v>
      </c>
      <c r="F33" s="216"/>
      <c r="G33" s="216"/>
      <c r="H33" s="832">
        <f t="shared" si="1"/>
        <v>0</v>
      </c>
      <c r="I33" s="216">
        <f t="shared" si="3"/>
        <v>228</v>
      </c>
      <c r="J33" s="219">
        <f t="shared" si="2"/>
        <v>66.615900000000011</v>
      </c>
      <c r="K33" s="216"/>
      <c r="L33" s="219">
        <f t="shared" si="4"/>
        <v>0</v>
      </c>
      <c r="M33" s="832">
        <f t="shared" si="5"/>
        <v>0</v>
      </c>
      <c r="N33" s="218">
        <f t="shared" si="6"/>
        <v>0</v>
      </c>
      <c r="O33" s="216">
        <f t="shared" si="7"/>
        <v>228</v>
      </c>
      <c r="P33" s="219">
        <f t="shared" si="8"/>
        <v>66.615900000000011</v>
      </c>
      <c r="Q33" s="216"/>
    </row>
    <row r="34" spans="2:21">
      <c r="B34" s="312">
        <v>26</v>
      </c>
      <c r="C34" s="216"/>
      <c r="D34" s="216">
        <f t="shared" si="9"/>
        <v>228</v>
      </c>
      <c r="E34" s="219">
        <f t="shared" si="0"/>
        <v>66.615900000000011</v>
      </c>
      <c r="F34" s="216"/>
      <c r="G34" s="216">
        <v>23</v>
      </c>
      <c r="H34" s="832">
        <f t="shared" si="1"/>
        <v>6.7200250000000006</v>
      </c>
      <c r="I34" s="216">
        <f t="shared" si="3"/>
        <v>251</v>
      </c>
      <c r="J34" s="219">
        <f t="shared" si="2"/>
        <v>73.335925000000003</v>
      </c>
      <c r="K34" s="216">
        <v>192</v>
      </c>
      <c r="L34" s="219">
        <f t="shared" si="4"/>
        <v>55.68</v>
      </c>
      <c r="M34" s="832">
        <f t="shared" si="5"/>
        <v>56.097600000000007</v>
      </c>
      <c r="N34" s="218">
        <f t="shared" si="6"/>
        <v>0.41759999999999997</v>
      </c>
      <c r="O34" s="216">
        <f t="shared" si="7"/>
        <v>59</v>
      </c>
      <c r="P34" s="219">
        <f t="shared" si="8"/>
        <v>17.238325</v>
      </c>
      <c r="Q34" s="216"/>
    </row>
    <row r="35" spans="2:21">
      <c r="B35" s="312">
        <v>27</v>
      </c>
      <c r="C35" s="216"/>
      <c r="D35" s="216">
        <f t="shared" si="9"/>
        <v>59</v>
      </c>
      <c r="E35" s="219">
        <f t="shared" si="0"/>
        <v>17.238325</v>
      </c>
      <c r="F35" s="216"/>
      <c r="G35" s="216">
        <v>27</v>
      </c>
      <c r="H35" s="832">
        <f t="shared" si="1"/>
        <v>7.888725</v>
      </c>
      <c r="I35" s="216">
        <f t="shared" si="3"/>
        <v>86</v>
      </c>
      <c r="J35" s="219">
        <f t="shared" si="2"/>
        <v>25.127050000000001</v>
      </c>
      <c r="K35" s="216"/>
      <c r="L35" s="219">
        <f t="shared" si="4"/>
        <v>0</v>
      </c>
      <c r="M35" s="832">
        <f t="shared" si="5"/>
        <v>0</v>
      </c>
      <c r="N35" s="218">
        <f t="shared" si="6"/>
        <v>0</v>
      </c>
      <c r="O35" s="216">
        <f t="shared" si="7"/>
        <v>86</v>
      </c>
      <c r="P35" s="219">
        <f t="shared" si="8"/>
        <v>25.127050000000001</v>
      </c>
      <c r="Q35" s="216"/>
    </row>
    <row r="36" spans="2:21">
      <c r="B36" s="312">
        <v>28</v>
      </c>
      <c r="C36" s="216"/>
      <c r="D36" s="216">
        <f t="shared" si="9"/>
        <v>86</v>
      </c>
      <c r="E36" s="219">
        <f t="shared" si="0"/>
        <v>25.127050000000001</v>
      </c>
      <c r="F36" s="216"/>
      <c r="G36" s="216"/>
      <c r="H36" s="832">
        <f t="shared" si="1"/>
        <v>0</v>
      </c>
      <c r="I36" s="216">
        <f t="shared" si="3"/>
        <v>86</v>
      </c>
      <c r="J36" s="219">
        <f t="shared" si="2"/>
        <v>25.127050000000001</v>
      </c>
      <c r="K36" s="216"/>
      <c r="L36" s="219">
        <f t="shared" si="4"/>
        <v>0</v>
      </c>
      <c r="M36" s="832">
        <f t="shared" si="5"/>
        <v>0</v>
      </c>
      <c r="N36" s="218">
        <f t="shared" si="6"/>
        <v>0</v>
      </c>
      <c r="O36" s="216">
        <f t="shared" si="7"/>
        <v>86</v>
      </c>
      <c r="P36" s="219">
        <f t="shared" si="8"/>
        <v>25.127050000000001</v>
      </c>
      <c r="Q36" s="216"/>
      <c r="R36">
        <v>580</v>
      </c>
      <c r="S36">
        <v>500</v>
      </c>
      <c r="U36">
        <f>R36*S36/1000</f>
        <v>290</v>
      </c>
    </row>
    <row r="37" spans="2:21">
      <c r="B37" s="312">
        <v>29</v>
      </c>
      <c r="C37" s="216"/>
      <c r="D37" s="216">
        <f t="shared" si="9"/>
        <v>86</v>
      </c>
      <c r="E37" s="219">
        <f t="shared" si="0"/>
        <v>25.127050000000001</v>
      </c>
      <c r="F37" s="216"/>
      <c r="G37" s="216">
        <v>26</v>
      </c>
      <c r="H37" s="832">
        <f t="shared" si="1"/>
        <v>7.5965500000000006</v>
      </c>
      <c r="I37" s="216">
        <f t="shared" si="3"/>
        <v>112</v>
      </c>
      <c r="J37" s="219">
        <f t="shared" si="2"/>
        <v>32.723600000000005</v>
      </c>
      <c r="K37" s="216"/>
      <c r="L37" s="219">
        <f t="shared" si="4"/>
        <v>0</v>
      </c>
      <c r="M37" s="832">
        <f t="shared" si="5"/>
        <v>0</v>
      </c>
      <c r="N37" s="218">
        <f t="shared" si="6"/>
        <v>0</v>
      </c>
      <c r="O37" s="216">
        <f t="shared" si="7"/>
        <v>112</v>
      </c>
      <c r="P37" s="219">
        <f t="shared" si="8"/>
        <v>32.723600000000005</v>
      </c>
      <c r="Q37" s="216"/>
      <c r="U37">
        <f>U36*0.75%</f>
        <v>2.1749999999999998</v>
      </c>
    </row>
    <row r="38" spans="2:21">
      <c r="B38" s="312">
        <v>30</v>
      </c>
      <c r="D38" s="216">
        <f t="shared" si="9"/>
        <v>112</v>
      </c>
      <c r="E38" s="219">
        <f t="shared" si="0"/>
        <v>32.723600000000005</v>
      </c>
      <c r="F38" s="3"/>
      <c r="G38" s="216">
        <v>23</v>
      </c>
      <c r="H38" s="832">
        <f t="shared" si="1"/>
        <v>6.7200250000000006</v>
      </c>
      <c r="I38" s="216">
        <f t="shared" si="3"/>
        <v>135</v>
      </c>
      <c r="J38" s="219">
        <f t="shared" si="2"/>
        <v>39.443624999999997</v>
      </c>
      <c r="K38" s="216">
        <v>96</v>
      </c>
      <c r="L38" s="219">
        <f t="shared" si="4"/>
        <v>27.84</v>
      </c>
      <c r="M38" s="832">
        <f t="shared" si="5"/>
        <v>28.048800000000004</v>
      </c>
      <c r="N38" s="218">
        <f t="shared" si="6"/>
        <v>0.20879999999999999</v>
      </c>
      <c r="O38" s="216">
        <f t="shared" si="7"/>
        <v>39</v>
      </c>
      <c r="P38" s="219">
        <f t="shared" si="8"/>
        <v>11.394825000000001</v>
      </c>
      <c r="Q38" s="3"/>
      <c r="U38" s="241">
        <f>U36+U37</f>
        <v>292.17500000000001</v>
      </c>
    </row>
    <row r="39" spans="2:21">
      <c r="B39" s="321">
        <v>31</v>
      </c>
      <c r="D39" s="216">
        <f>+O38</f>
        <v>39</v>
      </c>
      <c r="E39" s="219">
        <f t="shared" si="0"/>
        <v>11.394825000000001</v>
      </c>
      <c r="F39" s="223"/>
      <c r="G39" s="216">
        <v>23</v>
      </c>
      <c r="H39" s="832">
        <f t="shared" si="1"/>
        <v>6.7200250000000006</v>
      </c>
      <c r="I39" s="216">
        <f t="shared" si="3"/>
        <v>62</v>
      </c>
      <c r="J39" s="219">
        <f t="shared" si="2"/>
        <v>18.114850000000001</v>
      </c>
      <c r="K39" s="216"/>
      <c r="L39" s="219">
        <f t="shared" si="4"/>
        <v>0</v>
      </c>
      <c r="M39" s="832">
        <f t="shared" si="5"/>
        <v>0</v>
      </c>
      <c r="N39" s="218">
        <f t="shared" si="6"/>
        <v>0</v>
      </c>
      <c r="O39" s="216">
        <f t="shared" si="7"/>
        <v>62</v>
      </c>
      <c r="P39" s="219">
        <f t="shared" si="8"/>
        <v>18.114850000000001</v>
      </c>
      <c r="Q39" s="223"/>
    </row>
    <row r="40" spans="2:21">
      <c r="B40" s="928" t="s">
        <v>10</v>
      </c>
      <c r="C40" s="929"/>
      <c r="D40" s="929"/>
      <c r="E40" s="930"/>
      <c r="F40" s="130">
        <f t="shared" ref="F40:N40" si="10">SUM(F9:F39)</f>
        <v>0</v>
      </c>
      <c r="G40" s="239">
        <f t="shared" si="10"/>
        <v>654</v>
      </c>
      <c r="H40" s="834">
        <f t="shared" si="10"/>
        <v>191.08244999999999</v>
      </c>
      <c r="I40" s="130"/>
      <c r="J40" s="130"/>
      <c r="K40" s="239">
        <f t="shared" si="10"/>
        <v>957</v>
      </c>
      <c r="L40" s="224">
        <f t="shared" si="10"/>
        <v>277.52999999999997</v>
      </c>
      <c r="M40" s="834">
        <f t="shared" si="10"/>
        <v>279.61147500000004</v>
      </c>
      <c r="N40" s="130">
        <f t="shared" si="10"/>
        <v>2.0814750000000002</v>
      </c>
      <c r="O40" s="130"/>
      <c r="P40" s="130"/>
      <c r="Q40" s="3"/>
    </row>
    <row r="42" spans="2:21">
      <c r="B42" s="931" t="s">
        <v>23</v>
      </c>
      <c r="C42" s="931"/>
      <c r="D42" s="931"/>
      <c r="E42" s="931"/>
      <c r="F42" s="3"/>
      <c r="G42" s="130">
        <f>G40*S7/1000</f>
        <v>1.4224499999999998</v>
      </c>
      <c r="H42" s="835">
        <f>+G40*S6/1000</f>
        <v>189.66</v>
      </c>
      <c r="J42" s="3" t="s">
        <v>36</v>
      </c>
      <c r="K42" s="3"/>
      <c r="L42" s="130">
        <f>K40*S7/1000</f>
        <v>2.0814749999999997</v>
      </c>
    </row>
  </sheetData>
  <mergeCells count="20">
    <mergeCell ref="B2:Q2"/>
    <mergeCell ref="S2:T2"/>
    <mergeCell ref="B3:Q3"/>
    <mergeCell ref="S3:V3"/>
    <mergeCell ref="B4:Q4"/>
    <mergeCell ref="S4:V4"/>
    <mergeCell ref="A5:Q5"/>
    <mergeCell ref="S5:V5"/>
    <mergeCell ref="D6:F6"/>
    <mergeCell ref="G6:H6"/>
    <mergeCell ref="I6:J6"/>
    <mergeCell ref="K6:L6"/>
    <mergeCell ref="O6:P6"/>
    <mergeCell ref="S6:V6"/>
    <mergeCell ref="S7:V7"/>
    <mergeCell ref="S8:V8"/>
    <mergeCell ref="B40:E40"/>
    <mergeCell ref="B42:E42"/>
    <mergeCell ref="H7:H8"/>
    <mergeCell ref="M6:M8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W42"/>
  <sheetViews>
    <sheetView topLeftCell="B1" zoomScale="80" zoomScaleNormal="80" workbookViewId="0">
      <pane ySplit="8" topLeftCell="A9" activePane="bottomLeft" state="frozen"/>
      <selection pane="bottomLeft" activeCell="G16" sqref="G16"/>
    </sheetView>
  </sheetViews>
  <sheetFormatPr defaultColWidth="9" defaultRowHeight="15"/>
  <cols>
    <col min="1" max="1" width="9" hidden="1" customWidth="1"/>
    <col min="3" max="3" width="9" hidden="1" customWidth="1"/>
    <col min="5" max="5" width="10.42578125" customWidth="1"/>
    <col min="6" max="6" width="9" hidden="1" customWidth="1"/>
    <col min="8" max="8" width="10.42578125" customWidth="1"/>
    <col min="10" max="10" width="10.42578125" customWidth="1"/>
    <col min="11" max="11" width="10.7109375" customWidth="1"/>
    <col min="12" max="13" width="10.42578125" customWidth="1"/>
    <col min="14" max="14" width="12" customWidth="1"/>
    <col min="15" max="15" width="8.28515625" customWidth="1"/>
    <col min="16" max="17" width="10.42578125" customWidth="1"/>
    <col min="18" max="18" width="18.28515625" customWidth="1"/>
    <col min="19" max="19" width="10.140625" customWidth="1"/>
    <col min="20" max="20" width="3" hidden="1" customWidth="1"/>
    <col min="21" max="21" width="6.140625" customWidth="1"/>
    <col min="22" max="22" width="6.28515625" customWidth="1"/>
    <col min="23" max="23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129"/>
      <c r="S2" s="931"/>
      <c r="T2" s="931"/>
      <c r="U2" s="129"/>
      <c r="V2" s="227"/>
      <c r="W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938"/>
      <c r="R3" s="129" t="s">
        <v>3</v>
      </c>
      <c r="S3" s="931"/>
      <c r="T3" s="931"/>
      <c r="U3" s="931"/>
      <c r="V3" s="931"/>
      <c r="W3" s="170"/>
    </row>
    <row r="4" spans="1:23" ht="21">
      <c r="B4" s="939" t="s">
        <v>509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940"/>
      <c r="R4" s="129" t="s">
        <v>5</v>
      </c>
      <c r="S4" s="931"/>
      <c r="T4" s="931"/>
      <c r="U4" s="931"/>
      <c r="V4" s="931"/>
      <c r="W4" s="170"/>
    </row>
    <row r="5" spans="1:23" ht="21">
      <c r="A5" s="932" t="s">
        <v>70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933"/>
      <c r="R5" s="129" t="s">
        <v>7</v>
      </c>
      <c r="S5" s="931"/>
      <c r="T5" s="931"/>
      <c r="U5" s="931"/>
      <c r="V5" s="931"/>
      <c r="W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942" t="s">
        <v>12</v>
      </c>
      <c r="N6" s="215"/>
      <c r="O6" s="934" t="s">
        <v>13</v>
      </c>
      <c r="P6" s="934"/>
      <c r="Q6" s="225" t="s">
        <v>14</v>
      </c>
      <c r="R6" s="129" t="s">
        <v>15</v>
      </c>
      <c r="S6" s="931">
        <f>767*500/1000</f>
        <v>383.5</v>
      </c>
      <c r="T6" s="931"/>
      <c r="U6" s="931"/>
      <c r="V6" s="931"/>
      <c r="W6" s="170"/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16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18</v>
      </c>
      <c r="M7" s="943"/>
      <c r="N7" s="217"/>
      <c r="O7" s="217" t="s">
        <v>16</v>
      </c>
      <c r="P7" s="217" t="s">
        <v>17</v>
      </c>
      <c r="Q7" s="226"/>
      <c r="R7" s="129" t="s">
        <v>19</v>
      </c>
      <c r="S7" s="941">
        <f>+S6*0.75%</f>
        <v>2.8762499999999998</v>
      </c>
      <c r="T7" s="941"/>
      <c r="U7" s="941"/>
      <c r="V7" s="941"/>
      <c r="W7" s="170"/>
    </row>
    <row r="8" spans="1:23">
      <c r="B8" s="216"/>
      <c r="C8" s="216"/>
      <c r="D8" s="217" t="s">
        <v>21</v>
      </c>
      <c r="E8" s="217" t="s">
        <v>22</v>
      </c>
      <c r="F8" s="217"/>
      <c r="G8" s="217" t="s">
        <v>21</v>
      </c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934"/>
      <c r="N8" s="217" t="s">
        <v>23</v>
      </c>
      <c r="O8" s="217" t="s">
        <v>21</v>
      </c>
      <c r="P8" s="217" t="s">
        <v>22</v>
      </c>
      <c r="Q8" s="226"/>
      <c r="R8" s="129" t="s">
        <v>24</v>
      </c>
      <c r="S8" s="941">
        <f>+S6+S7</f>
        <v>386.37625000000003</v>
      </c>
      <c r="T8" s="941"/>
      <c r="U8" s="941"/>
      <c r="V8" s="941"/>
      <c r="W8" s="170"/>
    </row>
    <row r="9" spans="1:23">
      <c r="B9" s="216">
        <v>1</v>
      </c>
      <c r="C9" s="216"/>
      <c r="D9" s="216">
        <v>0</v>
      </c>
      <c r="E9" s="219">
        <f t="shared" ref="E9:E39" si="0">$S$8*D9/1000</f>
        <v>0</v>
      </c>
      <c r="F9" s="216"/>
      <c r="G9" s="216"/>
      <c r="H9" s="219">
        <f t="shared" ref="H9:H39" si="1">$S$8*G9/1000</f>
        <v>0</v>
      </c>
      <c r="I9" s="216">
        <f>D9+G9</f>
        <v>0</v>
      </c>
      <c r="J9" s="219">
        <f t="shared" ref="J9:J39" si="2">$S$8*I9/1000</f>
        <v>0</v>
      </c>
      <c r="K9" s="216">
        <v>0</v>
      </c>
      <c r="L9" s="219">
        <f>K9*S$6/1000</f>
        <v>0</v>
      </c>
      <c r="M9" s="219">
        <f>K9*S$8/1000</f>
        <v>0</v>
      </c>
      <c r="N9" s="218">
        <f>K9*S$7/1000</f>
        <v>0</v>
      </c>
      <c r="O9" s="216">
        <f>I9-K9</f>
        <v>0</v>
      </c>
      <c r="P9" s="219">
        <f>O9*S$8/1000</f>
        <v>0</v>
      </c>
      <c r="Q9" s="216"/>
      <c r="W9" s="170"/>
    </row>
    <row r="10" spans="1:23">
      <c r="B10" s="216">
        <v>2</v>
      </c>
      <c r="C10" s="216"/>
      <c r="D10" s="216">
        <f>+O9</f>
        <v>0</v>
      </c>
      <c r="E10" s="219">
        <f t="shared" si="0"/>
        <v>0</v>
      </c>
      <c r="F10" s="216"/>
      <c r="G10" s="216"/>
      <c r="H10" s="219">
        <f t="shared" si="1"/>
        <v>0</v>
      </c>
      <c r="I10" s="216">
        <f t="shared" ref="I10:I39" si="3">D10+G10</f>
        <v>0</v>
      </c>
      <c r="J10" s="219">
        <f t="shared" si="2"/>
        <v>0</v>
      </c>
      <c r="K10" s="216"/>
      <c r="L10" s="219">
        <f>K10*S$6/1000</f>
        <v>0</v>
      </c>
      <c r="M10" s="219">
        <f t="shared" ref="M10:M39" si="4">K10*S$8/1000</f>
        <v>0</v>
      </c>
      <c r="N10" s="218">
        <f t="shared" ref="N10:N39" si="5">K10*S$7/1000</f>
        <v>0</v>
      </c>
      <c r="O10" s="216">
        <f t="shared" ref="O10:O39" si="6">I10-K10</f>
        <v>0</v>
      </c>
      <c r="P10" s="219">
        <f t="shared" ref="P10:P39" si="7">O10*S$8/1000</f>
        <v>0</v>
      </c>
      <c r="Q10" s="216"/>
      <c r="R10" s="151"/>
    </row>
    <row r="11" spans="1:23">
      <c r="B11" s="216">
        <v>3</v>
      </c>
      <c r="C11" s="216"/>
      <c r="D11" s="216">
        <f t="shared" ref="D11:D39" si="8">+O10</f>
        <v>0</v>
      </c>
      <c r="E11" s="219">
        <f t="shared" si="0"/>
        <v>0</v>
      </c>
      <c r="F11" s="216"/>
      <c r="G11" s="216"/>
      <c r="H11" s="219">
        <f t="shared" si="1"/>
        <v>0</v>
      </c>
      <c r="I11" s="216">
        <f t="shared" si="3"/>
        <v>0</v>
      </c>
      <c r="J11" s="219">
        <f t="shared" si="2"/>
        <v>0</v>
      </c>
      <c r="K11" s="216"/>
      <c r="L11" s="219">
        <f t="shared" ref="L11:L39" si="9">K11*S$6/1000</f>
        <v>0</v>
      </c>
      <c r="M11" s="219">
        <f t="shared" si="4"/>
        <v>0</v>
      </c>
      <c r="N11" s="218">
        <f t="shared" si="5"/>
        <v>0</v>
      </c>
      <c r="O11" s="216">
        <f t="shared" si="6"/>
        <v>0</v>
      </c>
      <c r="P11" s="219">
        <f t="shared" si="7"/>
        <v>0</v>
      </c>
      <c r="Q11" s="216"/>
      <c r="R11" s="151"/>
    </row>
    <row r="12" spans="1:23">
      <c r="B12" s="216">
        <v>4</v>
      </c>
      <c r="C12" s="216"/>
      <c r="D12" s="216">
        <f t="shared" si="8"/>
        <v>0</v>
      </c>
      <c r="E12" s="219">
        <f t="shared" si="0"/>
        <v>0</v>
      </c>
      <c r="F12" s="216"/>
      <c r="G12" s="216"/>
      <c r="H12" s="219">
        <f t="shared" si="1"/>
        <v>0</v>
      </c>
      <c r="I12" s="216">
        <f t="shared" si="3"/>
        <v>0</v>
      </c>
      <c r="J12" s="219">
        <f t="shared" si="2"/>
        <v>0</v>
      </c>
      <c r="K12" s="216"/>
      <c r="L12" s="219">
        <f t="shared" si="9"/>
        <v>0</v>
      </c>
      <c r="M12" s="219">
        <f t="shared" si="4"/>
        <v>0</v>
      </c>
      <c r="N12" s="218">
        <f t="shared" si="5"/>
        <v>0</v>
      </c>
      <c r="O12" s="216">
        <f t="shared" si="6"/>
        <v>0</v>
      </c>
      <c r="P12" s="219">
        <f t="shared" si="7"/>
        <v>0</v>
      </c>
      <c r="Q12" s="216"/>
    </row>
    <row r="13" spans="1:23">
      <c r="B13" s="216">
        <v>5</v>
      </c>
      <c r="C13" s="216"/>
      <c r="D13" s="216">
        <f t="shared" si="8"/>
        <v>0</v>
      </c>
      <c r="E13" s="219">
        <f t="shared" si="0"/>
        <v>0</v>
      </c>
      <c r="F13" s="216"/>
      <c r="G13" s="216"/>
      <c r="H13" s="219">
        <f t="shared" si="1"/>
        <v>0</v>
      </c>
      <c r="I13" s="216">
        <f t="shared" si="3"/>
        <v>0</v>
      </c>
      <c r="J13" s="219">
        <f t="shared" si="2"/>
        <v>0</v>
      </c>
      <c r="K13" s="216"/>
      <c r="L13" s="219">
        <f t="shared" si="9"/>
        <v>0</v>
      </c>
      <c r="M13" s="219">
        <f t="shared" si="4"/>
        <v>0</v>
      </c>
      <c r="N13" s="218">
        <f t="shared" si="5"/>
        <v>0</v>
      </c>
      <c r="O13" s="216">
        <f t="shared" si="6"/>
        <v>0</v>
      </c>
      <c r="P13" s="219">
        <f t="shared" si="7"/>
        <v>0</v>
      </c>
      <c r="Q13" s="216"/>
    </row>
    <row r="14" spans="1:23">
      <c r="B14" s="216">
        <v>6</v>
      </c>
      <c r="C14" s="216"/>
      <c r="D14" s="216">
        <f t="shared" si="8"/>
        <v>0</v>
      </c>
      <c r="E14" s="219">
        <f t="shared" si="0"/>
        <v>0</v>
      </c>
      <c r="F14" s="216"/>
      <c r="G14" s="216"/>
      <c r="H14" s="219">
        <f t="shared" si="1"/>
        <v>0</v>
      </c>
      <c r="I14" s="216">
        <f t="shared" si="3"/>
        <v>0</v>
      </c>
      <c r="J14" s="219">
        <f t="shared" si="2"/>
        <v>0</v>
      </c>
      <c r="K14" s="216"/>
      <c r="L14" s="219">
        <f t="shared" si="9"/>
        <v>0</v>
      </c>
      <c r="M14" s="219">
        <f t="shared" si="4"/>
        <v>0</v>
      </c>
      <c r="N14" s="218">
        <f t="shared" si="5"/>
        <v>0</v>
      </c>
      <c r="O14" s="216">
        <f t="shared" si="6"/>
        <v>0</v>
      </c>
      <c r="P14" s="219">
        <f t="shared" si="7"/>
        <v>0</v>
      </c>
      <c r="Q14" s="216"/>
    </row>
    <row r="15" spans="1:23">
      <c r="B15" s="216">
        <v>7</v>
      </c>
      <c r="C15" s="216"/>
      <c r="D15" s="216">
        <f t="shared" si="8"/>
        <v>0</v>
      </c>
      <c r="E15" s="219">
        <f t="shared" si="0"/>
        <v>0</v>
      </c>
      <c r="F15" s="216"/>
      <c r="G15" s="216"/>
      <c r="H15" s="219">
        <f t="shared" si="1"/>
        <v>0</v>
      </c>
      <c r="I15" s="216">
        <f t="shared" si="3"/>
        <v>0</v>
      </c>
      <c r="J15" s="219">
        <f t="shared" si="2"/>
        <v>0</v>
      </c>
      <c r="K15" s="216"/>
      <c r="L15" s="219">
        <f t="shared" si="9"/>
        <v>0</v>
      </c>
      <c r="M15" s="219">
        <f t="shared" si="4"/>
        <v>0</v>
      </c>
      <c r="N15" s="218">
        <f t="shared" si="5"/>
        <v>0</v>
      </c>
      <c r="O15" s="216">
        <f t="shared" si="6"/>
        <v>0</v>
      </c>
      <c r="P15" s="219">
        <f t="shared" si="7"/>
        <v>0</v>
      </c>
      <c r="Q15" s="216"/>
    </row>
    <row r="16" spans="1:23">
      <c r="B16" s="216">
        <v>8</v>
      </c>
      <c r="C16" s="216"/>
      <c r="D16" s="216">
        <f t="shared" si="8"/>
        <v>0</v>
      </c>
      <c r="E16" s="219">
        <f t="shared" si="0"/>
        <v>0</v>
      </c>
      <c r="F16" s="216"/>
      <c r="G16" s="216"/>
      <c r="H16" s="219">
        <f t="shared" si="1"/>
        <v>0</v>
      </c>
      <c r="I16" s="216">
        <f t="shared" si="3"/>
        <v>0</v>
      </c>
      <c r="J16" s="219">
        <f t="shared" si="2"/>
        <v>0</v>
      </c>
      <c r="K16" s="216"/>
      <c r="L16" s="219">
        <f t="shared" si="9"/>
        <v>0</v>
      </c>
      <c r="M16" s="219">
        <f t="shared" si="4"/>
        <v>0</v>
      </c>
      <c r="N16" s="218">
        <f t="shared" si="5"/>
        <v>0</v>
      </c>
      <c r="O16" s="216">
        <f t="shared" si="6"/>
        <v>0</v>
      </c>
      <c r="P16" s="219">
        <f t="shared" si="7"/>
        <v>0</v>
      </c>
      <c r="Q16" s="216"/>
    </row>
    <row r="17" spans="2:17" s="234" customFormat="1">
      <c r="B17" s="13">
        <v>9</v>
      </c>
      <c r="C17" s="13"/>
      <c r="D17" s="13">
        <f t="shared" si="8"/>
        <v>0</v>
      </c>
      <c r="E17" s="219">
        <f t="shared" si="0"/>
        <v>0</v>
      </c>
      <c r="F17" s="13"/>
      <c r="G17" s="13"/>
      <c r="H17" s="219">
        <f t="shared" si="1"/>
        <v>0</v>
      </c>
      <c r="I17" s="13">
        <f t="shared" si="3"/>
        <v>0</v>
      </c>
      <c r="J17" s="219">
        <f t="shared" si="2"/>
        <v>0</v>
      </c>
      <c r="K17" s="13"/>
      <c r="L17" s="219">
        <f t="shared" si="9"/>
        <v>0</v>
      </c>
      <c r="M17" s="219">
        <f t="shared" si="4"/>
        <v>0</v>
      </c>
      <c r="N17" s="219">
        <f t="shared" si="5"/>
        <v>0</v>
      </c>
      <c r="O17" s="13">
        <f t="shared" si="6"/>
        <v>0</v>
      </c>
      <c r="P17" s="219">
        <f t="shared" si="7"/>
        <v>0</v>
      </c>
      <c r="Q17" s="13"/>
    </row>
    <row r="18" spans="2:17" s="234" customFormat="1">
      <c r="B18" s="13">
        <v>10</v>
      </c>
      <c r="C18" s="13"/>
      <c r="D18" s="13">
        <f t="shared" si="8"/>
        <v>0</v>
      </c>
      <c r="E18" s="219">
        <f t="shared" si="0"/>
        <v>0</v>
      </c>
      <c r="F18" s="13"/>
      <c r="G18" s="13"/>
      <c r="H18" s="219">
        <f t="shared" si="1"/>
        <v>0</v>
      </c>
      <c r="I18" s="13">
        <f t="shared" si="3"/>
        <v>0</v>
      </c>
      <c r="J18" s="219">
        <f t="shared" si="2"/>
        <v>0</v>
      </c>
      <c r="K18" s="13"/>
      <c r="L18" s="219">
        <f t="shared" si="9"/>
        <v>0</v>
      </c>
      <c r="M18" s="219">
        <f t="shared" si="4"/>
        <v>0</v>
      </c>
      <c r="N18" s="219">
        <f t="shared" si="5"/>
        <v>0</v>
      </c>
      <c r="O18" s="13">
        <f t="shared" si="6"/>
        <v>0</v>
      </c>
      <c r="P18" s="219">
        <f t="shared" si="7"/>
        <v>0</v>
      </c>
      <c r="Q18" s="13"/>
    </row>
    <row r="19" spans="2:17" s="234" customFormat="1">
      <c r="B19" s="13">
        <v>11</v>
      </c>
      <c r="C19" s="13"/>
      <c r="D19" s="13">
        <f t="shared" si="8"/>
        <v>0</v>
      </c>
      <c r="E19" s="219">
        <f t="shared" si="0"/>
        <v>0</v>
      </c>
      <c r="F19" s="13"/>
      <c r="G19" s="13"/>
      <c r="H19" s="219">
        <f t="shared" si="1"/>
        <v>0</v>
      </c>
      <c r="I19" s="13">
        <f t="shared" si="3"/>
        <v>0</v>
      </c>
      <c r="J19" s="219">
        <f t="shared" si="2"/>
        <v>0</v>
      </c>
      <c r="K19" s="13"/>
      <c r="L19" s="219">
        <f t="shared" si="9"/>
        <v>0</v>
      </c>
      <c r="M19" s="219">
        <f t="shared" si="4"/>
        <v>0</v>
      </c>
      <c r="N19" s="219">
        <f t="shared" si="5"/>
        <v>0</v>
      </c>
      <c r="O19" s="13">
        <f t="shared" si="6"/>
        <v>0</v>
      </c>
      <c r="P19" s="219">
        <f t="shared" si="7"/>
        <v>0</v>
      </c>
      <c r="Q19" s="13"/>
    </row>
    <row r="20" spans="2:17" s="234" customFormat="1">
      <c r="B20" s="13">
        <v>12</v>
      </c>
      <c r="C20" s="13"/>
      <c r="D20" s="13">
        <f t="shared" si="8"/>
        <v>0</v>
      </c>
      <c r="E20" s="219">
        <f t="shared" si="0"/>
        <v>0</v>
      </c>
      <c r="F20" s="13"/>
      <c r="G20" s="13"/>
      <c r="H20" s="219">
        <f t="shared" si="1"/>
        <v>0</v>
      </c>
      <c r="I20" s="13">
        <f t="shared" si="3"/>
        <v>0</v>
      </c>
      <c r="J20" s="219">
        <f t="shared" si="2"/>
        <v>0</v>
      </c>
      <c r="K20" s="13"/>
      <c r="L20" s="219">
        <f t="shared" si="9"/>
        <v>0</v>
      </c>
      <c r="M20" s="219">
        <f t="shared" si="4"/>
        <v>0</v>
      </c>
      <c r="N20" s="219">
        <f t="shared" si="5"/>
        <v>0</v>
      </c>
      <c r="O20" s="13">
        <f t="shared" si="6"/>
        <v>0</v>
      </c>
      <c r="P20" s="219">
        <f t="shared" si="7"/>
        <v>0</v>
      </c>
      <c r="Q20" s="13"/>
    </row>
    <row r="21" spans="2:17" s="234" customFormat="1">
      <c r="B21" s="13">
        <v>13</v>
      </c>
      <c r="C21" s="13"/>
      <c r="D21" s="13">
        <f t="shared" si="8"/>
        <v>0</v>
      </c>
      <c r="E21" s="219">
        <f t="shared" si="0"/>
        <v>0</v>
      </c>
      <c r="F21" s="13"/>
      <c r="G21" s="13"/>
      <c r="H21" s="219">
        <f t="shared" si="1"/>
        <v>0</v>
      </c>
      <c r="I21" s="13">
        <f t="shared" si="3"/>
        <v>0</v>
      </c>
      <c r="J21" s="219">
        <f t="shared" si="2"/>
        <v>0</v>
      </c>
      <c r="K21" s="13"/>
      <c r="L21" s="219">
        <f t="shared" si="9"/>
        <v>0</v>
      </c>
      <c r="M21" s="219">
        <f t="shared" si="4"/>
        <v>0</v>
      </c>
      <c r="N21" s="219">
        <f t="shared" si="5"/>
        <v>0</v>
      </c>
      <c r="O21" s="13">
        <f t="shared" si="6"/>
        <v>0</v>
      </c>
      <c r="P21" s="219">
        <f t="shared" si="7"/>
        <v>0</v>
      </c>
      <c r="Q21" s="13"/>
    </row>
    <row r="22" spans="2:17">
      <c r="B22" s="216">
        <v>14</v>
      </c>
      <c r="C22" s="216"/>
      <c r="D22" s="216">
        <f t="shared" si="8"/>
        <v>0</v>
      </c>
      <c r="E22" s="219">
        <f t="shared" si="0"/>
        <v>0</v>
      </c>
      <c r="F22" s="216"/>
      <c r="G22" s="216"/>
      <c r="H22" s="219">
        <f t="shared" si="1"/>
        <v>0</v>
      </c>
      <c r="I22" s="216">
        <f t="shared" si="3"/>
        <v>0</v>
      </c>
      <c r="J22" s="219">
        <f t="shared" si="2"/>
        <v>0</v>
      </c>
      <c r="K22" s="216"/>
      <c r="L22" s="219">
        <f t="shared" si="9"/>
        <v>0</v>
      </c>
      <c r="M22" s="219">
        <f t="shared" si="4"/>
        <v>0</v>
      </c>
      <c r="N22" s="218">
        <f t="shared" si="5"/>
        <v>0</v>
      </c>
      <c r="O22" s="216">
        <f t="shared" si="6"/>
        <v>0</v>
      </c>
      <c r="P22" s="219">
        <f t="shared" si="7"/>
        <v>0</v>
      </c>
      <c r="Q22" s="216"/>
    </row>
    <row r="23" spans="2:17">
      <c r="B23" s="216">
        <v>15</v>
      </c>
      <c r="C23" s="216"/>
      <c r="D23" s="216">
        <f t="shared" si="8"/>
        <v>0</v>
      </c>
      <c r="E23" s="219">
        <f t="shared" si="0"/>
        <v>0</v>
      </c>
      <c r="F23" s="216"/>
      <c r="G23" s="216"/>
      <c r="H23" s="219">
        <f t="shared" si="1"/>
        <v>0</v>
      </c>
      <c r="I23" s="216">
        <f t="shared" si="3"/>
        <v>0</v>
      </c>
      <c r="J23" s="219">
        <f t="shared" si="2"/>
        <v>0</v>
      </c>
      <c r="K23" s="216"/>
      <c r="L23" s="219">
        <f t="shared" si="9"/>
        <v>0</v>
      </c>
      <c r="M23" s="219">
        <f t="shared" si="4"/>
        <v>0</v>
      </c>
      <c r="N23" s="218">
        <f t="shared" si="5"/>
        <v>0</v>
      </c>
      <c r="O23" s="216">
        <f t="shared" si="6"/>
        <v>0</v>
      </c>
      <c r="P23" s="219">
        <f t="shared" si="7"/>
        <v>0</v>
      </c>
      <c r="Q23" s="216"/>
    </row>
    <row r="24" spans="2:17">
      <c r="B24" s="216">
        <v>16</v>
      </c>
      <c r="C24" s="216"/>
      <c r="D24" s="216">
        <f t="shared" si="8"/>
        <v>0</v>
      </c>
      <c r="E24" s="219">
        <f t="shared" si="0"/>
        <v>0</v>
      </c>
      <c r="F24" s="216"/>
      <c r="G24" s="216"/>
      <c r="H24" s="219">
        <f t="shared" si="1"/>
        <v>0</v>
      </c>
      <c r="I24" s="216">
        <f t="shared" si="3"/>
        <v>0</v>
      </c>
      <c r="J24" s="219">
        <f t="shared" si="2"/>
        <v>0</v>
      </c>
      <c r="K24" s="216"/>
      <c r="L24" s="219">
        <f t="shared" si="9"/>
        <v>0</v>
      </c>
      <c r="M24" s="219">
        <f t="shared" si="4"/>
        <v>0</v>
      </c>
      <c r="N24" s="218">
        <f t="shared" si="5"/>
        <v>0</v>
      </c>
      <c r="O24" s="216">
        <f t="shared" si="6"/>
        <v>0</v>
      </c>
      <c r="P24" s="219">
        <f t="shared" si="7"/>
        <v>0</v>
      </c>
      <c r="Q24" s="216"/>
    </row>
    <row r="25" spans="2:17">
      <c r="B25" s="216">
        <v>17</v>
      </c>
      <c r="C25" s="216"/>
      <c r="D25" s="216">
        <f t="shared" si="8"/>
        <v>0</v>
      </c>
      <c r="E25" s="219">
        <f t="shared" si="0"/>
        <v>0</v>
      </c>
      <c r="F25" s="216"/>
      <c r="G25" s="216"/>
      <c r="H25" s="219">
        <f t="shared" si="1"/>
        <v>0</v>
      </c>
      <c r="I25" s="216">
        <f t="shared" si="3"/>
        <v>0</v>
      </c>
      <c r="J25" s="219">
        <f t="shared" si="2"/>
        <v>0</v>
      </c>
      <c r="K25" s="216"/>
      <c r="L25" s="219">
        <f t="shared" si="9"/>
        <v>0</v>
      </c>
      <c r="M25" s="219">
        <f t="shared" si="4"/>
        <v>0</v>
      </c>
      <c r="N25" s="218">
        <f t="shared" si="5"/>
        <v>0</v>
      </c>
      <c r="O25" s="216">
        <f t="shared" si="6"/>
        <v>0</v>
      </c>
      <c r="P25" s="219">
        <f t="shared" si="7"/>
        <v>0</v>
      </c>
      <c r="Q25" s="216"/>
    </row>
    <row r="26" spans="2:17">
      <c r="B26" s="216">
        <v>18</v>
      </c>
      <c r="C26" s="216"/>
      <c r="D26" s="216">
        <f t="shared" si="8"/>
        <v>0</v>
      </c>
      <c r="E26" s="219">
        <f t="shared" si="0"/>
        <v>0</v>
      </c>
      <c r="F26" s="216"/>
      <c r="G26" s="216"/>
      <c r="H26" s="219">
        <f t="shared" si="1"/>
        <v>0</v>
      </c>
      <c r="I26" s="216">
        <f t="shared" si="3"/>
        <v>0</v>
      </c>
      <c r="J26" s="219">
        <f t="shared" si="2"/>
        <v>0</v>
      </c>
      <c r="K26" s="216"/>
      <c r="L26" s="219">
        <f t="shared" si="9"/>
        <v>0</v>
      </c>
      <c r="M26" s="219">
        <f t="shared" si="4"/>
        <v>0</v>
      </c>
      <c r="N26" s="218">
        <f t="shared" si="5"/>
        <v>0</v>
      </c>
      <c r="O26" s="216">
        <f t="shared" si="6"/>
        <v>0</v>
      </c>
      <c r="P26" s="219">
        <f t="shared" si="7"/>
        <v>0</v>
      </c>
      <c r="Q26" s="216"/>
    </row>
    <row r="27" spans="2:17">
      <c r="B27" s="216">
        <v>19</v>
      </c>
      <c r="C27" s="216"/>
      <c r="D27" s="216">
        <f t="shared" si="8"/>
        <v>0</v>
      </c>
      <c r="E27" s="219">
        <f t="shared" si="0"/>
        <v>0</v>
      </c>
      <c r="F27" s="216"/>
      <c r="G27" s="216"/>
      <c r="H27" s="219">
        <f t="shared" si="1"/>
        <v>0</v>
      </c>
      <c r="I27" s="216">
        <f t="shared" si="3"/>
        <v>0</v>
      </c>
      <c r="J27" s="219">
        <f t="shared" si="2"/>
        <v>0</v>
      </c>
      <c r="K27" s="216"/>
      <c r="L27" s="219">
        <f t="shared" si="9"/>
        <v>0</v>
      </c>
      <c r="M27" s="219">
        <f t="shared" si="4"/>
        <v>0</v>
      </c>
      <c r="N27" s="218">
        <f t="shared" si="5"/>
        <v>0</v>
      </c>
      <c r="O27" s="216">
        <f t="shared" si="6"/>
        <v>0</v>
      </c>
      <c r="P27" s="219">
        <f t="shared" si="7"/>
        <v>0</v>
      </c>
      <c r="Q27" s="216"/>
    </row>
    <row r="28" spans="2:17">
      <c r="B28" s="216">
        <v>20</v>
      </c>
      <c r="C28" s="216"/>
      <c r="D28" s="216">
        <f t="shared" si="8"/>
        <v>0</v>
      </c>
      <c r="E28" s="219">
        <f t="shared" si="0"/>
        <v>0</v>
      </c>
      <c r="F28" s="216"/>
      <c r="G28" s="216"/>
      <c r="H28" s="219">
        <f t="shared" si="1"/>
        <v>0</v>
      </c>
      <c r="I28" s="216">
        <f t="shared" si="3"/>
        <v>0</v>
      </c>
      <c r="J28" s="219">
        <f t="shared" si="2"/>
        <v>0</v>
      </c>
      <c r="K28" s="216"/>
      <c r="L28" s="219">
        <f t="shared" si="9"/>
        <v>0</v>
      </c>
      <c r="M28" s="219">
        <f t="shared" si="4"/>
        <v>0</v>
      </c>
      <c r="N28" s="218">
        <f t="shared" si="5"/>
        <v>0</v>
      </c>
      <c r="O28" s="216">
        <f t="shared" si="6"/>
        <v>0</v>
      </c>
      <c r="P28" s="219">
        <f t="shared" si="7"/>
        <v>0</v>
      </c>
      <c r="Q28" s="216"/>
    </row>
    <row r="29" spans="2:17">
      <c r="B29" s="216">
        <v>21</v>
      </c>
      <c r="C29" s="216"/>
      <c r="D29" s="216">
        <f t="shared" si="8"/>
        <v>0</v>
      </c>
      <c r="E29" s="219">
        <f t="shared" si="0"/>
        <v>0</v>
      </c>
      <c r="F29" s="216"/>
      <c r="G29" s="216"/>
      <c r="H29" s="219">
        <f t="shared" si="1"/>
        <v>0</v>
      </c>
      <c r="I29" s="216">
        <f t="shared" si="3"/>
        <v>0</v>
      </c>
      <c r="J29" s="219">
        <f t="shared" si="2"/>
        <v>0</v>
      </c>
      <c r="K29" s="216"/>
      <c r="L29" s="219">
        <f t="shared" si="9"/>
        <v>0</v>
      </c>
      <c r="M29" s="219">
        <f t="shared" si="4"/>
        <v>0</v>
      </c>
      <c r="N29" s="218">
        <f t="shared" si="5"/>
        <v>0</v>
      </c>
      <c r="O29" s="216">
        <f t="shared" si="6"/>
        <v>0</v>
      </c>
      <c r="P29" s="219">
        <f t="shared" si="7"/>
        <v>0</v>
      </c>
      <c r="Q29" s="216"/>
    </row>
    <row r="30" spans="2:17">
      <c r="B30" s="216">
        <v>22</v>
      </c>
      <c r="C30" s="216"/>
      <c r="D30" s="216">
        <f t="shared" si="8"/>
        <v>0</v>
      </c>
      <c r="E30" s="219">
        <f t="shared" si="0"/>
        <v>0</v>
      </c>
      <c r="F30" s="216"/>
      <c r="G30" s="216"/>
      <c r="H30" s="219">
        <f t="shared" si="1"/>
        <v>0</v>
      </c>
      <c r="I30" s="216">
        <f t="shared" si="3"/>
        <v>0</v>
      </c>
      <c r="J30" s="219">
        <f t="shared" si="2"/>
        <v>0</v>
      </c>
      <c r="K30" s="216"/>
      <c r="L30" s="219">
        <f t="shared" si="9"/>
        <v>0</v>
      </c>
      <c r="M30" s="219">
        <f t="shared" si="4"/>
        <v>0</v>
      </c>
      <c r="N30" s="218">
        <f t="shared" si="5"/>
        <v>0</v>
      </c>
      <c r="O30" s="216">
        <f t="shared" si="6"/>
        <v>0</v>
      </c>
      <c r="P30" s="219">
        <f t="shared" si="7"/>
        <v>0</v>
      </c>
      <c r="Q30" s="216"/>
    </row>
    <row r="31" spans="2:17">
      <c r="B31" s="216">
        <v>23</v>
      </c>
      <c r="C31" s="216"/>
      <c r="D31" s="216">
        <f t="shared" si="8"/>
        <v>0</v>
      </c>
      <c r="E31" s="219">
        <f t="shared" si="0"/>
        <v>0</v>
      </c>
      <c r="F31" s="216"/>
      <c r="G31" s="216"/>
      <c r="H31" s="219">
        <f t="shared" si="1"/>
        <v>0</v>
      </c>
      <c r="I31" s="216">
        <f t="shared" si="3"/>
        <v>0</v>
      </c>
      <c r="J31" s="219">
        <f t="shared" si="2"/>
        <v>0</v>
      </c>
      <c r="K31" s="216"/>
      <c r="L31" s="219">
        <f t="shared" si="9"/>
        <v>0</v>
      </c>
      <c r="M31" s="219">
        <f t="shared" si="4"/>
        <v>0</v>
      </c>
      <c r="N31" s="218">
        <f t="shared" si="5"/>
        <v>0</v>
      </c>
      <c r="O31" s="216">
        <f t="shared" si="6"/>
        <v>0</v>
      </c>
      <c r="P31" s="219">
        <f t="shared" si="7"/>
        <v>0</v>
      </c>
      <c r="Q31" s="216"/>
    </row>
    <row r="32" spans="2:17">
      <c r="B32" s="216">
        <v>24</v>
      </c>
      <c r="C32" s="216"/>
      <c r="D32" s="216">
        <f t="shared" si="8"/>
        <v>0</v>
      </c>
      <c r="E32" s="219">
        <f t="shared" si="0"/>
        <v>0</v>
      </c>
      <c r="F32" s="216"/>
      <c r="G32" s="216"/>
      <c r="H32" s="219">
        <f t="shared" si="1"/>
        <v>0</v>
      </c>
      <c r="I32" s="216">
        <f t="shared" si="3"/>
        <v>0</v>
      </c>
      <c r="J32" s="219">
        <f t="shared" si="2"/>
        <v>0</v>
      </c>
      <c r="K32" s="216"/>
      <c r="L32" s="219">
        <f t="shared" si="9"/>
        <v>0</v>
      </c>
      <c r="M32" s="219">
        <f t="shared" si="4"/>
        <v>0</v>
      </c>
      <c r="N32" s="218">
        <f t="shared" si="5"/>
        <v>0</v>
      </c>
      <c r="O32" s="216">
        <f t="shared" si="6"/>
        <v>0</v>
      </c>
      <c r="P32" s="219">
        <f t="shared" si="7"/>
        <v>0</v>
      </c>
      <c r="Q32" s="216"/>
    </row>
    <row r="33" spans="2:17">
      <c r="B33" s="216">
        <v>25</v>
      </c>
      <c r="C33" s="216"/>
      <c r="D33" s="216">
        <f t="shared" si="8"/>
        <v>0</v>
      </c>
      <c r="E33" s="219">
        <f t="shared" si="0"/>
        <v>0</v>
      </c>
      <c r="F33" s="216"/>
      <c r="G33" s="216"/>
      <c r="H33" s="219">
        <f t="shared" si="1"/>
        <v>0</v>
      </c>
      <c r="I33" s="216">
        <f t="shared" si="3"/>
        <v>0</v>
      </c>
      <c r="J33" s="219">
        <f t="shared" si="2"/>
        <v>0</v>
      </c>
      <c r="K33" s="216"/>
      <c r="L33" s="219">
        <f t="shared" si="9"/>
        <v>0</v>
      </c>
      <c r="M33" s="219">
        <f t="shared" si="4"/>
        <v>0</v>
      </c>
      <c r="N33" s="218">
        <f t="shared" si="5"/>
        <v>0</v>
      </c>
      <c r="O33" s="216">
        <f t="shared" si="6"/>
        <v>0</v>
      </c>
      <c r="P33" s="219">
        <f t="shared" si="7"/>
        <v>0</v>
      </c>
      <c r="Q33" s="216"/>
    </row>
    <row r="34" spans="2:17">
      <c r="B34" s="216">
        <v>26</v>
      </c>
      <c r="C34" s="216"/>
      <c r="D34" s="216">
        <f t="shared" si="8"/>
        <v>0</v>
      </c>
      <c r="E34" s="219">
        <f t="shared" si="0"/>
        <v>0</v>
      </c>
      <c r="F34" s="216"/>
      <c r="G34" s="216"/>
      <c r="H34" s="219">
        <f t="shared" si="1"/>
        <v>0</v>
      </c>
      <c r="I34" s="216">
        <f t="shared" si="3"/>
        <v>0</v>
      </c>
      <c r="J34" s="219">
        <f t="shared" si="2"/>
        <v>0</v>
      </c>
      <c r="K34" s="216"/>
      <c r="L34" s="219">
        <f t="shared" si="9"/>
        <v>0</v>
      </c>
      <c r="M34" s="219">
        <f t="shared" si="4"/>
        <v>0</v>
      </c>
      <c r="N34" s="218">
        <f t="shared" si="5"/>
        <v>0</v>
      </c>
      <c r="O34" s="216">
        <f t="shared" si="6"/>
        <v>0</v>
      </c>
      <c r="P34" s="219">
        <f t="shared" si="7"/>
        <v>0</v>
      </c>
      <c r="Q34" s="216"/>
    </row>
    <row r="35" spans="2:17">
      <c r="B35" s="216">
        <v>27</v>
      </c>
      <c r="C35" s="216"/>
      <c r="D35" s="216">
        <f t="shared" si="8"/>
        <v>0</v>
      </c>
      <c r="E35" s="219">
        <f t="shared" si="0"/>
        <v>0</v>
      </c>
      <c r="F35" s="216"/>
      <c r="G35" s="216"/>
      <c r="H35" s="219">
        <f t="shared" si="1"/>
        <v>0</v>
      </c>
      <c r="I35" s="216">
        <f t="shared" si="3"/>
        <v>0</v>
      </c>
      <c r="J35" s="219">
        <f t="shared" si="2"/>
        <v>0</v>
      </c>
      <c r="K35" s="216"/>
      <c r="L35" s="219">
        <f t="shared" si="9"/>
        <v>0</v>
      </c>
      <c r="M35" s="219">
        <f t="shared" si="4"/>
        <v>0</v>
      </c>
      <c r="N35" s="218">
        <f t="shared" si="5"/>
        <v>0</v>
      </c>
      <c r="O35" s="216">
        <f t="shared" si="6"/>
        <v>0</v>
      </c>
      <c r="P35" s="219">
        <f t="shared" si="7"/>
        <v>0</v>
      </c>
      <c r="Q35" s="216"/>
    </row>
    <row r="36" spans="2:17">
      <c r="B36" s="216">
        <v>28</v>
      </c>
      <c r="C36" s="216"/>
      <c r="D36" s="216">
        <f t="shared" si="8"/>
        <v>0</v>
      </c>
      <c r="E36" s="219">
        <f t="shared" si="0"/>
        <v>0</v>
      </c>
      <c r="F36" s="216"/>
      <c r="G36" s="216"/>
      <c r="H36" s="219">
        <f t="shared" si="1"/>
        <v>0</v>
      </c>
      <c r="I36" s="216">
        <f t="shared" si="3"/>
        <v>0</v>
      </c>
      <c r="J36" s="219">
        <f t="shared" si="2"/>
        <v>0</v>
      </c>
      <c r="K36" s="216"/>
      <c r="L36" s="219">
        <f t="shared" si="9"/>
        <v>0</v>
      </c>
      <c r="M36" s="219">
        <f t="shared" si="4"/>
        <v>0</v>
      </c>
      <c r="N36" s="218">
        <f t="shared" si="5"/>
        <v>0</v>
      </c>
      <c r="O36" s="216">
        <f t="shared" si="6"/>
        <v>0</v>
      </c>
      <c r="P36" s="219">
        <f t="shared" si="7"/>
        <v>0</v>
      </c>
      <c r="Q36" s="216"/>
    </row>
    <row r="37" spans="2:17">
      <c r="B37" s="216">
        <v>29</v>
      </c>
      <c r="C37" s="216"/>
      <c r="D37" s="216">
        <f t="shared" si="8"/>
        <v>0</v>
      </c>
      <c r="E37" s="219">
        <f t="shared" si="0"/>
        <v>0</v>
      </c>
      <c r="F37" s="216"/>
      <c r="G37" s="216"/>
      <c r="H37" s="219">
        <f t="shared" si="1"/>
        <v>0</v>
      </c>
      <c r="I37" s="216">
        <f t="shared" si="3"/>
        <v>0</v>
      </c>
      <c r="J37" s="219">
        <f t="shared" si="2"/>
        <v>0</v>
      </c>
      <c r="K37" s="216"/>
      <c r="L37" s="219">
        <f t="shared" si="9"/>
        <v>0</v>
      </c>
      <c r="M37" s="219">
        <f t="shared" si="4"/>
        <v>0</v>
      </c>
      <c r="N37" s="218">
        <f t="shared" si="5"/>
        <v>0</v>
      </c>
      <c r="O37" s="216">
        <f t="shared" si="6"/>
        <v>0</v>
      </c>
      <c r="P37" s="219">
        <f t="shared" si="7"/>
        <v>0</v>
      </c>
      <c r="Q37" s="216"/>
    </row>
    <row r="38" spans="2:17">
      <c r="B38" s="216">
        <v>30</v>
      </c>
      <c r="D38" s="216">
        <f t="shared" si="8"/>
        <v>0</v>
      </c>
      <c r="E38" s="219">
        <f t="shared" si="0"/>
        <v>0</v>
      </c>
      <c r="F38" s="3"/>
      <c r="G38" s="216"/>
      <c r="H38" s="219">
        <f t="shared" si="1"/>
        <v>0</v>
      </c>
      <c r="I38" s="216">
        <f t="shared" si="3"/>
        <v>0</v>
      </c>
      <c r="J38" s="219">
        <f t="shared" si="2"/>
        <v>0</v>
      </c>
      <c r="K38" s="216"/>
      <c r="L38" s="219">
        <f t="shared" si="9"/>
        <v>0</v>
      </c>
      <c r="M38" s="219">
        <f t="shared" si="4"/>
        <v>0</v>
      </c>
      <c r="N38" s="218">
        <f t="shared" si="5"/>
        <v>0</v>
      </c>
      <c r="O38" s="216">
        <f t="shared" si="6"/>
        <v>0</v>
      </c>
      <c r="P38" s="219">
        <f t="shared" si="7"/>
        <v>0</v>
      </c>
      <c r="Q38" s="3"/>
    </row>
    <row r="39" spans="2:17">
      <c r="B39" s="222">
        <v>31</v>
      </c>
      <c r="D39" s="216">
        <f t="shared" si="8"/>
        <v>0</v>
      </c>
      <c r="E39" s="219">
        <f t="shared" si="0"/>
        <v>0</v>
      </c>
      <c r="F39" s="223"/>
      <c r="G39" s="216"/>
      <c r="H39" s="219">
        <f t="shared" si="1"/>
        <v>0</v>
      </c>
      <c r="I39" s="216">
        <f t="shared" si="3"/>
        <v>0</v>
      </c>
      <c r="J39" s="219">
        <f t="shared" si="2"/>
        <v>0</v>
      </c>
      <c r="K39" s="216"/>
      <c r="L39" s="219">
        <f t="shared" si="9"/>
        <v>0</v>
      </c>
      <c r="M39" s="219">
        <f t="shared" si="4"/>
        <v>0</v>
      </c>
      <c r="N39" s="218">
        <f t="shared" si="5"/>
        <v>0</v>
      </c>
      <c r="O39" s="216">
        <f t="shared" si="6"/>
        <v>0</v>
      </c>
      <c r="P39" s="219">
        <f t="shared" si="7"/>
        <v>0</v>
      </c>
      <c r="Q39" s="223"/>
    </row>
    <row r="40" spans="2:17">
      <c r="B40" s="928" t="s">
        <v>10</v>
      </c>
      <c r="C40" s="929"/>
      <c r="D40" s="929"/>
      <c r="E40" s="930"/>
      <c r="F40" s="130">
        <f t="shared" ref="F40:N40" si="10">SUM(F9:F39)</f>
        <v>0</v>
      </c>
      <c r="G40" s="239">
        <f t="shared" si="10"/>
        <v>0</v>
      </c>
      <c r="H40" s="224">
        <f t="shared" si="10"/>
        <v>0</v>
      </c>
      <c r="I40" s="130"/>
      <c r="J40" s="130"/>
      <c r="K40" s="239">
        <f t="shared" si="10"/>
        <v>0</v>
      </c>
      <c r="L40" s="224">
        <f t="shared" si="10"/>
        <v>0</v>
      </c>
      <c r="M40" s="224">
        <f t="shared" si="10"/>
        <v>0</v>
      </c>
      <c r="N40" s="130">
        <f t="shared" si="10"/>
        <v>0</v>
      </c>
      <c r="O40" s="130"/>
      <c r="P40" s="130"/>
      <c r="Q40" s="3"/>
    </row>
    <row r="42" spans="2:17">
      <c r="B42" s="931" t="s">
        <v>23</v>
      </c>
      <c r="C42" s="931"/>
      <c r="D42" s="931"/>
      <c r="E42" s="931"/>
      <c r="F42" s="3"/>
      <c r="G42" s="130">
        <f>G40*S7/1000</f>
        <v>0</v>
      </c>
      <c r="H42" s="151">
        <f>+G40*S6/1000</f>
        <v>0</v>
      </c>
      <c r="J42" s="3" t="s">
        <v>36</v>
      </c>
      <c r="K42" s="3"/>
      <c r="L42" s="130">
        <f>K40*S7/1000</f>
        <v>0</v>
      </c>
    </row>
  </sheetData>
  <mergeCells count="19">
    <mergeCell ref="B2:Q2"/>
    <mergeCell ref="S2:T2"/>
    <mergeCell ref="B3:Q3"/>
    <mergeCell ref="S3:V3"/>
    <mergeCell ref="B4:Q4"/>
    <mergeCell ref="S4:V4"/>
    <mergeCell ref="A5:Q5"/>
    <mergeCell ref="S5:V5"/>
    <mergeCell ref="D6:F6"/>
    <mergeCell ref="G6:H6"/>
    <mergeCell ref="I6:J6"/>
    <mergeCell ref="K6:L6"/>
    <mergeCell ref="O6:P6"/>
    <mergeCell ref="S6:V6"/>
    <mergeCell ref="S7:V7"/>
    <mergeCell ref="S8:V8"/>
    <mergeCell ref="B40:E40"/>
    <mergeCell ref="B42:E42"/>
    <mergeCell ref="M6:M8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A113"/>
  <sheetViews>
    <sheetView topLeftCell="BP1" zoomScale="80" zoomScaleNormal="80" workbookViewId="0">
      <pane ySplit="6" topLeftCell="A88" activePane="bottomLeft" state="frozen"/>
      <selection pane="bottomLeft" activeCell="CA10" sqref="CA10"/>
    </sheetView>
  </sheetViews>
  <sheetFormatPr defaultColWidth="9" defaultRowHeight="15"/>
  <cols>
    <col min="1" max="1" width="6.5703125" customWidth="1"/>
    <col min="3" max="3" width="13.42578125" hidden="1" customWidth="1"/>
    <col min="4" max="4" width="15" hidden="1" customWidth="1"/>
    <col min="5" max="5" width="10.5703125" customWidth="1"/>
    <col min="6" max="6" width="20.42578125" customWidth="1"/>
    <col min="7" max="7" width="7.140625" customWidth="1"/>
    <col min="8" max="8" width="10.5703125" customWidth="1"/>
    <col min="9" max="9" width="11.28515625" hidden="1" customWidth="1"/>
    <col min="10" max="12" width="14.140625" hidden="1" customWidth="1"/>
    <col min="13" max="13" width="18" customWidth="1"/>
    <col min="14" max="18" width="15.85546875" customWidth="1"/>
    <col min="19" max="19" width="16.42578125" customWidth="1"/>
    <col min="20" max="20" width="1.140625" style="234" customWidth="1"/>
    <col min="22" max="22" width="13.42578125" customWidth="1"/>
    <col min="23" max="23" width="14" hidden="1" customWidth="1"/>
    <col min="24" max="24" width="8.28515625" customWidth="1"/>
    <col min="25" max="25" width="12.28515625" customWidth="1"/>
    <col min="26" max="26" width="7.5703125" customWidth="1"/>
    <col min="27" max="27" width="30.42578125" hidden="1" customWidth="1"/>
    <col min="28" max="28" width="10.28515625" customWidth="1"/>
    <col min="29" max="29" width="16.42578125" customWidth="1"/>
    <col min="30" max="30" width="17.5703125" customWidth="1"/>
    <col min="31" max="32" width="16.42578125" customWidth="1"/>
    <col min="33" max="34" width="13.5703125" customWidth="1"/>
    <col min="35" max="36" width="15" customWidth="1"/>
    <col min="37" max="37" width="16.28515625" customWidth="1"/>
    <col min="38" max="38" width="1" style="234" hidden="1" customWidth="1"/>
    <col min="39" max="39" width="8.140625" style="234" customWidth="1"/>
    <col min="40" max="40" width="9.85546875" customWidth="1"/>
    <col min="41" max="41" width="26.28515625" customWidth="1"/>
    <col min="42" max="42" width="8.140625" customWidth="1"/>
    <col min="43" max="43" width="13.7109375" hidden="1" customWidth="1"/>
    <col min="44" max="44" width="37.140625" customWidth="1"/>
    <col min="45" max="45" width="10.85546875" customWidth="1"/>
    <col min="46" max="46" width="10.5703125" customWidth="1"/>
    <col min="47" max="47" width="10.5703125" hidden="1" customWidth="1"/>
    <col min="48" max="48" width="16.42578125" customWidth="1"/>
    <col min="49" max="50" width="13.5703125" customWidth="1"/>
    <col min="51" max="54" width="15" customWidth="1"/>
    <col min="55" max="55" width="1" style="234" customWidth="1"/>
    <col min="58" max="58" width="13.42578125" customWidth="1"/>
    <col min="59" max="59" width="12.42578125" hidden="1" customWidth="1"/>
    <col min="60" max="60" width="17.28515625" customWidth="1"/>
    <col min="61" max="61" width="11.140625" customWidth="1"/>
    <col min="62" max="62" width="10.7109375" customWidth="1"/>
    <col min="63" max="63" width="12" customWidth="1"/>
    <col min="64" max="64" width="13.5703125" customWidth="1"/>
    <col min="65" max="66" width="10.5703125" customWidth="1"/>
    <col min="69" max="69" width="13.5703125" customWidth="1"/>
    <col min="70" max="70" width="1.140625" style="574" customWidth="1"/>
    <col min="73" max="74" width="9" hidden="1" customWidth="1"/>
    <col min="75" max="75" width="10.5703125" customWidth="1"/>
    <col min="77" max="77" width="12.5703125" customWidth="1"/>
    <col min="78" max="78" width="12.5703125" hidden="1" customWidth="1"/>
    <col min="79" max="79" width="17.85546875" customWidth="1"/>
    <col min="80" max="80" width="14.7109375" customWidth="1"/>
    <col min="81" max="81" width="12" customWidth="1"/>
    <col min="82" max="84" width="9" hidden="1" customWidth="1"/>
    <col min="85" max="85" width="1.140625" style="234" customWidth="1"/>
    <col min="87" max="87" width="9.42578125" customWidth="1"/>
    <col min="88" max="89" width="9" hidden="1" customWidth="1"/>
    <col min="92" max="92" width="9" hidden="1" customWidth="1"/>
    <col min="93" max="93" width="15.85546875" hidden="1" customWidth="1"/>
    <col min="96" max="96" width="12" customWidth="1"/>
    <col min="97" max="99" width="9" hidden="1" customWidth="1"/>
    <col min="100" max="100" width="2" style="234" customWidth="1"/>
    <col min="103" max="103" width="13.140625" customWidth="1"/>
    <col min="104" max="104" width="12.42578125" hidden="1" customWidth="1"/>
    <col min="105" max="105" width="20" customWidth="1"/>
    <col min="107" max="107" width="12" customWidth="1"/>
    <col min="108" max="109" width="13.5703125" customWidth="1"/>
    <col min="112" max="112" width="8.7109375" customWidth="1"/>
    <col min="113" max="113" width="9.140625" hidden="1" customWidth="1"/>
    <col min="114" max="114" width="13.5703125" customWidth="1"/>
    <col min="115" max="116" width="1.140625" style="234" customWidth="1"/>
    <col min="119" max="119" width="13.140625" customWidth="1"/>
    <col min="120" max="120" width="12.42578125" hidden="1" customWidth="1"/>
    <col min="121" max="121" width="20" customWidth="1"/>
    <col min="123" max="123" width="12" customWidth="1"/>
    <col min="124" max="125" width="13.5703125" customWidth="1"/>
    <col min="128" max="128" width="8.7109375" customWidth="1"/>
    <col min="129" max="129" width="9.140625" hidden="1" customWidth="1"/>
    <col min="130" max="130" width="13.5703125" customWidth="1"/>
  </cols>
  <sheetData>
    <row r="1" spans="1:131" ht="26.25">
      <c r="A1" s="994"/>
      <c r="B1" s="994"/>
      <c r="C1" s="994"/>
      <c r="D1" s="994"/>
      <c r="E1" s="994"/>
      <c r="F1" s="994"/>
      <c r="G1" s="994"/>
      <c r="H1" s="994"/>
      <c r="I1" s="994"/>
      <c r="J1" s="994"/>
      <c r="K1" s="994"/>
      <c r="L1" s="994"/>
      <c r="M1" s="994"/>
      <c r="N1" s="994"/>
      <c r="O1" s="994"/>
      <c r="P1" s="994"/>
      <c r="Q1" s="994"/>
      <c r="R1" s="994"/>
      <c r="S1" s="994"/>
      <c r="T1" s="994"/>
      <c r="U1" s="994"/>
      <c r="V1" s="994"/>
      <c r="W1" s="994"/>
      <c r="X1" s="994"/>
      <c r="Y1" s="994"/>
      <c r="Z1" s="994"/>
      <c r="AA1" s="994"/>
      <c r="AB1" s="994"/>
      <c r="AC1" s="994"/>
      <c r="AD1" s="994"/>
      <c r="AE1" s="994"/>
      <c r="AF1" s="994"/>
      <c r="AG1" s="994"/>
      <c r="AH1" s="994"/>
      <c r="AI1" s="994"/>
      <c r="AJ1" s="994"/>
      <c r="AK1" s="994"/>
      <c r="AL1" s="994"/>
      <c r="AM1" s="994"/>
      <c r="AN1" s="994"/>
      <c r="AO1" s="994"/>
      <c r="AP1" s="994"/>
      <c r="AQ1" s="994"/>
      <c r="AR1" s="994"/>
      <c r="AS1" s="994"/>
      <c r="AT1" s="994"/>
      <c r="AU1" s="994"/>
      <c r="AV1" s="994"/>
      <c r="AW1" s="994"/>
      <c r="AX1" s="994"/>
      <c r="AY1" s="994"/>
      <c r="AZ1" s="994"/>
      <c r="BA1" s="994"/>
      <c r="BB1" s="994"/>
      <c r="BC1" s="994"/>
      <c r="BD1" s="994"/>
      <c r="BE1" s="994"/>
      <c r="BF1" s="994"/>
      <c r="BG1" s="994"/>
      <c r="BH1" s="994"/>
      <c r="BI1" s="994"/>
      <c r="BJ1" s="994"/>
      <c r="BK1" s="994"/>
      <c r="BL1" s="994"/>
      <c r="BM1" s="994"/>
      <c r="BN1" s="994"/>
      <c r="BO1" s="994"/>
      <c r="BP1" s="994"/>
      <c r="BQ1" s="994"/>
      <c r="BR1" s="994"/>
      <c r="BS1" s="994"/>
      <c r="BT1" s="994"/>
      <c r="BU1" s="994"/>
      <c r="BV1" s="994"/>
      <c r="BW1" s="994"/>
      <c r="BX1" s="994"/>
      <c r="BY1" s="994"/>
      <c r="BZ1" s="994"/>
      <c r="CA1" s="994"/>
      <c r="CB1" s="994"/>
      <c r="CC1" s="994"/>
      <c r="CD1" s="994"/>
      <c r="CE1" s="994"/>
      <c r="CF1" s="994"/>
      <c r="CG1" s="994"/>
      <c r="CH1" s="994"/>
      <c r="CI1" s="994"/>
      <c r="CJ1" s="994"/>
      <c r="CK1" s="994"/>
      <c r="CL1" s="994"/>
      <c r="CM1" s="994"/>
      <c r="CN1" s="994"/>
      <c r="CO1" s="994"/>
      <c r="CP1" s="994"/>
      <c r="CQ1" s="994"/>
      <c r="CR1" s="994"/>
      <c r="CS1" s="994"/>
      <c r="CT1" s="994"/>
      <c r="CU1" s="994"/>
      <c r="CV1" s="713"/>
      <c r="CW1" s="994"/>
      <c r="CX1" s="994"/>
      <c r="CY1" s="994"/>
      <c r="CZ1" s="994"/>
      <c r="DA1" s="994"/>
      <c r="DB1" s="994"/>
      <c r="DC1" s="994"/>
      <c r="DD1" s="994"/>
      <c r="DE1" s="994"/>
      <c r="DF1" s="994"/>
      <c r="DG1" s="994"/>
      <c r="DH1" s="994"/>
      <c r="DI1" s="994"/>
      <c r="DJ1" s="994"/>
      <c r="DK1" s="994"/>
      <c r="DL1" s="575"/>
    </row>
    <row r="2" spans="1:131" s="234" customFormat="1" ht="36.75" customHeight="1">
      <c r="A2" s="995" t="s">
        <v>71</v>
      </c>
      <c r="B2" s="992"/>
      <c r="C2" s="992"/>
      <c r="D2" s="992"/>
      <c r="E2" s="992"/>
      <c r="F2" s="992"/>
      <c r="G2" s="992"/>
      <c r="H2" s="992"/>
      <c r="I2" s="992"/>
      <c r="J2" s="992"/>
      <c r="K2" s="992"/>
      <c r="L2" s="992"/>
      <c r="M2" s="992"/>
      <c r="N2" s="992"/>
      <c r="O2" s="992"/>
      <c r="P2" s="992"/>
      <c r="Q2" s="576"/>
      <c r="R2" s="576"/>
      <c r="S2" s="576"/>
      <c r="T2" s="615"/>
      <c r="U2" s="992" t="s">
        <v>72</v>
      </c>
      <c r="V2" s="992"/>
      <c r="W2" s="992"/>
      <c r="X2" s="992"/>
      <c r="Y2" s="992"/>
      <c r="Z2" s="992"/>
      <c r="AA2" s="992"/>
      <c r="AB2" s="992"/>
      <c r="AC2" s="992"/>
      <c r="AD2" s="992"/>
      <c r="AE2" s="992"/>
      <c r="AF2" s="992"/>
      <c r="AG2" s="992"/>
      <c r="AH2" s="992"/>
      <c r="AI2" s="992"/>
      <c r="AJ2" s="576"/>
      <c r="AK2" s="576"/>
      <c r="AL2" s="615"/>
      <c r="AM2" s="615"/>
      <c r="AN2" s="992" t="s">
        <v>73</v>
      </c>
      <c r="AO2" s="992"/>
      <c r="AP2" s="992"/>
      <c r="AQ2" s="992"/>
      <c r="AR2" s="992"/>
      <c r="AS2" s="992"/>
      <c r="AT2" s="992"/>
      <c r="AU2" s="992"/>
      <c r="AV2" s="992"/>
      <c r="AW2" s="992"/>
      <c r="AX2" s="992"/>
      <c r="AY2" s="992"/>
      <c r="AZ2" s="576"/>
      <c r="BA2" s="576"/>
      <c r="BB2" s="576"/>
      <c r="BC2" s="615"/>
      <c r="BD2" s="992" t="s">
        <v>74</v>
      </c>
      <c r="BE2" s="992"/>
      <c r="BF2" s="992"/>
      <c r="BG2" s="992"/>
      <c r="BH2" s="992"/>
      <c r="BI2" s="992"/>
      <c r="BJ2" s="992"/>
      <c r="BK2" s="992"/>
      <c r="BL2" s="992"/>
      <c r="BM2" s="992"/>
      <c r="BN2" s="992"/>
      <c r="BO2" s="992"/>
      <c r="BP2" s="576"/>
      <c r="BQ2" s="576"/>
      <c r="BR2" s="708"/>
      <c r="BS2" s="992" t="s">
        <v>75</v>
      </c>
      <c r="BT2" s="992"/>
      <c r="BU2" s="992"/>
      <c r="BV2" s="992"/>
      <c r="BW2" s="992"/>
      <c r="BX2" s="992"/>
      <c r="BY2" s="992"/>
      <c r="BZ2" s="992"/>
      <c r="CA2" s="992"/>
      <c r="CB2" s="992"/>
      <c r="CC2" s="992"/>
      <c r="CD2" s="992"/>
      <c r="CE2" s="992"/>
      <c r="CF2" s="992"/>
      <c r="CG2" s="615"/>
      <c r="CH2" s="992" t="s">
        <v>76</v>
      </c>
      <c r="CI2" s="992"/>
      <c r="CJ2" s="992"/>
      <c r="CK2" s="992"/>
      <c r="CL2" s="992"/>
      <c r="CM2" s="992"/>
      <c r="CN2" s="992"/>
      <c r="CO2" s="992"/>
      <c r="CP2" s="992"/>
      <c r="CQ2" s="992"/>
      <c r="CR2" s="992"/>
      <c r="CS2" s="992"/>
      <c r="CT2" s="992"/>
      <c r="CU2" s="992"/>
      <c r="CV2" s="714"/>
      <c r="CW2" s="992" t="s">
        <v>77</v>
      </c>
      <c r="CX2" s="992"/>
      <c r="CY2" s="992"/>
      <c r="CZ2" s="992"/>
      <c r="DA2" s="992"/>
      <c r="DB2" s="992"/>
      <c r="DC2" s="992"/>
      <c r="DD2" s="992"/>
      <c r="DE2" s="992"/>
      <c r="DF2" s="992"/>
      <c r="DG2" s="992"/>
      <c r="DH2" s="992"/>
      <c r="DI2" s="992"/>
      <c r="DJ2" s="992"/>
      <c r="DK2" s="993"/>
      <c r="DL2" s="716"/>
      <c r="DM2" s="992" t="s">
        <v>78</v>
      </c>
      <c r="DN2" s="992"/>
      <c r="DO2" s="992"/>
      <c r="DP2" s="992"/>
      <c r="DQ2" s="992"/>
      <c r="DR2" s="992"/>
      <c r="DS2" s="992"/>
      <c r="DT2" s="992"/>
      <c r="DU2" s="992"/>
      <c r="DV2" s="992"/>
      <c r="DW2" s="992"/>
      <c r="DX2" s="992"/>
      <c r="DY2" s="992"/>
      <c r="DZ2" s="992"/>
      <c r="EA2" s="993"/>
    </row>
    <row r="3" spans="1:131" ht="0.75" customHeight="1">
      <c r="CR3">
        <f>++CL33</f>
        <v>0</v>
      </c>
    </row>
    <row r="4" spans="1:131" ht="0.75" customHeight="1"/>
    <row r="5" spans="1:131" ht="0.75" customHeight="1"/>
    <row r="6" spans="1:131" ht="30">
      <c r="A6" s="217" t="s">
        <v>79</v>
      </c>
      <c r="B6" s="231" t="s">
        <v>20</v>
      </c>
      <c r="C6" s="231" t="s">
        <v>80</v>
      </c>
      <c r="D6" s="231" t="s">
        <v>81</v>
      </c>
      <c r="E6" s="231" t="s">
        <v>82</v>
      </c>
      <c r="F6" s="231" t="s">
        <v>83</v>
      </c>
      <c r="G6" s="231" t="s">
        <v>21</v>
      </c>
      <c r="H6" s="231" t="s">
        <v>18</v>
      </c>
      <c r="I6" s="231" t="s">
        <v>84</v>
      </c>
      <c r="J6" s="231" t="s">
        <v>85</v>
      </c>
      <c r="K6" s="231" t="s">
        <v>86</v>
      </c>
      <c r="L6" s="231" t="s">
        <v>87</v>
      </c>
      <c r="M6" s="231" t="s">
        <v>88</v>
      </c>
      <c r="N6" s="217" t="s">
        <v>89</v>
      </c>
      <c r="O6" s="217" t="s">
        <v>90</v>
      </c>
      <c r="P6" s="217" t="s">
        <v>91</v>
      </c>
      <c r="Q6" s="217" t="s">
        <v>92</v>
      </c>
      <c r="R6" s="217" t="s">
        <v>93</v>
      </c>
      <c r="S6" s="217" t="s">
        <v>10</v>
      </c>
      <c r="U6" s="217" t="s">
        <v>20</v>
      </c>
      <c r="V6" s="217" t="s">
        <v>80</v>
      </c>
      <c r="W6" s="217" t="s">
        <v>81</v>
      </c>
      <c r="X6" s="217" t="s">
        <v>82</v>
      </c>
      <c r="Y6" s="217" t="s">
        <v>83</v>
      </c>
      <c r="Z6" s="217" t="s">
        <v>21</v>
      </c>
      <c r="AA6" s="217" t="s">
        <v>94</v>
      </c>
      <c r="AB6" s="217" t="s">
        <v>18</v>
      </c>
      <c r="AC6" s="217" t="s">
        <v>88</v>
      </c>
      <c r="AD6" s="217" t="s">
        <v>95</v>
      </c>
      <c r="AE6" s="622" t="s">
        <v>96</v>
      </c>
      <c r="AF6" s="217" t="s">
        <v>97</v>
      </c>
      <c r="AG6" s="624" t="s">
        <v>98</v>
      </c>
      <c r="AH6" s="624" t="s">
        <v>99</v>
      </c>
      <c r="AI6" s="624" t="s">
        <v>100</v>
      </c>
      <c r="AJ6" s="625" t="s">
        <v>92</v>
      </c>
      <c r="AK6" s="625" t="s">
        <v>101</v>
      </c>
      <c r="AM6" s="626" t="s">
        <v>102</v>
      </c>
      <c r="AN6" s="231" t="s">
        <v>20</v>
      </c>
      <c r="AO6" s="231" t="s">
        <v>80</v>
      </c>
      <c r="AP6" s="231" t="s">
        <v>82</v>
      </c>
      <c r="AQ6" s="231" t="s">
        <v>81</v>
      </c>
      <c r="AR6" s="231" t="s">
        <v>83</v>
      </c>
      <c r="AS6" s="231" t="s">
        <v>103</v>
      </c>
      <c r="AT6" s="231" t="s">
        <v>104</v>
      </c>
      <c r="AU6" s="231" t="s">
        <v>12</v>
      </c>
      <c r="AV6" s="231" t="s">
        <v>88</v>
      </c>
      <c r="AW6" s="231" t="s">
        <v>89</v>
      </c>
      <c r="AX6" s="231" t="s">
        <v>90</v>
      </c>
      <c r="AY6" s="677" t="s">
        <v>91</v>
      </c>
      <c r="AZ6" s="231" t="s">
        <v>93</v>
      </c>
      <c r="BA6" s="678" t="s">
        <v>105</v>
      </c>
      <c r="BB6" s="231" t="s">
        <v>10</v>
      </c>
      <c r="BD6" s="217" t="s">
        <v>20</v>
      </c>
      <c r="BE6" s="217" t="s">
        <v>82</v>
      </c>
      <c r="BF6" s="217" t="s">
        <v>80</v>
      </c>
      <c r="BG6" s="217" t="s">
        <v>81</v>
      </c>
      <c r="BH6" s="217" t="s">
        <v>83</v>
      </c>
      <c r="BI6" s="217" t="s">
        <v>106</v>
      </c>
      <c r="BJ6" s="217" t="s">
        <v>107</v>
      </c>
      <c r="BK6" s="217" t="s">
        <v>108</v>
      </c>
      <c r="BL6" s="217" t="s">
        <v>88</v>
      </c>
      <c r="BM6" s="217" t="s">
        <v>89</v>
      </c>
      <c r="BN6" s="217" t="s">
        <v>90</v>
      </c>
      <c r="BO6" s="217" t="s">
        <v>91</v>
      </c>
      <c r="BP6" s="217" t="s">
        <v>92</v>
      </c>
      <c r="BQ6" s="217" t="s">
        <v>10</v>
      </c>
      <c r="BS6" s="217" t="s">
        <v>20</v>
      </c>
      <c r="BT6" s="217" t="s">
        <v>109</v>
      </c>
      <c r="BU6" s="217" t="s">
        <v>83</v>
      </c>
      <c r="BV6" s="217" t="s">
        <v>21</v>
      </c>
      <c r="BW6" s="217" t="s">
        <v>110</v>
      </c>
      <c r="BX6" s="217" t="s">
        <v>111</v>
      </c>
      <c r="BY6" s="217" t="s">
        <v>112</v>
      </c>
      <c r="BZ6" s="217" t="s">
        <v>81</v>
      </c>
      <c r="CA6" s="217" t="s">
        <v>113</v>
      </c>
      <c r="CB6" s="217" t="s">
        <v>114</v>
      </c>
      <c r="CC6" s="217" t="s">
        <v>115</v>
      </c>
      <c r="CD6" s="217" t="s">
        <v>89</v>
      </c>
      <c r="CE6" s="217" t="s">
        <v>90</v>
      </c>
      <c r="CF6" s="217" t="s">
        <v>91</v>
      </c>
      <c r="CH6" s="217" t="s">
        <v>20</v>
      </c>
      <c r="CI6" s="217" t="s">
        <v>109</v>
      </c>
      <c r="CJ6" s="217" t="s">
        <v>83</v>
      </c>
      <c r="CK6" s="217" t="s">
        <v>21</v>
      </c>
      <c r="CL6" s="217" t="s">
        <v>110</v>
      </c>
      <c r="CM6" s="217" t="s">
        <v>111</v>
      </c>
      <c r="CN6" s="217" t="s">
        <v>116</v>
      </c>
      <c r="CO6" s="217" t="s">
        <v>117</v>
      </c>
      <c r="CP6" s="217" t="s">
        <v>118</v>
      </c>
      <c r="CQ6" s="240" t="s">
        <v>119</v>
      </c>
      <c r="CR6" s="217" t="s">
        <v>10</v>
      </c>
      <c r="CW6" s="217" t="s">
        <v>20</v>
      </c>
      <c r="CX6" s="217" t="s">
        <v>82</v>
      </c>
      <c r="CY6" s="217" t="s">
        <v>80</v>
      </c>
      <c r="CZ6" s="217" t="s">
        <v>81</v>
      </c>
      <c r="DA6" s="217" t="s">
        <v>83</v>
      </c>
      <c r="DB6" s="217" t="s">
        <v>120</v>
      </c>
      <c r="DC6" s="217" t="s">
        <v>121</v>
      </c>
      <c r="DD6" s="217" t="s">
        <v>88</v>
      </c>
      <c r="DE6" s="217" t="s">
        <v>89</v>
      </c>
      <c r="DF6" s="217" t="s">
        <v>90</v>
      </c>
      <c r="DG6" s="217" t="s">
        <v>91</v>
      </c>
      <c r="DH6" s="217" t="s">
        <v>92</v>
      </c>
      <c r="DI6" s="220"/>
      <c r="DJ6" s="217" t="s">
        <v>10</v>
      </c>
      <c r="DM6" s="217" t="s">
        <v>20</v>
      </c>
      <c r="DN6" s="217" t="s">
        <v>82</v>
      </c>
      <c r="DO6" s="217" t="s">
        <v>80</v>
      </c>
      <c r="DP6" s="217" t="s">
        <v>81</v>
      </c>
      <c r="DQ6" s="217" t="s">
        <v>83</v>
      </c>
      <c r="DR6" s="217" t="s">
        <v>120</v>
      </c>
      <c r="DS6" s="217" t="s">
        <v>121</v>
      </c>
      <c r="DT6" s="217" t="s">
        <v>88</v>
      </c>
      <c r="DU6" s="217" t="s">
        <v>89</v>
      </c>
      <c r="DV6" s="217" t="s">
        <v>90</v>
      </c>
      <c r="DW6" s="217" t="s">
        <v>91</v>
      </c>
      <c r="DX6" s="217" t="s">
        <v>92</v>
      </c>
      <c r="DY6" s="220"/>
      <c r="DZ6" s="217" t="s">
        <v>10</v>
      </c>
    </row>
    <row r="7" spans="1:131" s="234" customFormat="1" ht="15.75">
      <c r="A7" s="229">
        <v>1</v>
      </c>
      <c r="B7" s="577"/>
      <c r="C7" s="578"/>
      <c r="D7" s="578"/>
      <c r="E7" s="420"/>
      <c r="F7" s="579" t="s">
        <v>122</v>
      </c>
      <c r="G7" s="578"/>
      <c r="H7" s="578"/>
      <c r="I7" s="597"/>
      <c r="J7" s="585"/>
      <c r="K7" s="585"/>
      <c r="L7" s="585"/>
      <c r="M7" s="598"/>
      <c r="N7" s="230"/>
      <c r="O7" s="13"/>
      <c r="P7" s="13"/>
      <c r="Q7" s="13"/>
      <c r="R7" s="13"/>
      <c r="S7" s="349">
        <f>ROUND(SUM(M7:Q7),0)</f>
        <v>0</v>
      </c>
      <c r="U7" s="13" t="s">
        <v>522</v>
      </c>
      <c r="V7" s="13" t="s">
        <v>523</v>
      </c>
      <c r="W7" s="13"/>
      <c r="X7" s="342">
        <v>376</v>
      </c>
      <c r="Y7" s="13" t="s">
        <v>123</v>
      </c>
      <c r="Z7" s="13">
        <v>48</v>
      </c>
      <c r="AA7" s="13"/>
      <c r="AB7" s="219">
        <f>+Z7*290/1000</f>
        <v>13.92</v>
      </c>
      <c r="AC7" s="349">
        <v>1790114.4</v>
      </c>
      <c r="AD7" s="349">
        <v>12000</v>
      </c>
      <c r="AE7" s="349">
        <v>5169.6000000000004</v>
      </c>
      <c r="AF7" s="349">
        <f>SUM(AC7:AE7)</f>
        <v>1807284</v>
      </c>
      <c r="AG7" s="13"/>
      <c r="AH7" s="13"/>
      <c r="AI7" s="13">
        <f>+AF7*5%</f>
        <v>90364.200000000012</v>
      </c>
      <c r="AJ7" s="626"/>
      <c r="AK7" s="626">
        <f>ROUND(SUM(AF7:AJ7),0)</f>
        <v>1897648</v>
      </c>
      <c r="AM7" s="627">
        <v>1</v>
      </c>
      <c r="AN7" s="419" t="s">
        <v>534</v>
      </c>
      <c r="AO7" s="636"/>
      <c r="AP7" s="637">
        <v>409</v>
      </c>
      <c r="AQ7" s="636"/>
      <c r="AR7" s="638" t="s">
        <v>124</v>
      </c>
      <c r="AS7" s="639">
        <v>160</v>
      </c>
      <c r="AT7" s="640">
        <v>8</v>
      </c>
      <c r="AU7" s="640"/>
      <c r="AV7" s="641">
        <v>1027120</v>
      </c>
      <c r="AW7" s="679">
        <v>25678</v>
      </c>
      <c r="AX7" s="680">
        <f>+AW7</f>
        <v>25678</v>
      </c>
      <c r="AY7" s="660"/>
      <c r="AZ7" s="505"/>
      <c r="BA7" s="639">
        <f>+AZ7*18%</f>
        <v>0</v>
      </c>
      <c r="BB7" s="675">
        <f>ROUND(SUM(AV7:BA7),0)</f>
        <v>1078476</v>
      </c>
      <c r="BD7" s="13" t="s">
        <v>520</v>
      </c>
      <c r="BE7" s="13">
        <v>375</v>
      </c>
      <c r="BF7" s="13"/>
      <c r="BG7" s="13"/>
      <c r="BH7" s="345" t="s">
        <v>521</v>
      </c>
      <c r="BI7" s="702">
        <v>67</v>
      </c>
      <c r="BJ7" s="627"/>
      <c r="BK7" s="221">
        <v>2.7E-2</v>
      </c>
      <c r="BL7" s="13">
        <v>9045</v>
      </c>
      <c r="BM7" s="701">
        <v>226.13</v>
      </c>
      <c r="BN7" s="701">
        <f>+BM7</f>
        <v>226.13</v>
      </c>
      <c r="BO7" s="13"/>
      <c r="BP7" s="13"/>
      <c r="BQ7" s="709">
        <f>SUM(BL7:BO7)</f>
        <v>9497.2599999999984</v>
      </c>
      <c r="BS7" s="342" t="s">
        <v>526</v>
      </c>
      <c r="BT7" s="342">
        <v>62</v>
      </c>
      <c r="BU7" s="342"/>
      <c r="BV7" s="342"/>
      <c r="BW7" s="219">
        <v>7.02</v>
      </c>
      <c r="BX7" s="13">
        <v>200</v>
      </c>
      <c r="BY7" s="13">
        <v>300</v>
      </c>
      <c r="BZ7" s="711"/>
      <c r="CA7" s="13"/>
      <c r="CB7" s="13"/>
      <c r="CC7" s="342">
        <f>BW7*BX7+BY7</f>
        <v>1704</v>
      </c>
      <c r="CD7" s="13"/>
      <c r="CE7" s="13"/>
      <c r="CF7" s="13"/>
      <c r="CH7" s="342" t="s">
        <v>522</v>
      </c>
      <c r="CI7" s="342">
        <v>61</v>
      </c>
      <c r="CJ7" s="342"/>
      <c r="CK7" s="342"/>
      <c r="CL7" s="643">
        <v>6.05</v>
      </c>
      <c r="CM7" s="13">
        <v>600</v>
      </c>
      <c r="CN7" s="219"/>
      <c r="CO7" s="342"/>
      <c r="CP7" s="342">
        <v>500</v>
      </c>
      <c r="CQ7" s="13"/>
      <c r="CR7" s="712">
        <f>SUM(CL7*CM7)+CP7</f>
        <v>4130</v>
      </c>
      <c r="CW7" s="10"/>
      <c r="CX7" s="10"/>
      <c r="CY7" s="10"/>
      <c r="CZ7" s="10"/>
      <c r="DA7" s="208"/>
      <c r="DB7" s="10"/>
      <c r="DC7" s="148"/>
      <c r="DD7" s="10"/>
      <c r="DE7" s="10"/>
      <c r="DF7" s="10"/>
      <c r="DG7" s="10"/>
      <c r="DH7" s="10"/>
      <c r="DI7" s="627"/>
      <c r="DJ7" s="671">
        <f>SUM(DD7:DH7)</f>
        <v>0</v>
      </c>
      <c r="DM7" s="10"/>
      <c r="DN7" s="10"/>
      <c r="DO7" s="10"/>
      <c r="DP7" s="10"/>
      <c r="DQ7" s="208"/>
      <c r="DR7" s="10"/>
      <c r="DS7" s="148"/>
      <c r="DT7" s="10"/>
      <c r="DU7" s="10"/>
      <c r="DV7" s="10"/>
      <c r="DW7" s="10"/>
      <c r="DX7" s="10"/>
      <c r="DY7" s="627"/>
      <c r="DZ7" s="671">
        <f>SUM(DT7:DX7)</f>
        <v>0</v>
      </c>
    </row>
    <row r="8" spans="1:131" ht="30" customHeight="1">
      <c r="A8" s="226">
        <v>2</v>
      </c>
      <c r="B8" s="577"/>
      <c r="C8" s="578"/>
      <c r="D8" s="13"/>
      <c r="E8" s="349"/>
      <c r="F8" s="579" t="s">
        <v>122</v>
      </c>
      <c r="G8" s="13"/>
      <c r="H8" s="578"/>
      <c r="I8" s="219"/>
      <c r="J8" s="587"/>
      <c r="K8" s="587"/>
      <c r="L8" s="587"/>
      <c r="M8" s="598"/>
      <c r="N8" s="230"/>
      <c r="O8" s="13"/>
      <c r="P8" s="13"/>
      <c r="Q8" s="13"/>
      <c r="R8" s="13"/>
      <c r="S8" s="349">
        <f t="shared" ref="S8:S93" si="0">ROUND(SUM(M8:Q8),0)</f>
        <v>0</v>
      </c>
      <c r="T8" s="616"/>
      <c r="U8" s="13" t="s">
        <v>522</v>
      </c>
      <c r="V8" s="13" t="s">
        <v>523</v>
      </c>
      <c r="W8" s="13"/>
      <c r="X8" s="617">
        <v>377</v>
      </c>
      <c r="Y8" s="13" t="s">
        <v>123</v>
      </c>
      <c r="Z8" s="13">
        <v>48</v>
      </c>
      <c r="AA8" s="13"/>
      <c r="AB8" s="219">
        <f t="shared" ref="AB8:AB10" si="1">+Z8*290/1000</f>
        <v>13.92</v>
      </c>
      <c r="AC8" s="349">
        <v>1790114.4</v>
      </c>
      <c r="AD8" s="349">
        <v>12000</v>
      </c>
      <c r="AE8" s="349">
        <v>5169.6000000000004</v>
      </c>
      <c r="AF8" s="349">
        <f t="shared" ref="AF8:AF10" si="2">SUM(AC8:AE8)</f>
        <v>1807284</v>
      </c>
      <c r="AG8" s="13"/>
      <c r="AH8" s="13"/>
      <c r="AI8" s="13">
        <f t="shared" ref="AI8:AI71" si="3">+AF8*5%</f>
        <v>90364.200000000012</v>
      </c>
      <c r="AJ8" s="626"/>
      <c r="AK8" s="626">
        <f t="shared" ref="AK8:AK71" si="4">ROUND(SUM(AF8:AJ8),0)</f>
        <v>1897648</v>
      </c>
      <c r="AL8" s="628"/>
      <c r="AM8" s="628">
        <v>2</v>
      </c>
      <c r="AN8" s="590"/>
      <c r="AO8" s="235"/>
      <c r="AP8" s="10"/>
      <c r="AQ8" s="235"/>
      <c r="AR8" s="642" t="s">
        <v>125</v>
      </c>
      <c r="AS8" s="342"/>
      <c r="AT8" s="643"/>
      <c r="AU8" s="643"/>
      <c r="AV8" s="644"/>
      <c r="AX8" s="680"/>
      <c r="AY8" s="11"/>
      <c r="AZ8" s="505"/>
      <c r="BA8" s="342"/>
      <c r="BB8" s="675">
        <f t="shared" ref="BB8:BB78" si="5">ROUND(SUM(AV8:BA8),0)</f>
        <v>0</v>
      </c>
      <c r="BD8" s="342"/>
      <c r="BE8" s="342"/>
      <c r="BF8" s="342"/>
      <c r="BG8" s="342"/>
      <c r="BH8" s="342"/>
      <c r="BI8" s="703"/>
      <c r="BJ8" s="342"/>
      <c r="BK8" s="221"/>
      <c r="BL8" s="11"/>
      <c r="BM8" s="342"/>
      <c r="BN8" s="342"/>
      <c r="BO8" s="342"/>
      <c r="BP8" s="342"/>
      <c r="BQ8" s="709">
        <f>SUM(BL8:BO8)</f>
        <v>0</v>
      </c>
      <c r="BS8" s="342" t="s">
        <v>533</v>
      </c>
      <c r="BT8" s="342">
        <v>65</v>
      </c>
      <c r="BU8" s="342"/>
      <c r="BV8" s="342"/>
      <c r="BW8" s="219">
        <v>5.88</v>
      </c>
      <c r="BX8" s="13">
        <v>200</v>
      </c>
      <c r="BY8" s="342">
        <v>100</v>
      </c>
      <c r="BZ8" s="711"/>
      <c r="CA8" s="13"/>
      <c r="CB8" s="13"/>
      <c r="CC8" s="342">
        <f>BW8*BX8+BY8</f>
        <v>1276</v>
      </c>
      <c r="CD8" s="342"/>
      <c r="CE8" s="342"/>
      <c r="CF8" s="342"/>
      <c r="CH8" s="342" t="s">
        <v>527</v>
      </c>
      <c r="CI8" s="342">
        <v>63</v>
      </c>
      <c r="CJ8" s="342"/>
      <c r="CK8" s="342"/>
      <c r="CL8" s="643">
        <v>5.12</v>
      </c>
      <c r="CM8" s="13">
        <v>600</v>
      </c>
      <c r="CN8" s="643"/>
      <c r="CO8" s="342"/>
      <c r="CP8" s="342">
        <v>400</v>
      </c>
      <c r="CQ8" s="342"/>
      <c r="CR8" s="342">
        <f t="shared" ref="CR8:CR93" si="6">SUM(CL8*CM8)+CP8</f>
        <v>3472</v>
      </c>
      <c r="CW8" s="129"/>
      <c r="CX8" s="129"/>
      <c r="CY8" s="129"/>
      <c r="CZ8" s="129"/>
      <c r="DA8" s="208"/>
      <c r="DB8" s="10"/>
      <c r="DC8" s="130"/>
      <c r="DD8" s="129"/>
      <c r="DE8" s="129"/>
      <c r="DF8" s="129"/>
      <c r="DG8" s="10"/>
      <c r="DH8" s="10"/>
      <c r="DI8" s="170"/>
      <c r="DJ8" s="671">
        <f t="shared" ref="DJ8:DJ92" si="7">SUM(DD8:DH8)</f>
        <v>0</v>
      </c>
      <c r="DM8" s="129"/>
      <c r="DN8" s="129"/>
      <c r="DO8" s="129"/>
      <c r="DP8" s="129"/>
      <c r="DQ8" s="208"/>
      <c r="DR8" s="10"/>
      <c r="DS8" s="130"/>
      <c r="DT8" s="129"/>
      <c r="DU8" s="129"/>
      <c r="DV8" s="129"/>
      <c r="DW8" s="10"/>
      <c r="DX8" s="10"/>
      <c r="DY8" s="170"/>
      <c r="DZ8" s="671">
        <f>SUM(DT8:DX8)</f>
        <v>0</v>
      </c>
    </row>
    <row r="9" spans="1:131" ht="30" customHeight="1">
      <c r="A9" s="229">
        <v>3</v>
      </c>
      <c r="B9" s="577"/>
      <c r="C9" s="578"/>
      <c r="D9" s="13"/>
      <c r="E9" s="349"/>
      <c r="F9" s="579" t="s">
        <v>122</v>
      </c>
      <c r="G9" s="13"/>
      <c r="H9" s="578"/>
      <c r="I9" s="219"/>
      <c r="J9" s="587"/>
      <c r="K9" s="587"/>
      <c r="L9" s="587"/>
      <c r="M9" s="598"/>
      <c r="N9" s="230"/>
      <c r="O9" s="13"/>
      <c r="P9" s="13"/>
      <c r="Q9" s="13"/>
      <c r="R9" s="13"/>
      <c r="S9" s="349">
        <f t="shared" si="0"/>
        <v>0</v>
      </c>
      <c r="T9" s="616"/>
      <c r="U9" s="13" t="s">
        <v>522</v>
      </c>
      <c r="V9" s="13" t="s">
        <v>523</v>
      </c>
      <c r="W9" s="346"/>
      <c r="X9" s="617">
        <v>378</v>
      </c>
      <c r="Y9" s="13" t="s">
        <v>123</v>
      </c>
      <c r="Z9" s="13">
        <v>48</v>
      </c>
      <c r="AA9" s="13"/>
      <c r="AB9" s="219">
        <f t="shared" si="1"/>
        <v>13.92</v>
      </c>
      <c r="AC9" s="349">
        <v>1790114.4</v>
      </c>
      <c r="AD9" s="349">
        <v>12000</v>
      </c>
      <c r="AE9" s="349">
        <v>5169.6000000000004</v>
      </c>
      <c r="AF9" s="349">
        <f t="shared" si="2"/>
        <v>1807284</v>
      </c>
      <c r="AG9" s="13"/>
      <c r="AH9" s="13"/>
      <c r="AI9" s="13">
        <f t="shared" si="3"/>
        <v>90364.200000000012</v>
      </c>
      <c r="AJ9" s="626"/>
      <c r="AK9" s="626">
        <f t="shared" si="4"/>
        <v>1897648</v>
      </c>
      <c r="AL9" s="628"/>
      <c r="AM9" s="627">
        <v>3</v>
      </c>
      <c r="AN9" s="590"/>
      <c r="AO9" s="235"/>
      <c r="AP9" s="10"/>
      <c r="AQ9" s="235"/>
      <c r="AR9" s="638" t="s">
        <v>124</v>
      </c>
      <c r="AS9" s="342"/>
      <c r="AT9" s="643"/>
      <c r="AU9" s="643"/>
      <c r="AV9" s="644"/>
      <c r="AX9" s="680">
        <f t="shared" ref="AX9:AX10" si="8">+AW9</f>
        <v>0</v>
      </c>
      <c r="AY9" s="11"/>
      <c r="AZ9" s="505"/>
      <c r="BA9" s="342"/>
      <c r="BB9" s="675">
        <f t="shared" si="5"/>
        <v>0</v>
      </c>
      <c r="BD9" s="342"/>
      <c r="BE9" s="342"/>
      <c r="BF9" s="342"/>
      <c r="BG9" s="342"/>
      <c r="BH9" s="342"/>
      <c r="BI9" s="703"/>
      <c r="BJ9" s="342"/>
      <c r="BK9" s="221"/>
      <c r="BL9" s="11"/>
      <c r="BM9" s="342"/>
      <c r="BN9" s="342"/>
      <c r="BO9" s="342"/>
      <c r="BP9" s="342"/>
      <c r="BQ9" s="349"/>
      <c r="BS9" s="342" t="s">
        <v>538</v>
      </c>
      <c r="BT9" s="342">
        <v>66</v>
      </c>
      <c r="BU9" s="342"/>
      <c r="BV9" s="342"/>
      <c r="BW9" s="219">
        <v>6.96</v>
      </c>
      <c r="BX9" s="13">
        <v>300</v>
      </c>
      <c r="BY9" s="342"/>
      <c r="BZ9" s="711"/>
      <c r="CA9" s="13" t="s">
        <v>539</v>
      </c>
      <c r="CB9" s="13" t="s">
        <v>119</v>
      </c>
      <c r="CC9" s="712">
        <f t="shared" ref="CC9:CC12" si="9">BW9*BX9+BY9</f>
        <v>2088</v>
      </c>
      <c r="CD9" s="342"/>
      <c r="CE9" s="342"/>
      <c r="CF9" s="342"/>
      <c r="CH9" s="342" t="s">
        <v>532</v>
      </c>
      <c r="CI9" s="342">
        <v>64</v>
      </c>
      <c r="CJ9" s="342"/>
      <c r="CK9" s="342"/>
      <c r="CL9" s="643">
        <v>1.31</v>
      </c>
      <c r="CM9" s="13">
        <v>600</v>
      </c>
      <c r="CN9" s="643"/>
      <c r="CO9" s="342"/>
      <c r="CP9" s="342">
        <v>100</v>
      </c>
      <c r="CQ9" s="342"/>
      <c r="CR9" s="342">
        <f t="shared" si="6"/>
        <v>886</v>
      </c>
      <c r="CW9" s="129"/>
      <c r="CX9" s="129"/>
      <c r="CY9" s="129"/>
      <c r="CZ9" s="129"/>
      <c r="DA9" s="208"/>
      <c r="DB9" s="10"/>
      <c r="DC9" s="130"/>
      <c r="DD9" s="129"/>
      <c r="DE9" s="129"/>
      <c r="DF9" s="129"/>
      <c r="DG9" s="10"/>
      <c r="DH9" s="10"/>
      <c r="DI9" s="170"/>
      <c r="DJ9" s="671"/>
      <c r="DM9" s="129"/>
      <c r="DN9" s="129"/>
      <c r="DO9" s="129"/>
      <c r="DP9" s="129"/>
      <c r="DQ9" s="208"/>
      <c r="DR9" s="10"/>
      <c r="DS9" s="130"/>
      <c r="DT9" s="129"/>
      <c r="DU9" s="129"/>
      <c r="DV9" s="129"/>
      <c r="DW9" s="10"/>
      <c r="DX9" s="10"/>
      <c r="DY9" s="170"/>
      <c r="DZ9" s="671"/>
    </row>
    <row r="10" spans="1:131" ht="30" customHeight="1">
      <c r="A10" s="229"/>
      <c r="B10" s="580"/>
      <c r="C10" s="13"/>
      <c r="D10" s="13"/>
      <c r="E10" s="349"/>
      <c r="F10" s="579" t="s">
        <v>122</v>
      </c>
      <c r="G10" s="13"/>
      <c r="H10" s="13"/>
      <c r="I10" s="219"/>
      <c r="J10" s="587"/>
      <c r="K10" s="587"/>
      <c r="L10" s="587"/>
      <c r="M10" s="599"/>
      <c r="N10" s="230"/>
      <c r="O10" s="13"/>
      <c r="P10" s="13"/>
      <c r="Q10" s="13"/>
      <c r="R10" s="13"/>
      <c r="S10" s="349">
        <f t="shared" si="0"/>
        <v>0</v>
      </c>
      <c r="T10" s="616"/>
      <c r="U10" s="13" t="s">
        <v>522</v>
      </c>
      <c r="V10" s="13" t="s">
        <v>523</v>
      </c>
      <c r="W10" s="346"/>
      <c r="X10" s="617">
        <v>379</v>
      </c>
      <c r="Y10" s="13" t="s">
        <v>123</v>
      </c>
      <c r="Z10" s="13">
        <v>48</v>
      </c>
      <c r="AA10" s="13"/>
      <c r="AB10" s="219">
        <f t="shared" si="1"/>
        <v>13.92</v>
      </c>
      <c r="AC10" s="349">
        <v>1790114.4</v>
      </c>
      <c r="AD10" s="349">
        <v>12000</v>
      </c>
      <c r="AE10" s="349">
        <v>5169.6000000000004</v>
      </c>
      <c r="AF10" s="349">
        <f t="shared" si="2"/>
        <v>1807284</v>
      </c>
      <c r="AG10" s="13"/>
      <c r="AH10" s="13"/>
      <c r="AI10" s="13">
        <f t="shared" si="3"/>
        <v>90364.200000000012</v>
      </c>
      <c r="AJ10" s="626"/>
      <c r="AK10" s="626">
        <f t="shared" si="4"/>
        <v>1897648</v>
      </c>
      <c r="AL10" s="628"/>
      <c r="AM10" s="627"/>
      <c r="AN10" s="590"/>
      <c r="AO10" s="235"/>
      <c r="AP10" s="10"/>
      <c r="AQ10" s="235"/>
      <c r="AR10" s="638"/>
      <c r="AS10" s="342"/>
      <c r="AT10" s="643"/>
      <c r="AU10" s="643"/>
      <c r="AV10" s="644"/>
      <c r="AX10" s="680">
        <f t="shared" si="8"/>
        <v>0</v>
      </c>
      <c r="AY10" s="11"/>
      <c r="AZ10" s="505"/>
      <c r="BA10" s="342"/>
      <c r="BB10" s="675">
        <f t="shared" si="5"/>
        <v>0</v>
      </c>
      <c r="BD10" s="342"/>
      <c r="BE10" s="342"/>
      <c r="BF10" s="342"/>
      <c r="BG10" s="342"/>
      <c r="BH10" s="342"/>
      <c r="BI10" s="703"/>
      <c r="BJ10" s="342"/>
      <c r="BK10" s="221"/>
      <c r="BL10" s="11"/>
      <c r="BM10" s="342"/>
      <c r="BN10" s="342"/>
      <c r="BO10" s="342"/>
      <c r="BP10" s="342"/>
      <c r="BQ10" s="349"/>
      <c r="BS10" s="342"/>
      <c r="BT10" s="342"/>
      <c r="BU10" s="342"/>
      <c r="BV10" s="342"/>
      <c r="BW10" s="219"/>
      <c r="BX10" s="13"/>
      <c r="BY10" s="342"/>
      <c r="BZ10" s="711"/>
      <c r="CA10" s="13"/>
      <c r="CB10" s="13"/>
      <c r="CC10" s="342">
        <f t="shared" si="9"/>
        <v>0</v>
      </c>
      <c r="CD10" s="342"/>
      <c r="CE10" s="342"/>
      <c r="CF10" s="342"/>
      <c r="CH10" s="342"/>
      <c r="CI10" s="342"/>
      <c r="CJ10" s="342"/>
      <c r="CK10" s="342"/>
      <c r="CL10" s="643"/>
      <c r="CM10" s="13"/>
      <c r="CN10" s="643"/>
      <c r="CO10" s="342"/>
      <c r="CP10" s="342"/>
      <c r="CQ10" s="342"/>
      <c r="CR10" s="342">
        <f t="shared" si="6"/>
        <v>0</v>
      </c>
      <c r="CW10" s="129"/>
      <c r="CX10" s="129"/>
      <c r="CY10" s="129"/>
      <c r="CZ10" s="129"/>
      <c r="DA10" s="208"/>
      <c r="DB10" s="10"/>
      <c r="DC10" s="130"/>
      <c r="DD10" s="129"/>
      <c r="DE10" s="129"/>
      <c r="DF10" s="129"/>
      <c r="DG10" s="10"/>
      <c r="DH10" s="10"/>
      <c r="DI10" s="170"/>
      <c r="DJ10" s="671"/>
      <c r="DM10" s="129"/>
      <c r="DN10" s="129"/>
      <c r="DO10" s="129"/>
      <c r="DP10" s="129"/>
      <c r="DQ10" s="208"/>
      <c r="DR10" s="10"/>
      <c r="DS10" s="130"/>
      <c r="DT10" s="129"/>
      <c r="DU10" s="129"/>
      <c r="DV10" s="129"/>
      <c r="DW10" s="10"/>
      <c r="DX10" s="10"/>
      <c r="DY10" s="170"/>
      <c r="DZ10" s="671"/>
    </row>
    <row r="11" spans="1:131" ht="30" customHeight="1">
      <c r="A11" s="226">
        <v>4</v>
      </c>
      <c r="B11" s="580"/>
      <c r="C11" s="13"/>
      <c r="D11" s="13"/>
      <c r="E11" s="349"/>
      <c r="F11" s="579" t="s">
        <v>122</v>
      </c>
      <c r="G11" s="13"/>
      <c r="H11" s="13"/>
      <c r="I11" s="219"/>
      <c r="J11" s="587"/>
      <c r="K11" s="587"/>
      <c r="L11" s="587"/>
      <c r="M11" s="600"/>
      <c r="N11" s="230"/>
      <c r="O11" s="13">
        <f>+N11</f>
        <v>0</v>
      </c>
      <c r="P11" s="13"/>
      <c r="Q11" s="13"/>
      <c r="R11" s="13"/>
      <c r="S11" s="349">
        <f t="shared" si="0"/>
        <v>0</v>
      </c>
      <c r="T11" s="616"/>
      <c r="U11" s="13" t="s">
        <v>522</v>
      </c>
      <c r="V11" s="13" t="s">
        <v>523</v>
      </c>
      <c r="W11" s="346"/>
      <c r="X11" s="617">
        <v>380</v>
      </c>
      <c r="Y11" s="13" t="s">
        <v>123</v>
      </c>
      <c r="Z11" s="13">
        <v>48</v>
      </c>
      <c r="AA11" s="13"/>
      <c r="AB11" s="219">
        <f t="shared" ref="AB11:AB73" si="10">+Z11*290/1000</f>
        <v>13.92</v>
      </c>
      <c r="AC11" s="349">
        <v>1790114.4</v>
      </c>
      <c r="AD11" s="349">
        <v>12000</v>
      </c>
      <c r="AE11" s="349">
        <v>5169.6000000000004</v>
      </c>
      <c r="AF11" s="349">
        <f t="shared" ref="AF11" si="11">SUM(AC11:AE11)</f>
        <v>1807284</v>
      </c>
      <c r="AG11" s="13"/>
      <c r="AH11" s="13"/>
      <c r="AI11" s="13">
        <f t="shared" si="3"/>
        <v>90364.200000000012</v>
      </c>
      <c r="AJ11" s="626"/>
      <c r="AK11" s="626">
        <f t="shared" si="4"/>
        <v>1897648</v>
      </c>
      <c r="AL11" s="628"/>
      <c r="AM11" s="628">
        <v>4</v>
      </c>
      <c r="AN11" s="590"/>
      <c r="AO11" s="235"/>
      <c r="AP11" s="10"/>
      <c r="AQ11" s="235"/>
      <c r="AR11" s="638" t="s">
        <v>124</v>
      </c>
      <c r="AS11" s="342"/>
      <c r="AT11" s="643"/>
      <c r="AU11" s="643"/>
      <c r="AV11" s="644"/>
      <c r="AX11" s="13"/>
      <c r="AY11" s="11"/>
      <c r="AZ11" s="505"/>
      <c r="BA11" s="342"/>
      <c r="BB11" s="675">
        <f t="shared" si="5"/>
        <v>0</v>
      </c>
      <c r="BD11" s="342"/>
      <c r="BE11" s="342"/>
      <c r="BF11" s="342"/>
      <c r="BG11" s="342"/>
      <c r="BH11" s="342"/>
      <c r="BI11" s="703"/>
      <c r="BJ11" s="342"/>
      <c r="BK11" s="221"/>
      <c r="BL11" s="11"/>
      <c r="BM11" s="342"/>
      <c r="BN11" s="342"/>
      <c r="BO11" s="342"/>
      <c r="BP11" s="342"/>
      <c r="BQ11" s="349"/>
      <c r="BS11" s="342"/>
      <c r="BT11" s="342"/>
      <c r="BU11" s="342"/>
      <c r="BV11" s="342"/>
      <c r="BW11" s="219"/>
      <c r="BX11" s="13"/>
      <c r="BY11" s="342"/>
      <c r="BZ11" s="711"/>
      <c r="CA11" s="13"/>
      <c r="CB11" s="13"/>
      <c r="CC11" s="342">
        <f t="shared" si="9"/>
        <v>0</v>
      </c>
      <c r="CD11" s="342"/>
      <c r="CE11" s="342"/>
      <c r="CF11" s="342"/>
      <c r="CH11" s="342"/>
      <c r="CI11" s="342"/>
      <c r="CJ11" s="342"/>
      <c r="CK11" s="342"/>
      <c r="CL11" s="643"/>
      <c r="CM11" s="13"/>
      <c r="CN11" s="643"/>
      <c r="CO11" s="342"/>
      <c r="CP11" s="342"/>
      <c r="CQ11" s="342"/>
      <c r="CR11" s="342"/>
      <c r="CW11" s="129"/>
      <c r="CX11" s="129"/>
      <c r="CY11" s="129"/>
      <c r="CZ11" s="129"/>
      <c r="DA11" s="208"/>
      <c r="DB11" s="10"/>
      <c r="DC11" s="130"/>
      <c r="DD11" s="129"/>
      <c r="DE11" s="129"/>
      <c r="DF11" s="129"/>
      <c r="DG11" s="10"/>
      <c r="DH11" s="10"/>
      <c r="DI11" s="170"/>
      <c r="DJ11" s="671"/>
      <c r="DM11" s="129"/>
      <c r="DN11" s="129"/>
      <c r="DO11" s="129"/>
      <c r="DP11" s="129"/>
      <c r="DQ11" s="208"/>
      <c r="DR11" s="10"/>
      <c r="DS11" s="130"/>
      <c r="DT11" s="129"/>
      <c r="DU11" s="129"/>
      <c r="DV11" s="129"/>
      <c r="DW11" s="10"/>
      <c r="DX11" s="10"/>
      <c r="DY11" s="170"/>
      <c r="DZ11" s="671"/>
    </row>
    <row r="12" spans="1:131" ht="30" customHeight="1">
      <c r="A12" s="229"/>
      <c r="B12" s="985" t="s">
        <v>10</v>
      </c>
      <c r="C12" s="986"/>
      <c r="D12" s="986"/>
      <c r="E12" s="986"/>
      <c r="F12" s="987"/>
      <c r="G12" s="581">
        <f>SUM(G7:G11)</f>
        <v>0</v>
      </c>
      <c r="H12" s="581">
        <f>SUM(H7:H11)</f>
        <v>0</v>
      </c>
      <c r="I12" s="601"/>
      <c r="J12" s="602"/>
      <c r="K12" s="602"/>
      <c r="L12" s="602"/>
      <c r="M12" s="603">
        <f>SUM(M7:M11)</f>
        <v>0</v>
      </c>
      <c r="N12" s="230"/>
      <c r="O12" s="13"/>
      <c r="P12" s="13"/>
      <c r="Q12" s="13"/>
      <c r="R12" s="13"/>
      <c r="S12" s="349"/>
      <c r="T12" s="616"/>
      <c r="U12" s="13" t="s">
        <v>522</v>
      </c>
      <c r="V12" s="13" t="s">
        <v>523</v>
      </c>
      <c r="W12" s="346"/>
      <c r="X12" s="617">
        <v>381</v>
      </c>
      <c r="Y12" s="13" t="s">
        <v>123</v>
      </c>
      <c r="Z12" s="13">
        <v>48</v>
      </c>
      <c r="AA12" s="13"/>
      <c r="AB12" s="219">
        <f t="shared" si="10"/>
        <v>13.92</v>
      </c>
      <c r="AC12" s="349">
        <v>1790114.4</v>
      </c>
      <c r="AD12" s="349">
        <v>12000</v>
      </c>
      <c r="AE12" s="349">
        <v>5169.6000000000004</v>
      </c>
      <c r="AF12" s="349">
        <f t="shared" ref="AF12:AF15" si="12">SUM(AC12:AE12)</f>
        <v>1807284</v>
      </c>
      <c r="AG12" s="13"/>
      <c r="AH12" s="13"/>
      <c r="AI12" s="13">
        <f t="shared" ref="AI12:AI15" si="13">+AF12*5%</f>
        <v>90364.200000000012</v>
      </c>
      <c r="AJ12" s="626"/>
      <c r="AK12" s="626">
        <f t="shared" si="4"/>
        <v>1897648</v>
      </c>
      <c r="AL12" s="628"/>
      <c r="AM12" s="627">
        <v>5</v>
      </c>
      <c r="AN12" s="590"/>
      <c r="AO12" s="235"/>
      <c r="AP12" s="10"/>
      <c r="AQ12" s="235"/>
      <c r="AR12" s="638" t="s">
        <v>124</v>
      </c>
      <c r="AS12" s="342"/>
      <c r="AT12" s="643"/>
      <c r="AU12" s="643"/>
      <c r="AV12" s="644"/>
      <c r="AX12" s="13"/>
      <c r="AY12" s="11"/>
      <c r="AZ12" s="505"/>
      <c r="BA12" s="342"/>
      <c r="BB12" s="675">
        <f t="shared" si="5"/>
        <v>0</v>
      </c>
      <c r="BD12" s="342"/>
      <c r="BE12" s="342"/>
      <c r="BF12" s="342"/>
      <c r="BG12" s="342"/>
      <c r="BH12" s="342"/>
      <c r="BI12" s="703"/>
      <c r="BJ12" s="342"/>
      <c r="BK12" s="221"/>
      <c r="BL12" s="11"/>
      <c r="BM12" s="342"/>
      <c r="BN12" s="342"/>
      <c r="BO12" s="342"/>
      <c r="BP12" s="342"/>
      <c r="BQ12" s="349"/>
      <c r="BS12" s="342"/>
      <c r="BT12" s="342"/>
      <c r="BU12" s="342"/>
      <c r="BV12" s="342"/>
      <c r="BW12" s="219"/>
      <c r="BX12" s="13"/>
      <c r="BY12" s="342"/>
      <c r="BZ12" s="711"/>
      <c r="CA12" s="13"/>
      <c r="CB12" s="13"/>
      <c r="CC12" s="342">
        <f t="shared" si="9"/>
        <v>0</v>
      </c>
      <c r="CD12" s="342"/>
      <c r="CE12" s="342"/>
      <c r="CF12" s="342"/>
      <c r="CH12" s="342"/>
      <c r="CI12" s="342"/>
      <c r="CJ12" s="342"/>
      <c r="CK12" s="342"/>
      <c r="CL12" s="643"/>
      <c r="CM12" s="13"/>
      <c r="CN12" s="643"/>
      <c r="CO12" s="342"/>
      <c r="CP12" s="342"/>
      <c r="CQ12" s="342"/>
      <c r="CR12" s="342"/>
      <c r="CW12" s="129"/>
      <c r="CX12" s="129"/>
      <c r="CY12" s="129"/>
      <c r="CZ12" s="129"/>
      <c r="DA12" s="208"/>
      <c r="DB12" s="10"/>
      <c r="DC12" s="130"/>
      <c r="DD12" s="129"/>
      <c r="DE12" s="129"/>
      <c r="DF12" s="129"/>
      <c r="DG12" s="10"/>
      <c r="DH12" s="10"/>
      <c r="DI12" s="170"/>
      <c r="DJ12" s="671"/>
      <c r="DM12" s="129"/>
      <c r="DN12" s="129"/>
      <c r="DO12" s="129"/>
      <c r="DP12" s="129"/>
      <c r="DQ12" s="208"/>
      <c r="DR12" s="10"/>
      <c r="DS12" s="130"/>
      <c r="DT12" s="129"/>
      <c r="DU12" s="129"/>
      <c r="DV12" s="129"/>
      <c r="DW12" s="10"/>
      <c r="DX12" s="10"/>
      <c r="DY12" s="170"/>
      <c r="DZ12" s="671"/>
    </row>
    <row r="13" spans="1:131" ht="30" customHeight="1">
      <c r="A13" s="226">
        <v>5</v>
      </c>
      <c r="B13" s="577"/>
      <c r="C13" s="578"/>
      <c r="D13" s="578"/>
      <c r="E13" s="420"/>
      <c r="F13" s="579" t="s">
        <v>126</v>
      </c>
      <c r="G13" s="578"/>
      <c r="H13" s="578"/>
      <c r="I13" s="597"/>
      <c r="J13" s="585"/>
      <c r="K13" s="585"/>
      <c r="L13" s="585"/>
      <c r="M13" s="598"/>
      <c r="N13" s="230"/>
      <c r="O13" s="13"/>
      <c r="P13" s="13"/>
      <c r="Q13" s="13"/>
      <c r="R13" s="13"/>
      <c r="S13" s="349">
        <f t="shared" si="0"/>
        <v>0</v>
      </c>
      <c r="T13" s="616"/>
      <c r="U13" s="13" t="s">
        <v>522</v>
      </c>
      <c r="V13" s="13" t="s">
        <v>523</v>
      </c>
      <c r="W13" s="346"/>
      <c r="X13" s="617">
        <v>382</v>
      </c>
      <c r="Y13" s="13" t="s">
        <v>123</v>
      </c>
      <c r="Z13" s="13">
        <v>48</v>
      </c>
      <c r="AA13" s="13"/>
      <c r="AB13" s="219">
        <f t="shared" si="10"/>
        <v>13.92</v>
      </c>
      <c r="AC13" s="349">
        <v>1790114.4</v>
      </c>
      <c r="AD13" s="349">
        <v>12000</v>
      </c>
      <c r="AE13" s="349">
        <v>5169.6000000000004</v>
      </c>
      <c r="AF13" s="349">
        <f t="shared" si="12"/>
        <v>1807284</v>
      </c>
      <c r="AG13" s="13"/>
      <c r="AH13" s="13"/>
      <c r="AI13" s="13">
        <f t="shared" si="13"/>
        <v>90364.200000000012</v>
      </c>
      <c r="AJ13" s="626"/>
      <c r="AK13" s="626">
        <f t="shared" si="4"/>
        <v>1897648</v>
      </c>
      <c r="AL13" s="628"/>
      <c r="AM13" s="628">
        <v>6</v>
      </c>
      <c r="AN13" s="590"/>
      <c r="AO13" s="235"/>
      <c r="AP13" s="10"/>
      <c r="AQ13" s="235"/>
      <c r="AR13" s="638" t="s">
        <v>124</v>
      </c>
      <c r="AS13" s="342"/>
      <c r="AT13" s="643"/>
      <c r="AU13" s="643"/>
      <c r="AV13" s="644"/>
      <c r="AX13" s="13"/>
      <c r="AY13" s="11"/>
      <c r="AZ13" s="505"/>
      <c r="BA13" s="342"/>
      <c r="BB13" s="675">
        <f t="shared" si="5"/>
        <v>0</v>
      </c>
      <c r="BD13" s="342"/>
      <c r="BE13" s="342"/>
      <c r="BF13" s="342"/>
      <c r="BG13" s="342"/>
      <c r="BH13" s="342"/>
      <c r="BI13" s="703"/>
      <c r="BJ13" s="342"/>
      <c r="BK13" s="221"/>
      <c r="BL13" s="11"/>
      <c r="BM13" s="342"/>
      <c r="BN13" s="342"/>
      <c r="BO13" s="342"/>
      <c r="BP13" s="342"/>
      <c r="BQ13" s="349"/>
      <c r="BS13" s="342"/>
      <c r="BT13" s="342"/>
      <c r="BU13" s="342"/>
      <c r="BV13" s="342"/>
      <c r="BW13" s="219"/>
      <c r="BX13" s="13"/>
      <c r="BY13" s="342"/>
      <c r="BZ13" s="711"/>
      <c r="CA13" s="13"/>
      <c r="CB13" s="13"/>
      <c r="CC13" s="342"/>
      <c r="CD13" s="342"/>
      <c r="CE13" s="342"/>
      <c r="CF13" s="342"/>
      <c r="CH13" s="342"/>
      <c r="CI13" s="342"/>
      <c r="CJ13" s="342"/>
      <c r="CK13" s="342"/>
      <c r="CL13" s="643"/>
      <c r="CM13" s="13"/>
      <c r="CN13" s="643"/>
      <c r="CO13" s="342"/>
      <c r="CP13" s="342"/>
      <c r="CQ13" s="342"/>
      <c r="CR13" s="342"/>
      <c r="CW13" s="129"/>
      <c r="CX13" s="129"/>
      <c r="CY13" s="129"/>
      <c r="CZ13" s="129"/>
      <c r="DA13" s="208"/>
      <c r="DB13" s="10"/>
      <c r="DC13" s="130"/>
      <c r="DD13" s="129"/>
      <c r="DE13" s="129"/>
      <c r="DF13" s="129"/>
      <c r="DG13" s="10"/>
      <c r="DH13" s="10"/>
      <c r="DI13" s="170"/>
      <c r="DJ13" s="671"/>
      <c r="DM13" s="129"/>
      <c r="DN13" s="129"/>
      <c r="DO13" s="129"/>
      <c r="DP13" s="129"/>
      <c r="DQ13" s="208"/>
      <c r="DR13" s="10"/>
      <c r="DS13" s="130"/>
      <c r="DT13" s="129"/>
      <c r="DU13" s="129"/>
      <c r="DV13" s="129"/>
      <c r="DW13" s="10"/>
      <c r="DX13" s="10"/>
      <c r="DY13" s="170"/>
      <c r="DZ13" s="671"/>
    </row>
    <row r="14" spans="1:131" ht="30" customHeight="1">
      <c r="A14" s="229">
        <v>6</v>
      </c>
      <c r="B14" s="577"/>
      <c r="C14" s="578"/>
      <c r="D14" s="13"/>
      <c r="E14" s="349"/>
      <c r="F14" s="579" t="s">
        <v>126</v>
      </c>
      <c r="G14" s="13"/>
      <c r="H14" s="13"/>
      <c r="I14" s="219"/>
      <c r="J14" s="587"/>
      <c r="K14" s="587"/>
      <c r="L14" s="587"/>
      <c r="M14" s="598"/>
      <c r="N14" s="230"/>
      <c r="O14" s="13"/>
      <c r="P14" s="13"/>
      <c r="Q14" s="13"/>
      <c r="R14" s="13"/>
      <c r="S14" s="349">
        <f t="shared" si="0"/>
        <v>0</v>
      </c>
      <c r="T14" s="616"/>
      <c r="U14" s="13" t="s">
        <v>525</v>
      </c>
      <c r="V14" s="13" t="s">
        <v>523</v>
      </c>
      <c r="W14" s="346"/>
      <c r="X14" s="617">
        <v>386</v>
      </c>
      <c r="Y14" s="13" t="s">
        <v>123</v>
      </c>
      <c r="Z14" s="13">
        <v>48</v>
      </c>
      <c r="AA14" s="13"/>
      <c r="AB14" s="219">
        <f t="shared" si="10"/>
        <v>13.92</v>
      </c>
      <c r="AC14" s="349">
        <v>1790114.4</v>
      </c>
      <c r="AD14" s="349">
        <v>12000</v>
      </c>
      <c r="AE14" s="349">
        <v>5169.6000000000004</v>
      </c>
      <c r="AF14" s="349">
        <f t="shared" si="12"/>
        <v>1807284</v>
      </c>
      <c r="AG14" s="13"/>
      <c r="AH14" s="13"/>
      <c r="AI14" s="13">
        <f t="shared" si="13"/>
        <v>90364.200000000012</v>
      </c>
      <c r="AJ14" s="626"/>
      <c r="AK14" s="626">
        <f t="shared" si="4"/>
        <v>1897648</v>
      </c>
      <c r="AL14" s="628"/>
      <c r="AM14" s="627">
        <v>7</v>
      </c>
      <c r="AN14" s="590"/>
      <c r="AO14" s="235"/>
      <c r="AP14" s="10"/>
      <c r="AQ14" s="235"/>
      <c r="AR14" s="638" t="s">
        <v>124</v>
      </c>
      <c r="AS14" s="342"/>
      <c r="AT14" s="643"/>
      <c r="AU14" s="643"/>
      <c r="AV14" s="644"/>
      <c r="AX14" s="13"/>
      <c r="AY14" s="11"/>
      <c r="AZ14" s="505"/>
      <c r="BA14" s="342"/>
      <c r="BB14" s="675">
        <f t="shared" si="5"/>
        <v>0</v>
      </c>
      <c r="BD14" s="342"/>
      <c r="BE14" s="342"/>
      <c r="BF14" s="342"/>
      <c r="BG14" s="342"/>
      <c r="BH14" s="342"/>
      <c r="BI14" s="703"/>
      <c r="BJ14" s="342"/>
      <c r="BK14" s="221"/>
      <c r="BL14" s="11"/>
      <c r="BM14" s="342"/>
      <c r="BN14" s="342"/>
      <c r="BO14" s="342"/>
      <c r="BP14" s="342"/>
      <c r="BQ14" s="349"/>
      <c r="BS14" s="342"/>
      <c r="BT14" s="342"/>
      <c r="BU14" s="342"/>
      <c r="BV14" s="342"/>
      <c r="BW14" s="219"/>
      <c r="BX14" s="13"/>
      <c r="BY14" s="342"/>
      <c r="BZ14" s="711"/>
      <c r="CA14" s="13"/>
      <c r="CB14" s="13"/>
      <c r="CC14" s="342"/>
      <c r="CD14" s="342"/>
      <c r="CE14" s="342"/>
      <c r="CF14" s="342"/>
      <c r="CH14" s="342"/>
      <c r="CI14" s="342"/>
      <c r="CJ14" s="342"/>
      <c r="CK14" s="342"/>
      <c r="CL14" s="643"/>
      <c r="CM14" s="13"/>
      <c r="CN14" s="643"/>
      <c r="CO14" s="342"/>
      <c r="CP14" s="342"/>
      <c r="CQ14" s="342"/>
      <c r="CR14" s="342"/>
      <c r="CW14" s="129"/>
      <c r="CX14" s="129"/>
      <c r="CY14" s="129"/>
      <c r="CZ14" s="129"/>
      <c r="DA14" s="208"/>
      <c r="DB14" s="10"/>
      <c r="DC14" s="130"/>
      <c r="DD14" s="129"/>
      <c r="DE14" s="129"/>
      <c r="DF14" s="129"/>
      <c r="DG14" s="10"/>
      <c r="DH14" s="10"/>
      <c r="DI14" s="170"/>
      <c r="DJ14" s="671"/>
      <c r="DM14" s="129"/>
      <c r="DN14" s="129"/>
      <c r="DO14" s="129"/>
      <c r="DP14" s="129"/>
      <c r="DQ14" s="208"/>
      <c r="DR14" s="10"/>
      <c r="DS14" s="130"/>
      <c r="DT14" s="129"/>
      <c r="DU14" s="129"/>
      <c r="DV14" s="129"/>
      <c r="DW14" s="10"/>
      <c r="DX14" s="10"/>
      <c r="DY14" s="170"/>
      <c r="DZ14" s="671"/>
    </row>
    <row r="15" spans="1:131" ht="30" customHeight="1">
      <c r="A15" s="226">
        <v>7</v>
      </c>
      <c r="B15" s="580"/>
      <c r="C15" s="13"/>
      <c r="D15" s="13"/>
      <c r="E15" s="349"/>
      <c r="F15" s="579" t="s">
        <v>126</v>
      </c>
      <c r="G15" s="13"/>
      <c r="H15" s="13"/>
      <c r="I15" s="219"/>
      <c r="J15" s="587"/>
      <c r="K15" s="587"/>
      <c r="L15" s="587"/>
      <c r="M15" s="600"/>
      <c r="N15" s="230"/>
      <c r="O15" s="13">
        <f>+N15</f>
        <v>0</v>
      </c>
      <c r="P15" s="13"/>
      <c r="Q15" s="13"/>
      <c r="R15" s="13"/>
      <c r="S15" s="349">
        <f t="shared" si="0"/>
        <v>0</v>
      </c>
      <c r="T15" s="616"/>
      <c r="U15" s="13" t="s">
        <v>527</v>
      </c>
      <c r="V15" s="13" t="s">
        <v>523</v>
      </c>
      <c r="W15" s="346"/>
      <c r="X15" s="617">
        <v>390</v>
      </c>
      <c r="Y15" s="13" t="s">
        <v>123</v>
      </c>
      <c r="Z15" s="13">
        <v>65</v>
      </c>
      <c r="AA15" s="13"/>
      <c r="AB15" s="219">
        <f t="shared" si="10"/>
        <v>18.850000000000001</v>
      </c>
      <c r="AC15" s="349">
        <v>2424113.25</v>
      </c>
      <c r="AD15" s="349">
        <v>16250</v>
      </c>
      <c r="AE15" s="349">
        <v>6552</v>
      </c>
      <c r="AF15" s="349">
        <f t="shared" si="12"/>
        <v>2446915.25</v>
      </c>
      <c r="AG15" s="13"/>
      <c r="AH15" s="13"/>
      <c r="AI15" s="13">
        <f t="shared" si="13"/>
        <v>122345.76250000001</v>
      </c>
      <c r="AJ15" s="626"/>
      <c r="AK15" s="626">
        <f t="shared" si="4"/>
        <v>2569261</v>
      </c>
      <c r="AL15" s="628"/>
      <c r="AM15" s="628">
        <v>8</v>
      </c>
      <c r="AN15" s="590"/>
      <c r="AO15" s="235"/>
      <c r="AP15" s="10"/>
      <c r="AQ15" s="235"/>
      <c r="AR15" s="638" t="s">
        <v>124</v>
      </c>
      <c r="AS15" s="342"/>
      <c r="AT15" s="643"/>
      <c r="AU15" s="643"/>
      <c r="AV15" s="644"/>
      <c r="AX15" s="13"/>
      <c r="AY15" s="11"/>
      <c r="AZ15" s="505"/>
      <c r="BA15" s="342"/>
      <c r="BB15" s="675">
        <f t="shared" si="5"/>
        <v>0</v>
      </c>
      <c r="BD15" s="342"/>
      <c r="BE15" s="342"/>
      <c r="BF15" s="342"/>
      <c r="BG15" s="342"/>
      <c r="BH15" s="342"/>
      <c r="BI15" s="703"/>
      <c r="BJ15" s="342"/>
      <c r="BK15" s="221"/>
      <c r="BL15" s="11"/>
      <c r="BM15" s="342"/>
      <c r="BN15" s="342"/>
      <c r="BO15" s="342"/>
      <c r="BP15" s="342"/>
      <c r="BQ15" s="349"/>
      <c r="BS15" s="342"/>
      <c r="BT15" s="342"/>
      <c r="BU15" s="342"/>
      <c r="BV15" s="342"/>
      <c r="BW15" s="219"/>
      <c r="BX15" s="13"/>
      <c r="BY15" s="342"/>
      <c r="BZ15" s="711"/>
      <c r="CA15" s="13"/>
      <c r="CB15" s="13"/>
      <c r="CC15" s="342"/>
      <c r="CD15" s="342"/>
      <c r="CE15" s="342"/>
      <c r="CF15" s="342"/>
      <c r="CH15" s="342"/>
      <c r="CI15" s="342"/>
      <c r="CJ15" s="342"/>
      <c r="CK15" s="342"/>
      <c r="CL15" s="643"/>
      <c r="CM15" s="13"/>
      <c r="CN15" s="643"/>
      <c r="CO15" s="342"/>
      <c r="CP15" s="342"/>
      <c r="CQ15" s="342"/>
      <c r="CR15" s="342"/>
      <c r="CW15" s="129"/>
      <c r="CX15" s="129"/>
      <c r="CY15" s="129"/>
      <c r="CZ15" s="129"/>
      <c r="DA15" s="208"/>
      <c r="DB15" s="10"/>
      <c r="DC15" s="130"/>
      <c r="DD15" s="129"/>
      <c r="DE15" s="129"/>
      <c r="DF15" s="129"/>
      <c r="DG15" s="10"/>
      <c r="DH15" s="10"/>
      <c r="DI15" s="170"/>
      <c r="DJ15" s="671"/>
      <c r="DM15" s="129"/>
      <c r="DN15" s="129"/>
      <c r="DO15" s="129"/>
      <c r="DP15" s="129"/>
      <c r="DQ15" s="208"/>
      <c r="DR15" s="10"/>
      <c r="DS15" s="130"/>
      <c r="DT15" s="129"/>
      <c r="DU15" s="129"/>
      <c r="DV15" s="129"/>
      <c r="DW15" s="10"/>
      <c r="DX15" s="10"/>
      <c r="DY15" s="170"/>
      <c r="DZ15" s="671"/>
    </row>
    <row r="16" spans="1:131" ht="30" customHeight="1">
      <c r="A16" s="229">
        <v>8</v>
      </c>
      <c r="B16" s="580"/>
      <c r="C16" s="13"/>
      <c r="D16" s="13"/>
      <c r="E16" s="349"/>
      <c r="F16" s="579" t="s">
        <v>126</v>
      </c>
      <c r="G16" s="13"/>
      <c r="H16" s="13"/>
      <c r="I16" s="219"/>
      <c r="J16" s="587"/>
      <c r="K16" s="587"/>
      <c r="L16" s="587"/>
      <c r="M16" s="600"/>
      <c r="N16" s="230"/>
      <c r="O16" s="13">
        <f>+N16</f>
        <v>0</v>
      </c>
      <c r="P16" s="13"/>
      <c r="Q16" s="13"/>
      <c r="R16" s="13"/>
      <c r="S16" s="349">
        <f t="shared" si="0"/>
        <v>0</v>
      </c>
      <c r="T16" s="616"/>
      <c r="U16" s="13" t="s">
        <v>527</v>
      </c>
      <c r="V16" s="13" t="s">
        <v>523</v>
      </c>
      <c r="W16" s="346"/>
      <c r="X16" s="617">
        <v>391</v>
      </c>
      <c r="Y16" s="13" t="s">
        <v>123</v>
      </c>
      <c r="Z16" s="13">
        <v>65</v>
      </c>
      <c r="AA16" s="13"/>
      <c r="AB16" s="219">
        <f t="shared" ref="AB16" si="14">+Z16*290/1000</f>
        <v>18.850000000000001</v>
      </c>
      <c r="AC16" s="349">
        <v>2424113.25</v>
      </c>
      <c r="AD16" s="349">
        <v>16250</v>
      </c>
      <c r="AE16" s="349">
        <v>6552</v>
      </c>
      <c r="AF16" s="349">
        <f t="shared" ref="AF16:AF21" si="15">SUM(AC16:AE16)</f>
        <v>2446915.25</v>
      </c>
      <c r="AG16" s="13"/>
      <c r="AH16" s="13"/>
      <c r="AI16" s="13">
        <f t="shared" ref="AI16:AI21" si="16">+AF16*5%</f>
        <v>122345.76250000001</v>
      </c>
      <c r="AJ16" s="626"/>
      <c r="AK16" s="626">
        <f t="shared" si="4"/>
        <v>2569261</v>
      </c>
      <c r="AL16" s="628"/>
      <c r="AM16" s="627">
        <v>9</v>
      </c>
      <c r="AN16" s="590"/>
      <c r="AO16" s="235"/>
      <c r="AP16" s="10"/>
      <c r="AQ16" s="235"/>
      <c r="AR16" s="638" t="s">
        <v>124</v>
      </c>
      <c r="AS16" s="342"/>
      <c r="AT16" s="643"/>
      <c r="AU16" s="643"/>
      <c r="AV16" s="644"/>
      <c r="AX16" s="13"/>
      <c r="AY16" s="11"/>
      <c r="AZ16" s="505"/>
      <c r="BA16" s="342"/>
      <c r="BB16" s="675">
        <f t="shared" si="5"/>
        <v>0</v>
      </c>
      <c r="BD16" s="342"/>
      <c r="BE16" s="342"/>
      <c r="BF16" s="342"/>
      <c r="BG16" s="342"/>
      <c r="BH16" s="342"/>
      <c r="BI16" s="703"/>
      <c r="BJ16" s="342"/>
      <c r="BK16" s="221"/>
      <c r="BL16" s="11"/>
      <c r="BM16" s="342"/>
      <c r="BN16" s="342"/>
      <c r="BO16" s="342"/>
      <c r="BP16" s="342"/>
      <c r="BQ16" s="349"/>
      <c r="BS16" s="342"/>
      <c r="BT16" s="342"/>
      <c r="BU16" s="342"/>
      <c r="BV16" s="342"/>
      <c r="BW16" s="219"/>
      <c r="BX16" s="13"/>
      <c r="BY16" s="342"/>
      <c r="BZ16" s="711"/>
      <c r="CA16" s="13"/>
      <c r="CB16" s="13"/>
      <c r="CC16" s="342"/>
      <c r="CD16" s="342"/>
      <c r="CE16" s="342"/>
      <c r="CF16" s="342"/>
      <c r="CH16" s="342"/>
      <c r="CI16" s="342"/>
      <c r="CJ16" s="342"/>
      <c r="CK16" s="342"/>
      <c r="CL16" s="643"/>
      <c r="CM16" s="13"/>
      <c r="CN16" s="643"/>
      <c r="CO16" s="342"/>
      <c r="CP16" s="342"/>
      <c r="CQ16" s="342"/>
      <c r="CR16" s="342"/>
      <c r="CW16" s="129"/>
      <c r="CX16" s="129"/>
      <c r="CY16" s="129"/>
      <c r="CZ16" s="129"/>
      <c r="DA16" s="208"/>
      <c r="DB16" s="10"/>
      <c r="DC16" s="130"/>
      <c r="DD16" s="129"/>
      <c r="DE16" s="129"/>
      <c r="DF16" s="129"/>
      <c r="DG16" s="10"/>
      <c r="DH16" s="10"/>
      <c r="DI16" s="170"/>
      <c r="DJ16" s="671"/>
      <c r="DM16" s="129"/>
      <c r="DN16" s="129"/>
      <c r="DO16" s="129"/>
      <c r="DP16" s="129"/>
      <c r="DQ16" s="208"/>
      <c r="DR16" s="10"/>
      <c r="DS16" s="130"/>
      <c r="DT16" s="129"/>
      <c r="DU16" s="129"/>
      <c r="DV16" s="129"/>
      <c r="DW16" s="10"/>
      <c r="DX16" s="10"/>
      <c r="DY16" s="170"/>
      <c r="DZ16" s="671"/>
    </row>
    <row r="17" spans="1:130" ht="30" customHeight="1">
      <c r="A17" s="226">
        <v>9</v>
      </c>
      <c r="B17" s="580"/>
      <c r="C17" s="13"/>
      <c r="D17" s="13"/>
      <c r="E17" s="349"/>
      <c r="F17" s="579" t="s">
        <v>126</v>
      </c>
      <c r="G17" s="13"/>
      <c r="H17" s="13"/>
      <c r="I17" s="219"/>
      <c r="J17" s="587"/>
      <c r="K17" s="587"/>
      <c r="L17" s="587"/>
      <c r="M17" s="600"/>
      <c r="N17" s="230"/>
      <c r="O17" s="13">
        <f>+N17</f>
        <v>0</v>
      </c>
      <c r="P17" s="13"/>
      <c r="Q17" s="13"/>
      <c r="R17" s="13"/>
      <c r="S17" s="349">
        <f t="shared" si="0"/>
        <v>0</v>
      </c>
      <c r="T17" s="616"/>
      <c r="U17" s="13" t="s">
        <v>528</v>
      </c>
      <c r="V17" s="13" t="s">
        <v>523</v>
      </c>
      <c r="W17" s="346"/>
      <c r="X17" s="617">
        <v>395</v>
      </c>
      <c r="Y17" s="13" t="s">
        <v>123</v>
      </c>
      <c r="Z17" s="13">
        <v>65</v>
      </c>
      <c r="AA17" s="13"/>
      <c r="AB17" s="219">
        <f t="shared" si="10"/>
        <v>18.850000000000001</v>
      </c>
      <c r="AC17" s="349">
        <v>2424113.25</v>
      </c>
      <c r="AD17" s="349">
        <v>16250</v>
      </c>
      <c r="AE17" s="349">
        <v>6552</v>
      </c>
      <c r="AF17" s="349">
        <f t="shared" si="15"/>
        <v>2446915.25</v>
      </c>
      <c r="AG17" s="13"/>
      <c r="AH17" s="13"/>
      <c r="AI17" s="13">
        <f t="shared" si="16"/>
        <v>122345.76250000001</v>
      </c>
      <c r="AJ17" s="626"/>
      <c r="AK17" s="626">
        <f t="shared" si="4"/>
        <v>2569261</v>
      </c>
      <c r="AL17" s="628"/>
      <c r="AM17" s="628">
        <v>10</v>
      </c>
      <c r="AN17" s="590"/>
      <c r="AO17" s="235"/>
      <c r="AP17" s="10"/>
      <c r="AQ17" s="235"/>
      <c r="AR17" s="638" t="s">
        <v>124</v>
      </c>
      <c r="AS17" s="342"/>
      <c r="AT17" s="643"/>
      <c r="AU17" s="643"/>
      <c r="AV17" s="644"/>
      <c r="AX17" s="13"/>
      <c r="AY17" s="11"/>
      <c r="AZ17" s="505"/>
      <c r="BA17" s="342"/>
      <c r="BB17" s="675">
        <f t="shared" si="5"/>
        <v>0</v>
      </c>
      <c r="BD17" s="342"/>
      <c r="BE17" s="342"/>
      <c r="BF17" s="342"/>
      <c r="BG17" s="342"/>
      <c r="BH17" s="342"/>
      <c r="BI17" s="703"/>
      <c r="BJ17" s="342"/>
      <c r="BK17" s="221"/>
      <c r="BL17" s="11"/>
      <c r="BM17" s="342"/>
      <c r="BN17" s="342"/>
      <c r="BO17" s="342"/>
      <c r="BP17" s="342"/>
      <c r="BQ17" s="349"/>
      <c r="BS17" s="342"/>
      <c r="BT17" s="342"/>
      <c r="BU17" s="342"/>
      <c r="BV17" s="342"/>
      <c r="BW17" s="219"/>
      <c r="BX17" s="13"/>
      <c r="BY17" s="342"/>
      <c r="BZ17" s="711"/>
      <c r="CA17" s="13"/>
      <c r="CB17" s="13"/>
      <c r="CC17" s="342"/>
      <c r="CD17" s="342"/>
      <c r="CE17" s="342"/>
      <c r="CF17" s="342"/>
      <c r="CH17" s="342"/>
      <c r="CI17" s="342"/>
      <c r="CJ17" s="342"/>
      <c r="CK17" s="342"/>
      <c r="CL17" s="643"/>
      <c r="CM17" s="13"/>
      <c r="CN17" s="643"/>
      <c r="CO17" s="342"/>
      <c r="CP17" s="342"/>
      <c r="CQ17" s="342"/>
      <c r="CR17" s="342"/>
      <c r="CW17" s="129"/>
      <c r="CX17" s="129"/>
      <c r="CY17" s="129"/>
      <c r="CZ17" s="129"/>
      <c r="DA17" s="208"/>
      <c r="DB17" s="10"/>
      <c r="DC17" s="130"/>
      <c r="DD17" s="129"/>
      <c r="DE17" s="129"/>
      <c r="DF17" s="129"/>
      <c r="DG17" s="10"/>
      <c r="DH17" s="10"/>
      <c r="DI17" s="170"/>
      <c r="DJ17" s="671"/>
      <c r="DM17" s="129"/>
      <c r="DN17" s="129"/>
      <c r="DO17" s="129"/>
      <c r="DP17" s="129"/>
      <c r="DQ17" s="208"/>
      <c r="DR17" s="10"/>
      <c r="DS17" s="130"/>
      <c r="DT17" s="129"/>
      <c r="DU17" s="129"/>
      <c r="DV17" s="129"/>
      <c r="DW17" s="10"/>
      <c r="DX17" s="10"/>
      <c r="DY17" s="170"/>
      <c r="DZ17" s="671"/>
    </row>
    <row r="18" spans="1:130" ht="30" customHeight="1">
      <c r="A18" s="229"/>
      <c r="B18" s="985" t="s">
        <v>10</v>
      </c>
      <c r="C18" s="986"/>
      <c r="D18" s="986"/>
      <c r="E18" s="986"/>
      <c r="F18" s="987"/>
      <c r="G18" s="581">
        <f>SUM(G13:G17)</f>
        <v>0</v>
      </c>
      <c r="H18" s="581">
        <f>SUM(H13:H17)</f>
        <v>0</v>
      </c>
      <c r="I18" s="601"/>
      <c r="J18" s="602"/>
      <c r="K18" s="602"/>
      <c r="L18" s="602"/>
      <c r="M18" s="603">
        <f>SUM(M13:M17)</f>
        <v>0</v>
      </c>
      <c r="N18" s="230"/>
      <c r="O18" s="13"/>
      <c r="P18" s="13"/>
      <c r="Q18" s="13"/>
      <c r="R18" s="13"/>
      <c r="S18" s="349"/>
      <c r="T18" s="616"/>
      <c r="U18" s="13" t="s">
        <v>528</v>
      </c>
      <c r="V18" s="13" t="s">
        <v>523</v>
      </c>
      <c r="W18" s="346"/>
      <c r="X18" s="617">
        <v>396</v>
      </c>
      <c r="Y18" s="13" t="s">
        <v>123</v>
      </c>
      <c r="Z18" s="13">
        <v>65</v>
      </c>
      <c r="AA18" s="13"/>
      <c r="AB18" s="219">
        <f t="shared" si="10"/>
        <v>18.850000000000001</v>
      </c>
      <c r="AC18" s="349">
        <v>2424113.25</v>
      </c>
      <c r="AD18" s="349">
        <v>16250</v>
      </c>
      <c r="AE18" s="349">
        <v>6552</v>
      </c>
      <c r="AF18" s="349">
        <f t="shared" si="15"/>
        <v>2446915.25</v>
      </c>
      <c r="AG18" s="13"/>
      <c r="AH18" s="13"/>
      <c r="AI18" s="13">
        <f t="shared" si="16"/>
        <v>122345.76250000001</v>
      </c>
      <c r="AJ18" s="626"/>
      <c r="AK18" s="626">
        <f t="shared" si="4"/>
        <v>2569261</v>
      </c>
      <c r="AL18" s="628"/>
      <c r="AM18" s="627"/>
      <c r="AN18" s="963" t="s">
        <v>10</v>
      </c>
      <c r="AO18" s="964"/>
      <c r="AP18" s="964"/>
      <c r="AQ18" s="964"/>
      <c r="AR18" s="965"/>
      <c r="AS18" s="645">
        <f>SUM(AS7:AS17)</f>
        <v>160</v>
      </c>
      <c r="AT18" s="645">
        <f>SUM(AT7:AT17)</f>
        <v>8</v>
      </c>
      <c r="AU18" s="645">
        <f>SUM(AU7:AU17)</f>
        <v>0</v>
      </c>
      <c r="AV18" s="646">
        <f>SUM(AV7:AV17)</f>
        <v>1027120</v>
      </c>
      <c r="AX18" s="13"/>
      <c r="AY18" s="11"/>
      <c r="AZ18" s="505"/>
      <c r="BA18" s="342"/>
      <c r="BB18" s="675"/>
      <c r="BD18" s="342"/>
      <c r="BE18" s="342"/>
      <c r="BF18" s="342"/>
      <c r="BG18" s="342"/>
      <c r="BH18" s="342"/>
      <c r="BI18" s="703"/>
      <c r="BJ18" s="342"/>
      <c r="BK18" s="221"/>
      <c r="BL18" s="11"/>
      <c r="BM18" s="342"/>
      <c r="BN18" s="342"/>
      <c r="BO18" s="342"/>
      <c r="BP18" s="342"/>
      <c r="BQ18" s="349"/>
      <c r="BS18" s="342"/>
      <c r="BT18" s="342"/>
      <c r="BU18" s="342"/>
      <c r="BV18" s="342"/>
      <c r="BW18" s="219"/>
      <c r="BX18" s="13"/>
      <c r="BY18" s="342"/>
      <c r="BZ18" s="711"/>
      <c r="CA18" s="13"/>
      <c r="CB18" s="13"/>
      <c r="CC18" s="342"/>
      <c r="CD18" s="342"/>
      <c r="CE18" s="342"/>
      <c r="CF18" s="342"/>
      <c r="CH18" s="342"/>
      <c r="CI18" s="342"/>
      <c r="CJ18" s="342"/>
      <c r="CK18" s="342"/>
      <c r="CL18" s="643"/>
      <c r="CM18" s="13"/>
      <c r="CN18" s="643"/>
      <c r="CO18" s="342"/>
      <c r="CP18" s="342"/>
      <c r="CQ18" s="342"/>
      <c r="CR18" s="342"/>
      <c r="CW18" s="129"/>
      <c r="CX18" s="129"/>
      <c r="CY18" s="129"/>
      <c r="CZ18" s="129"/>
      <c r="DA18" s="208"/>
      <c r="DB18" s="10"/>
      <c r="DC18" s="130"/>
      <c r="DD18" s="129"/>
      <c r="DE18" s="129"/>
      <c r="DF18" s="129"/>
      <c r="DG18" s="10"/>
      <c r="DH18" s="10"/>
      <c r="DI18" s="170"/>
      <c r="DJ18" s="671"/>
      <c r="DM18" s="129"/>
      <c r="DN18" s="129"/>
      <c r="DO18" s="129"/>
      <c r="DP18" s="129"/>
      <c r="DQ18" s="208"/>
      <c r="DR18" s="10"/>
      <c r="DS18" s="130"/>
      <c r="DT18" s="129"/>
      <c r="DU18" s="129"/>
      <c r="DV18" s="129"/>
      <c r="DW18" s="10"/>
      <c r="DX18" s="10"/>
      <c r="DY18" s="170"/>
      <c r="DZ18" s="671"/>
    </row>
    <row r="19" spans="1:130" ht="30" customHeight="1">
      <c r="A19" s="226">
        <v>12</v>
      </c>
      <c r="B19" s="582" t="s">
        <v>525</v>
      </c>
      <c r="C19" s="578"/>
      <c r="D19" s="578"/>
      <c r="E19" s="420">
        <v>387</v>
      </c>
      <c r="F19" s="583" t="s">
        <v>127</v>
      </c>
      <c r="G19" s="584">
        <v>3</v>
      </c>
      <c r="H19" s="585">
        <v>0.995</v>
      </c>
      <c r="I19" s="584"/>
      <c r="J19" s="585"/>
      <c r="K19" s="585"/>
      <c r="L19" s="585"/>
      <c r="M19" s="598">
        <v>140329.82999999999</v>
      </c>
      <c r="N19" s="230">
        <v>3508.25</v>
      </c>
      <c r="O19" s="13">
        <f>+N19</f>
        <v>3508.25</v>
      </c>
      <c r="P19" s="13"/>
      <c r="Q19" s="13"/>
      <c r="R19" s="13"/>
      <c r="S19" s="349">
        <f t="shared" si="0"/>
        <v>147346</v>
      </c>
      <c r="T19" s="616"/>
      <c r="U19" s="13" t="s">
        <v>529</v>
      </c>
      <c r="V19" s="13" t="s">
        <v>530</v>
      </c>
      <c r="W19" s="346"/>
      <c r="X19" s="617">
        <v>397</v>
      </c>
      <c r="Y19" s="13" t="s">
        <v>123</v>
      </c>
      <c r="Z19" s="13">
        <v>25</v>
      </c>
      <c r="AA19" s="13"/>
      <c r="AB19" s="219">
        <f t="shared" si="10"/>
        <v>7.25</v>
      </c>
      <c r="AC19" s="349">
        <v>932351.25</v>
      </c>
      <c r="AD19" s="349">
        <v>6250</v>
      </c>
      <c r="AE19" s="349"/>
      <c r="AF19" s="349">
        <f t="shared" si="15"/>
        <v>938601.25</v>
      </c>
      <c r="AG19" s="13"/>
      <c r="AH19" s="13"/>
      <c r="AI19" s="13">
        <f t="shared" si="16"/>
        <v>46930.0625</v>
      </c>
      <c r="AJ19" s="626"/>
      <c r="AK19" s="626">
        <f t="shared" si="4"/>
        <v>985531</v>
      </c>
      <c r="AL19" s="628"/>
      <c r="AM19" s="628">
        <v>11</v>
      </c>
      <c r="AN19" s="419"/>
      <c r="AO19" s="636"/>
      <c r="AP19" s="637"/>
      <c r="AQ19" s="636"/>
      <c r="AR19" s="647" t="s">
        <v>128</v>
      </c>
      <c r="AS19" s="639"/>
      <c r="AT19" s="640"/>
      <c r="AU19" s="640"/>
      <c r="AV19" s="641"/>
      <c r="AX19" s="13"/>
      <c r="AY19" s="11"/>
      <c r="AZ19" s="505"/>
      <c r="BA19" s="342"/>
      <c r="BB19" s="675"/>
      <c r="BD19" s="342"/>
      <c r="BE19" s="342"/>
      <c r="BF19" s="342"/>
      <c r="BG19" s="342"/>
      <c r="BH19" s="342"/>
      <c r="BI19" s="703"/>
      <c r="BJ19" s="342"/>
      <c r="BK19" s="221"/>
      <c r="BL19" s="11"/>
      <c r="BM19" s="342"/>
      <c r="BN19" s="342"/>
      <c r="BO19" s="342"/>
      <c r="BP19" s="342"/>
      <c r="BQ19" s="349"/>
      <c r="BS19" s="342"/>
      <c r="BT19" s="342"/>
      <c r="BU19" s="342"/>
      <c r="BV19" s="342"/>
      <c r="BW19" s="219"/>
      <c r="BX19" s="13"/>
      <c r="BY19" s="342"/>
      <c r="BZ19" s="711"/>
      <c r="CA19" s="13"/>
      <c r="CB19" s="13"/>
      <c r="CC19" s="342"/>
      <c r="CD19" s="342"/>
      <c r="CE19" s="342"/>
      <c r="CF19" s="342"/>
      <c r="CH19" s="342"/>
      <c r="CI19" s="342"/>
      <c r="CJ19" s="342"/>
      <c r="CK19" s="342"/>
      <c r="CL19" s="643"/>
      <c r="CM19" s="13"/>
      <c r="CN19" s="643"/>
      <c r="CO19" s="342"/>
      <c r="CP19" s="342"/>
      <c r="CQ19" s="342"/>
      <c r="CR19" s="342"/>
      <c r="CW19" s="129"/>
      <c r="CX19" s="129"/>
      <c r="CY19" s="129"/>
      <c r="CZ19" s="129"/>
      <c r="DA19" s="208"/>
      <c r="DB19" s="10"/>
      <c r="DC19" s="130"/>
      <c r="DD19" s="129"/>
      <c r="DE19" s="129"/>
      <c r="DF19" s="129"/>
      <c r="DG19" s="10"/>
      <c r="DH19" s="10"/>
      <c r="DI19" s="170"/>
      <c r="DJ19" s="671"/>
      <c r="DM19" s="129"/>
      <c r="DN19" s="129"/>
      <c r="DO19" s="129"/>
      <c r="DP19" s="129"/>
      <c r="DQ19" s="208"/>
      <c r="DR19" s="10"/>
      <c r="DS19" s="130"/>
      <c r="DT19" s="129"/>
      <c r="DU19" s="129"/>
      <c r="DV19" s="129"/>
      <c r="DW19" s="10"/>
      <c r="DX19" s="10"/>
      <c r="DY19" s="170"/>
      <c r="DZ19" s="671"/>
    </row>
    <row r="20" spans="1:130" ht="30" customHeight="1">
      <c r="A20" s="229">
        <v>13</v>
      </c>
      <c r="B20" s="582" t="s">
        <v>528</v>
      </c>
      <c r="C20" s="578"/>
      <c r="D20" s="13"/>
      <c r="E20" s="349">
        <v>393</v>
      </c>
      <c r="F20" s="586" t="s">
        <v>127</v>
      </c>
      <c r="G20" s="346">
        <v>53</v>
      </c>
      <c r="H20" s="587">
        <v>17.579999999999998</v>
      </c>
      <c r="I20" s="346"/>
      <c r="J20" s="587"/>
      <c r="K20" s="587"/>
      <c r="L20" s="587"/>
      <c r="M20" s="600">
        <v>2449456.56</v>
      </c>
      <c r="N20" s="230">
        <v>61236.41</v>
      </c>
      <c r="O20" s="13">
        <f t="shared" ref="O20:O29" si="17">+N20</f>
        <v>61236.41</v>
      </c>
      <c r="P20" s="13"/>
      <c r="Q20" s="13"/>
      <c r="R20" s="13"/>
      <c r="S20" s="349">
        <f t="shared" si="0"/>
        <v>2571929</v>
      </c>
      <c r="T20" s="616"/>
      <c r="U20" s="13" t="s">
        <v>534</v>
      </c>
      <c r="V20" s="13" t="s">
        <v>535</v>
      </c>
      <c r="W20" s="346"/>
      <c r="X20" s="617">
        <v>403</v>
      </c>
      <c r="Y20" s="13" t="s">
        <v>123</v>
      </c>
      <c r="Z20" s="13">
        <v>48</v>
      </c>
      <c r="AA20" s="13"/>
      <c r="AB20" s="219">
        <f t="shared" si="10"/>
        <v>13.92</v>
      </c>
      <c r="AC20" s="349">
        <v>1790114.4</v>
      </c>
      <c r="AD20" s="349">
        <v>12000</v>
      </c>
      <c r="AE20" s="349">
        <v>5169.6000000000004</v>
      </c>
      <c r="AF20" s="349">
        <f t="shared" si="15"/>
        <v>1807284</v>
      </c>
      <c r="AG20" s="13"/>
      <c r="AH20" s="13"/>
      <c r="AI20" s="13">
        <f t="shared" si="16"/>
        <v>90364.200000000012</v>
      </c>
      <c r="AJ20" s="626"/>
      <c r="AK20" s="626">
        <f t="shared" si="4"/>
        <v>1897648</v>
      </c>
      <c r="AL20" s="628"/>
      <c r="AM20" s="627">
        <v>12</v>
      </c>
      <c r="AN20" s="590"/>
      <c r="AO20" s="235"/>
      <c r="AP20" s="10"/>
      <c r="AQ20" s="235"/>
      <c r="AR20" s="647" t="s">
        <v>128</v>
      </c>
      <c r="AS20" s="342"/>
      <c r="AT20" s="643"/>
      <c r="AU20" s="643"/>
      <c r="AV20" s="644"/>
      <c r="AX20" s="13"/>
      <c r="AY20" s="11"/>
      <c r="AZ20" s="505"/>
      <c r="BA20" s="342"/>
      <c r="BB20" s="675"/>
      <c r="BD20" s="342"/>
      <c r="BE20" s="342"/>
      <c r="BF20" s="342"/>
      <c r="BG20" s="342"/>
      <c r="BH20" s="342"/>
      <c r="BI20" s="703"/>
      <c r="BJ20" s="342"/>
      <c r="BK20" s="221"/>
      <c r="BL20" s="11"/>
      <c r="BM20" s="342"/>
      <c r="BN20" s="342"/>
      <c r="BO20" s="342"/>
      <c r="BP20" s="342"/>
      <c r="BQ20" s="349"/>
      <c r="BS20" s="342"/>
      <c r="BT20" s="342"/>
      <c r="BU20" s="342"/>
      <c r="BV20" s="342"/>
      <c r="BW20" s="219"/>
      <c r="BX20" s="13"/>
      <c r="BY20" s="342"/>
      <c r="BZ20" s="711"/>
      <c r="CA20" s="13"/>
      <c r="CB20" s="13"/>
      <c r="CC20" s="342"/>
      <c r="CD20" s="342"/>
      <c r="CE20" s="342"/>
      <c r="CF20" s="342"/>
      <c r="CH20" s="342"/>
      <c r="CI20" s="342"/>
      <c r="CJ20" s="342"/>
      <c r="CK20" s="342"/>
      <c r="CL20" s="643"/>
      <c r="CM20" s="13"/>
      <c r="CN20" s="643"/>
      <c r="CO20" s="342"/>
      <c r="CP20" s="342"/>
      <c r="CQ20" s="342"/>
      <c r="CR20" s="342"/>
      <c r="CW20" s="129"/>
      <c r="CX20" s="129"/>
      <c r="CY20" s="129"/>
      <c r="CZ20" s="129"/>
      <c r="DA20" s="208"/>
      <c r="DB20" s="10"/>
      <c r="DC20" s="130"/>
      <c r="DD20" s="129"/>
      <c r="DE20" s="129"/>
      <c r="DF20" s="129"/>
      <c r="DG20" s="10"/>
      <c r="DH20" s="10"/>
      <c r="DI20" s="170"/>
      <c r="DJ20" s="671"/>
      <c r="DM20" s="129"/>
      <c r="DN20" s="129"/>
      <c r="DO20" s="129"/>
      <c r="DP20" s="129"/>
      <c r="DQ20" s="208"/>
      <c r="DR20" s="10"/>
      <c r="DS20" s="130"/>
      <c r="DT20" s="129"/>
      <c r="DU20" s="129"/>
      <c r="DV20" s="129"/>
      <c r="DW20" s="10"/>
      <c r="DX20" s="10"/>
      <c r="DY20" s="170"/>
      <c r="DZ20" s="671"/>
    </row>
    <row r="21" spans="1:130" ht="30" customHeight="1">
      <c r="A21" s="226">
        <v>14</v>
      </c>
      <c r="B21" s="580" t="s">
        <v>531</v>
      </c>
      <c r="C21" s="578"/>
      <c r="D21" s="13"/>
      <c r="E21" s="349">
        <v>400</v>
      </c>
      <c r="F21" s="586" t="s">
        <v>127</v>
      </c>
      <c r="G21" s="346">
        <v>6</v>
      </c>
      <c r="H21" s="587">
        <v>1.99</v>
      </c>
      <c r="I21" s="346"/>
      <c r="J21" s="587"/>
      <c r="K21" s="587"/>
      <c r="L21" s="587"/>
      <c r="M21" s="600">
        <v>282593.93</v>
      </c>
      <c r="N21" s="230">
        <v>7064.85</v>
      </c>
      <c r="O21" s="13">
        <f t="shared" si="17"/>
        <v>7064.85</v>
      </c>
      <c r="P21" s="13"/>
      <c r="Q21" s="13"/>
      <c r="R21" s="13"/>
      <c r="S21" s="349">
        <f t="shared" si="0"/>
        <v>296724</v>
      </c>
      <c r="T21" s="616"/>
      <c r="U21" s="13" t="s">
        <v>534</v>
      </c>
      <c r="V21" s="13" t="s">
        <v>535</v>
      </c>
      <c r="W21" s="346"/>
      <c r="X21" s="617">
        <v>404</v>
      </c>
      <c r="Y21" s="13" t="s">
        <v>123</v>
      </c>
      <c r="Z21" s="13">
        <v>48</v>
      </c>
      <c r="AA21" s="13"/>
      <c r="AB21" s="219">
        <f t="shared" ref="AB21:AB23" si="18">+Z21*290/1000</f>
        <v>13.92</v>
      </c>
      <c r="AC21" s="349">
        <v>1790114.4</v>
      </c>
      <c r="AD21" s="349">
        <v>12000</v>
      </c>
      <c r="AE21" s="349">
        <v>5169.6000000000004</v>
      </c>
      <c r="AF21" s="349">
        <f t="shared" si="15"/>
        <v>1807284</v>
      </c>
      <c r="AG21" s="13"/>
      <c r="AH21" s="13"/>
      <c r="AI21" s="13">
        <f t="shared" si="16"/>
        <v>90364.200000000012</v>
      </c>
      <c r="AJ21" s="626"/>
      <c r="AK21" s="626">
        <f t="shared" si="4"/>
        <v>1897648</v>
      </c>
      <c r="AL21" s="628"/>
      <c r="AM21" s="628">
        <v>13</v>
      </c>
      <c r="AN21" s="590"/>
      <c r="AO21" s="235"/>
      <c r="AP21" s="10"/>
      <c r="AQ21" s="235"/>
      <c r="AR21" s="647" t="s">
        <v>128</v>
      </c>
      <c r="AS21" s="342"/>
      <c r="AT21" s="643"/>
      <c r="AU21" s="643"/>
      <c r="AV21" s="644"/>
      <c r="AX21" s="13"/>
      <c r="AY21" s="11"/>
      <c r="AZ21" s="505"/>
      <c r="BA21" s="342"/>
      <c r="BB21" s="675"/>
      <c r="BD21" s="342"/>
      <c r="BE21" s="342"/>
      <c r="BF21" s="342"/>
      <c r="BG21" s="342"/>
      <c r="BH21" s="342"/>
      <c r="BI21" s="703"/>
      <c r="BJ21" s="342"/>
      <c r="BK21" s="221"/>
      <c r="BL21" s="11"/>
      <c r="BM21" s="342"/>
      <c r="BN21" s="342"/>
      <c r="BO21" s="342"/>
      <c r="BP21" s="342"/>
      <c r="BQ21" s="349"/>
      <c r="BS21" s="342"/>
      <c r="BT21" s="342"/>
      <c r="BU21" s="342"/>
      <c r="BV21" s="342"/>
      <c r="BW21" s="219"/>
      <c r="BX21" s="13"/>
      <c r="BY21" s="342"/>
      <c r="BZ21" s="711"/>
      <c r="CA21" s="13"/>
      <c r="CB21" s="13"/>
      <c r="CC21" s="342"/>
      <c r="CD21" s="342"/>
      <c r="CE21" s="342"/>
      <c r="CF21" s="342"/>
      <c r="CH21" s="342"/>
      <c r="CI21" s="342"/>
      <c r="CJ21" s="342"/>
      <c r="CK21" s="342"/>
      <c r="CL21" s="643"/>
      <c r="CM21" s="13"/>
      <c r="CN21" s="643"/>
      <c r="CO21" s="342"/>
      <c r="CP21" s="342"/>
      <c r="CQ21" s="342"/>
      <c r="CR21" s="342"/>
      <c r="CW21" s="129"/>
      <c r="CX21" s="129"/>
      <c r="CY21" s="129"/>
      <c r="CZ21" s="129"/>
      <c r="DA21" s="208"/>
      <c r="DB21" s="10"/>
      <c r="DC21" s="130"/>
      <c r="DD21" s="129"/>
      <c r="DE21" s="129"/>
      <c r="DF21" s="129"/>
      <c r="DG21" s="10"/>
      <c r="DH21" s="10"/>
      <c r="DI21" s="170"/>
      <c r="DJ21" s="671"/>
      <c r="DM21" s="129"/>
      <c r="DN21" s="129"/>
      <c r="DO21" s="129"/>
      <c r="DP21" s="129"/>
      <c r="DQ21" s="208"/>
      <c r="DR21" s="10"/>
      <c r="DS21" s="130"/>
      <c r="DT21" s="129"/>
      <c r="DU21" s="129"/>
      <c r="DV21" s="129"/>
      <c r="DW21" s="10"/>
      <c r="DX21" s="10"/>
      <c r="DY21" s="170"/>
      <c r="DZ21" s="671"/>
    </row>
    <row r="22" spans="1:130" ht="30" customHeight="1">
      <c r="A22" s="229">
        <v>15</v>
      </c>
      <c r="B22" s="580" t="s">
        <v>528</v>
      </c>
      <c r="C22" s="578"/>
      <c r="D22" s="13"/>
      <c r="E22" s="349">
        <v>394</v>
      </c>
      <c r="F22" s="586" t="s">
        <v>127</v>
      </c>
      <c r="G22" s="346">
        <v>53</v>
      </c>
      <c r="H22" s="587">
        <v>17.579999999999998</v>
      </c>
      <c r="I22" s="346"/>
      <c r="J22" s="587"/>
      <c r="K22" s="587"/>
      <c r="L22" s="587"/>
      <c r="M22" s="600">
        <v>2449456.56</v>
      </c>
      <c r="N22" s="915">
        <v>61236.41</v>
      </c>
      <c r="O22" s="13">
        <f t="shared" ref="O22" si="19">+N22</f>
        <v>61236.41</v>
      </c>
      <c r="P22" s="13"/>
      <c r="Q22" s="13"/>
      <c r="R22" s="13"/>
      <c r="S22" s="349">
        <f t="shared" si="0"/>
        <v>2571929</v>
      </c>
      <c r="T22" s="616"/>
      <c r="U22" s="13" t="s">
        <v>534</v>
      </c>
      <c r="V22" s="13" t="s">
        <v>523</v>
      </c>
      <c r="W22" s="346"/>
      <c r="X22" s="617">
        <v>405</v>
      </c>
      <c r="Y22" s="13" t="s">
        <v>123</v>
      </c>
      <c r="Z22" s="13">
        <v>48</v>
      </c>
      <c r="AA22" s="13"/>
      <c r="AB22" s="219">
        <f t="shared" si="18"/>
        <v>13.92</v>
      </c>
      <c r="AC22" s="349">
        <v>1989691.2</v>
      </c>
      <c r="AD22" s="349">
        <v>12000</v>
      </c>
      <c r="AE22" s="349">
        <v>5169.6000000000004</v>
      </c>
      <c r="AF22" s="349">
        <f t="shared" ref="AF22:AF23" si="20">SUM(AC22:AE22)</f>
        <v>2006860.8</v>
      </c>
      <c r="AG22" s="13"/>
      <c r="AH22" s="13"/>
      <c r="AI22" s="13">
        <f t="shared" si="3"/>
        <v>100343.04000000001</v>
      </c>
      <c r="AJ22" s="626"/>
      <c r="AK22" s="626">
        <f t="shared" si="4"/>
        <v>2107204</v>
      </c>
      <c r="AL22" s="628"/>
      <c r="AM22" s="627">
        <v>14</v>
      </c>
      <c r="AN22" s="590"/>
      <c r="AO22" s="235"/>
      <c r="AP22" s="10"/>
      <c r="AQ22" s="235"/>
      <c r="AR22" s="647" t="s">
        <v>128</v>
      </c>
      <c r="AS22" s="342"/>
      <c r="AT22" s="643"/>
      <c r="AU22" s="643"/>
      <c r="AV22" s="644"/>
      <c r="AX22" s="13"/>
      <c r="AY22" s="11"/>
      <c r="AZ22" s="505"/>
      <c r="BA22" s="342"/>
      <c r="BB22" s="675"/>
      <c r="BD22" s="342"/>
      <c r="BE22" s="342"/>
      <c r="BF22" s="342"/>
      <c r="BG22" s="342"/>
      <c r="BH22" s="342"/>
      <c r="BI22" s="703"/>
      <c r="BJ22" s="342"/>
      <c r="BK22" s="221"/>
      <c r="BL22" s="11"/>
      <c r="BM22" s="342"/>
      <c r="BN22" s="342"/>
      <c r="BO22" s="342"/>
      <c r="BP22" s="342"/>
      <c r="BQ22" s="349"/>
      <c r="BS22" s="342"/>
      <c r="BT22" s="342"/>
      <c r="BU22" s="342"/>
      <c r="BV22" s="342"/>
      <c r="BW22" s="219"/>
      <c r="BX22" s="13"/>
      <c r="BY22" s="342"/>
      <c r="BZ22" s="711"/>
      <c r="CA22" s="13"/>
      <c r="CB22" s="13"/>
      <c r="CC22" s="342"/>
      <c r="CD22" s="342"/>
      <c r="CE22" s="342"/>
      <c r="CF22" s="342"/>
      <c r="CH22" s="342"/>
      <c r="CI22" s="342"/>
      <c r="CJ22" s="342"/>
      <c r="CK22" s="342"/>
      <c r="CL22" s="643"/>
      <c r="CM22" s="13"/>
      <c r="CN22" s="643"/>
      <c r="CO22" s="342"/>
      <c r="CP22" s="342"/>
      <c r="CQ22" s="342"/>
      <c r="CR22" s="342"/>
      <c r="CW22" s="129"/>
      <c r="CX22" s="129"/>
      <c r="CY22" s="129"/>
      <c r="CZ22" s="129"/>
      <c r="DA22" s="208"/>
      <c r="DB22" s="10"/>
      <c r="DC22" s="130"/>
      <c r="DD22" s="129"/>
      <c r="DE22" s="129"/>
      <c r="DF22" s="129"/>
      <c r="DG22" s="10"/>
      <c r="DH22" s="10"/>
      <c r="DI22" s="170"/>
      <c r="DJ22" s="671"/>
      <c r="DM22" s="129"/>
      <c r="DN22" s="129"/>
      <c r="DO22" s="129"/>
      <c r="DP22" s="129"/>
      <c r="DQ22" s="208"/>
      <c r="DR22" s="10"/>
      <c r="DS22" s="130"/>
      <c r="DT22" s="129"/>
      <c r="DU22" s="129"/>
      <c r="DV22" s="129"/>
      <c r="DW22" s="10"/>
      <c r="DX22" s="10"/>
      <c r="DY22" s="170"/>
      <c r="DZ22" s="671"/>
    </row>
    <row r="23" spans="1:130" ht="30" customHeight="1">
      <c r="A23" s="226">
        <v>16</v>
      </c>
      <c r="B23" s="580"/>
      <c r="C23" s="578"/>
      <c r="D23" s="13"/>
      <c r="E23" s="349"/>
      <c r="F23" s="586" t="s">
        <v>127</v>
      </c>
      <c r="G23" s="346"/>
      <c r="H23" s="587"/>
      <c r="I23" s="346"/>
      <c r="J23" s="587"/>
      <c r="K23" s="587"/>
      <c r="L23" s="587"/>
      <c r="M23" s="600"/>
      <c r="N23" s="230"/>
      <c r="O23" s="13">
        <f t="shared" si="17"/>
        <v>0</v>
      </c>
      <c r="P23" s="13"/>
      <c r="Q23" s="13"/>
      <c r="R23" s="13"/>
      <c r="S23" s="349">
        <f t="shared" si="0"/>
        <v>0</v>
      </c>
      <c r="T23" s="616"/>
      <c r="U23" s="13" t="s">
        <v>534</v>
      </c>
      <c r="V23" s="13" t="s">
        <v>523</v>
      </c>
      <c r="W23" s="346"/>
      <c r="X23" s="617">
        <v>406</v>
      </c>
      <c r="Y23" s="13" t="s">
        <v>123</v>
      </c>
      <c r="Z23" s="13">
        <v>48</v>
      </c>
      <c r="AA23" s="13"/>
      <c r="AB23" s="219">
        <f t="shared" si="18"/>
        <v>13.92</v>
      </c>
      <c r="AC23" s="349">
        <v>1989691.2</v>
      </c>
      <c r="AD23" s="349">
        <v>12000</v>
      </c>
      <c r="AE23" s="349">
        <v>5169.6000000000004</v>
      </c>
      <c r="AF23" s="349">
        <f t="shared" si="20"/>
        <v>2006860.8</v>
      </c>
      <c r="AG23" s="13"/>
      <c r="AH23" s="13"/>
      <c r="AI23" s="13">
        <f t="shared" si="3"/>
        <v>100343.04000000001</v>
      </c>
      <c r="AJ23" s="626"/>
      <c r="AK23" s="626">
        <f t="shared" si="4"/>
        <v>2107204</v>
      </c>
      <c r="AL23" s="628"/>
      <c r="AM23" s="628">
        <v>15</v>
      </c>
      <c r="AN23" s="590"/>
      <c r="AO23" s="235"/>
      <c r="AP23" s="10"/>
      <c r="AQ23" s="235"/>
      <c r="AR23" s="647" t="s">
        <v>128</v>
      </c>
      <c r="AS23" s="342"/>
      <c r="AT23" s="643"/>
      <c r="AU23" s="643"/>
      <c r="AV23" s="644"/>
      <c r="AX23" s="13"/>
      <c r="AY23" s="11"/>
      <c r="AZ23" s="505"/>
      <c r="BA23" s="342"/>
      <c r="BB23" s="675"/>
      <c r="BD23" s="342"/>
      <c r="BE23" s="342"/>
      <c r="BF23" s="342"/>
      <c r="BG23" s="342"/>
      <c r="BH23" s="342"/>
      <c r="BI23" s="703"/>
      <c r="BJ23" s="342"/>
      <c r="BK23" s="221"/>
      <c r="BL23" s="11"/>
      <c r="BM23" s="342"/>
      <c r="BN23" s="342"/>
      <c r="BO23" s="342"/>
      <c r="BP23" s="342"/>
      <c r="BQ23" s="349"/>
      <c r="BS23" s="342"/>
      <c r="BT23" s="342"/>
      <c r="BU23" s="342"/>
      <c r="BV23" s="342"/>
      <c r="BW23" s="219"/>
      <c r="BX23" s="13"/>
      <c r="BY23" s="342"/>
      <c r="BZ23" s="711"/>
      <c r="CA23" s="13"/>
      <c r="CB23" s="13"/>
      <c r="CC23" s="342"/>
      <c r="CD23" s="342"/>
      <c r="CE23" s="342"/>
      <c r="CF23" s="342"/>
      <c r="CH23" s="342"/>
      <c r="CI23" s="342"/>
      <c r="CJ23" s="342"/>
      <c r="CK23" s="342"/>
      <c r="CL23" s="643"/>
      <c r="CM23" s="13"/>
      <c r="CN23" s="643"/>
      <c r="CO23" s="342"/>
      <c r="CP23" s="342"/>
      <c r="CQ23" s="342"/>
      <c r="CR23" s="342"/>
      <c r="CW23" s="129"/>
      <c r="CX23" s="129"/>
      <c r="CY23" s="129"/>
      <c r="CZ23" s="129"/>
      <c r="DA23" s="208"/>
      <c r="DB23" s="10"/>
      <c r="DC23" s="130"/>
      <c r="DD23" s="129"/>
      <c r="DE23" s="129"/>
      <c r="DF23" s="129"/>
      <c r="DG23" s="10"/>
      <c r="DH23" s="10"/>
      <c r="DI23" s="170"/>
      <c r="DJ23" s="671"/>
      <c r="DM23" s="129"/>
      <c r="DN23" s="129"/>
      <c r="DO23" s="129"/>
      <c r="DP23" s="129"/>
      <c r="DQ23" s="208"/>
      <c r="DR23" s="10"/>
      <c r="DS23" s="130"/>
      <c r="DT23" s="129"/>
      <c r="DU23" s="129"/>
      <c r="DV23" s="129"/>
      <c r="DW23" s="10"/>
      <c r="DX23" s="10"/>
      <c r="DY23" s="170"/>
      <c r="DZ23" s="671"/>
    </row>
    <row r="24" spans="1:130" ht="30" customHeight="1">
      <c r="A24" s="229">
        <v>17</v>
      </c>
      <c r="B24" s="580"/>
      <c r="C24" s="578"/>
      <c r="D24" s="13"/>
      <c r="E24" s="349"/>
      <c r="F24" s="586" t="s">
        <v>127</v>
      </c>
      <c r="G24" s="346"/>
      <c r="H24" s="587"/>
      <c r="I24" s="346"/>
      <c r="J24" s="587"/>
      <c r="K24" s="587"/>
      <c r="L24" s="587"/>
      <c r="M24" s="600"/>
      <c r="N24" s="230"/>
      <c r="O24" s="13">
        <f t="shared" si="17"/>
        <v>0</v>
      </c>
      <c r="P24" s="13"/>
      <c r="Q24" s="13"/>
      <c r="R24" s="13"/>
      <c r="S24" s="349">
        <f t="shared" si="0"/>
        <v>0</v>
      </c>
      <c r="T24" s="616"/>
      <c r="U24" s="13" t="s">
        <v>538</v>
      </c>
      <c r="V24" s="13" t="s">
        <v>523</v>
      </c>
      <c r="W24" s="346"/>
      <c r="X24" s="617">
        <v>412</v>
      </c>
      <c r="Y24" s="13" t="s">
        <v>123</v>
      </c>
      <c r="Z24" s="13">
        <v>48</v>
      </c>
      <c r="AA24" s="13"/>
      <c r="AB24" s="219">
        <f t="shared" ref="AB24:AB25" si="21">+Z24*290/1000</f>
        <v>13.92</v>
      </c>
      <c r="AC24" s="349">
        <v>1989691.2</v>
      </c>
      <c r="AD24" s="349">
        <v>12000</v>
      </c>
      <c r="AE24" s="349">
        <v>5169.6000000000004</v>
      </c>
      <c r="AF24" s="349">
        <f t="shared" ref="AF24:AF25" si="22">SUM(AC24:AE24)</f>
        <v>2006860.8</v>
      </c>
      <c r="AG24" s="13"/>
      <c r="AH24" s="13"/>
      <c r="AI24" s="13">
        <f t="shared" si="3"/>
        <v>100343.04000000001</v>
      </c>
      <c r="AJ24" s="626"/>
      <c r="AK24" s="626">
        <f t="shared" si="4"/>
        <v>2107204</v>
      </c>
      <c r="AL24" s="628"/>
      <c r="AM24" s="627">
        <v>16</v>
      </c>
      <c r="AN24" s="590"/>
      <c r="AO24" s="235"/>
      <c r="AP24" s="10"/>
      <c r="AQ24" s="235"/>
      <c r="AR24" s="647" t="s">
        <v>128</v>
      </c>
      <c r="AS24" s="342"/>
      <c r="AT24" s="643"/>
      <c r="AU24" s="643"/>
      <c r="AV24" s="644"/>
      <c r="AX24" s="13"/>
      <c r="AY24" s="11"/>
      <c r="AZ24" s="505"/>
      <c r="BA24" s="342"/>
      <c r="BB24" s="675"/>
      <c r="BD24" s="342"/>
      <c r="BE24" s="342"/>
      <c r="BF24" s="342"/>
      <c r="BG24" s="342"/>
      <c r="BH24" s="342"/>
      <c r="BI24" s="703"/>
      <c r="BJ24" s="342"/>
      <c r="BK24" s="221"/>
      <c r="BL24" s="11"/>
      <c r="BM24" s="342"/>
      <c r="BN24" s="342"/>
      <c r="BO24" s="342"/>
      <c r="BP24" s="342"/>
      <c r="BQ24" s="349"/>
      <c r="BS24" s="342"/>
      <c r="BT24" s="342"/>
      <c r="BU24" s="342"/>
      <c r="BV24" s="342"/>
      <c r="BW24" s="219"/>
      <c r="BX24" s="13"/>
      <c r="BY24" s="342"/>
      <c r="BZ24" s="711"/>
      <c r="CA24" s="13"/>
      <c r="CB24" s="13"/>
      <c r="CC24" s="342"/>
      <c r="CD24" s="342"/>
      <c r="CE24" s="342"/>
      <c r="CF24" s="342"/>
      <c r="CH24" s="342"/>
      <c r="CI24" s="342"/>
      <c r="CJ24" s="342"/>
      <c r="CK24" s="342"/>
      <c r="CL24" s="643"/>
      <c r="CM24" s="13"/>
      <c r="CN24" s="643"/>
      <c r="CO24" s="342"/>
      <c r="CP24" s="342"/>
      <c r="CQ24" s="342"/>
      <c r="CR24" s="342"/>
      <c r="CW24" s="129"/>
      <c r="CX24" s="129"/>
      <c r="CY24" s="129"/>
      <c r="CZ24" s="129"/>
      <c r="DA24" s="208"/>
      <c r="DB24" s="10"/>
      <c r="DC24" s="130"/>
      <c r="DD24" s="129"/>
      <c r="DE24" s="129"/>
      <c r="DF24" s="129"/>
      <c r="DG24" s="10"/>
      <c r="DH24" s="10"/>
      <c r="DI24" s="170"/>
      <c r="DJ24" s="671"/>
      <c r="DM24" s="129"/>
      <c r="DN24" s="129"/>
      <c r="DO24" s="129"/>
      <c r="DP24" s="129"/>
      <c r="DQ24" s="208"/>
      <c r="DR24" s="10"/>
      <c r="DS24" s="130"/>
      <c r="DT24" s="129"/>
      <c r="DU24" s="129"/>
      <c r="DV24" s="129"/>
      <c r="DW24" s="10"/>
      <c r="DX24" s="10"/>
      <c r="DY24" s="170"/>
      <c r="DZ24" s="671"/>
    </row>
    <row r="25" spans="1:130" ht="30" customHeight="1">
      <c r="A25" s="226">
        <v>18</v>
      </c>
      <c r="B25" s="580"/>
      <c r="C25" s="578" t="s">
        <v>129</v>
      </c>
      <c r="D25" s="13"/>
      <c r="E25" s="349"/>
      <c r="F25" s="586" t="s">
        <v>127</v>
      </c>
      <c r="G25" s="346"/>
      <c r="H25" s="587"/>
      <c r="I25" s="346"/>
      <c r="J25" s="587"/>
      <c r="K25" s="587"/>
      <c r="L25" s="587"/>
      <c r="M25" s="600"/>
      <c r="N25" s="230"/>
      <c r="O25" s="13">
        <f t="shared" si="17"/>
        <v>0</v>
      </c>
      <c r="P25" s="13"/>
      <c r="Q25" s="13"/>
      <c r="R25" s="13"/>
      <c r="S25" s="349">
        <f t="shared" si="0"/>
        <v>0</v>
      </c>
      <c r="T25" s="616"/>
      <c r="U25" s="13" t="s">
        <v>538</v>
      </c>
      <c r="V25" s="13" t="s">
        <v>523</v>
      </c>
      <c r="W25" s="346"/>
      <c r="X25" s="617">
        <v>413</v>
      </c>
      <c r="Y25" s="13" t="s">
        <v>123</v>
      </c>
      <c r="Z25" s="13">
        <v>48</v>
      </c>
      <c r="AA25" s="13"/>
      <c r="AB25" s="219">
        <f t="shared" si="21"/>
        <v>13.92</v>
      </c>
      <c r="AC25" s="349">
        <v>1989691.2</v>
      </c>
      <c r="AD25" s="349">
        <v>12000</v>
      </c>
      <c r="AE25" s="349">
        <v>5169.6000000000004</v>
      </c>
      <c r="AF25" s="349">
        <f t="shared" si="22"/>
        <v>2006860.8</v>
      </c>
      <c r="AG25" s="13"/>
      <c r="AH25" s="13"/>
      <c r="AI25" s="13">
        <f t="shared" si="3"/>
        <v>100343.04000000001</v>
      </c>
      <c r="AJ25" s="626"/>
      <c r="AK25" s="626">
        <f t="shared" si="4"/>
        <v>2107204</v>
      </c>
      <c r="AL25" s="628"/>
      <c r="AM25" s="628">
        <v>17</v>
      </c>
      <c r="AN25" s="590"/>
      <c r="AO25" s="235"/>
      <c r="AP25" s="10"/>
      <c r="AQ25" s="235"/>
      <c r="AR25" s="647" t="s">
        <v>128</v>
      </c>
      <c r="AS25" s="342"/>
      <c r="AT25" s="643"/>
      <c r="AU25" s="643"/>
      <c r="AV25" s="644"/>
      <c r="AX25" s="13"/>
      <c r="AY25" s="11"/>
      <c r="AZ25" s="505"/>
      <c r="BA25" s="342"/>
      <c r="BB25" s="675"/>
      <c r="BD25" s="342"/>
      <c r="BE25" s="342"/>
      <c r="BF25" s="342"/>
      <c r="BG25" s="342"/>
      <c r="BH25" s="342"/>
      <c r="BI25" s="703"/>
      <c r="BJ25" s="342"/>
      <c r="BK25" s="221"/>
      <c r="BL25" s="11"/>
      <c r="BM25" s="342"/>
      <c r="BN25" s="342"/>
      <c r="BO25" s="342"/>
      <c r="BP25" s="342"/>
      <c r="BQ25" s="349"/>
      <c r="BS25" s="342"/>
      <c r="BT25" s="342"/>
      <c r="BU25" s="342"/>
      <c r="BV25" s="342"/>
      <c r="BW25" s="219"/>
      <c r="BX25" s="13"/>
      <c r="BY25" s="342"/>
      <c r="BZ25" s="711"/>
      <c r="CA25" s="13"/>
      <c r="CB25" s="13"/>
      <c r="CC25" s="342"/>
      <c r="CD25" s="342"/>
      <c r="CE25" s="342"/>
      <c r="CF25" s="342"/>
      <c r="CH25" s="342"/>
      <c r="CI25" s="342"/>
      <c r="CJ25" s="342"/>
      <c r="CK25" s="342"/>
      <c r="CL25" s="643"/>
      <c r="CM25" s="13"/>
      <c r="CN25" s="643"/>
      <c r="CO25" s="342"/>
      <c r="CP25" s="342"/>
      <c r="CQ25" s="342"/>
      <c r="CR25" s="342"/>
      <c r="CW25" s="129"/>
      <c r="CX25" s="129"/>
      <c r="CY25" s="129"/>
      <c r="CZ25" s="129"/>
      <c r="DA25" s="208"/>
      <c r="DB25" s="10"/>
      <c r="DC25" s="130"/>
      <c r="DD25" s="129"/>
      <c r="DE25" s="129"/>
      <c r="DF25" s="129"/>
      <c r="DG25" s="10"/>
      <c r="DH25" s="10"/>
      <c r="DI25" s="170"/>
      <c r="DJ25" s="671"/>
      <c r="DM25" s="129"/>
      <c r="DN25" s="129"/>
      <c r="DO25" s="129"/>
      <c r="DP25" s="129"/>
      <c r="DQ25" s="208"/>
      <c r="DR25" s="10"/>
      <c r="DS25" s="130"/>
      <c r="DT25" s="129"/>
      <c r="DU25" s="129"/>
      <c r="DV25" s="129"/>
      <c r="DW25" s="10"/>
      <c r="DX25" s="10"/>
      <c r="DY25" s="170"/>
      <c r="DZ25" s="671"/>
    </row>
    <row r="26" spans="1:130" ht="30" customHeight="1">
      <c r="A26" s="229">
        <v>19</v>
      </c>
      <c r="B26" s="580"/>
      <c r="C26" s="578" t="s">
        <v>129</v>
      </c>
      <c r="D26" s="13"/>
      <c r="E26" s="349"/>
      <c r="F26" s="586" t="s">
        <v>127</v>
      </c>
      <c r="G26" s="346"/>
      <c r="H26" s="587"/>
      <c r="I26" s="346">
        <v>336</v>
      </c>
      <c r="J26" s="587">
        <f t="shared" ref="J26:J28" si="23">G26*I26/1000</f>
        <v>0</v>
      </c>
      <c r="K26" s="587"/>
      <c r="L26" s="587">
        <f t="shared" ref="L26:L31" si="24">K26-J26</f>
        <v>0</v>
      </c>
      <c r="M26" s="600"/>
      <c r="N26" s="230"/>
      <c r="O26" s="13">
        <f t="shared" si="17"/>
        <v>0</v>
      </c>
      <c r="P26" s="13"/>
      <c r="Q26" s="13"/>
      <c r="R26" s="13"/>
      <c r="S26" s="349"/>
      <c r="T26" s="616"/>
      <c r="U26" s="13"/>
      <c r="V26" s="13"/>
      <c r="W26" s="346"/>
      <c r="X26" s="617"/>
      <c r="Y26" s="13" t="s">
        <v>123</v>
      </c>
      <c r="Z26" s="13"/>
      <c r="AA26" s="13"/>
      <c r="AB26" s="219">
        <f t="shared" ref="AB26:AB30" si="25">+Z26*290/1000</f>
        <v>0</v>
      </c>
      <c r="AC26" s="349"/>
      <c r="AD26" s="349"/>
      <c r="AE26" s="349"/>
      <c r="AF26" s="349">
        <f t="shared" ref="AF26:AF27" si="26">SUM(AC26:AE26)</f>
        <v>0</v>
      </c>
      <c r="AG26" s="13"/>
      <c r="AH26" s="13"/>
      <c r="AI26" s="13">
        <f t="shared" si="3"/>
        <v>0</v>
      </c>
      <c r="AJ26" s="626"/>
      <c r="AK26" s="626">
        <f t="shared" si="4"/>
        <v>0</v>
      </c>
      <c r="AL26" s="628"/>
      <c r="AM26" s="627">
        <v>18</v>
      </c>
      <c r="AN26" s="590"/>
      <c r="AO26" s="235"/>
      <c r="AP26" s="10"/>
      <c r="AQ26" s="235"/>
      <c r="AR26" s="647" t="s">
        <v>128</v>
      </c>
      <c r="AS26" s="342"/>
      <c r="AT26" s="643"/>
      <c r="AU26" s="643"/>
      <c r="AV26" s="644"/>
      <c r="AX26" s="13"/>
      <c r="AY26" s="11"/>
      <c r="AZ26" s="505"/>
      <c r="BA26" s="342"/>
      <c r="BB26" s="675"/>
      <c r="BD26" s="342"/>
      <c r="BE26" s="342"/>
      <c r="BF26" s="342"/>
      <c r="BG26" s="342"/>
      <c r="BH26" s="342"/>
      <c r="BI26" s="703"/>
      <c r="BJ26" s="342"/>
      <c r="BK26" s="221"/>
      <c r="BL26" s="11"/>
      <c r="BM26" s="342"/>
      <c r="BN26" s="342"/>
      <c r="BO26" s="342"/>
      <c r="BP26" s="342"/>
      <c r="BQ26" s="349"/>
      <c r="BS26" s="342"/>
      <c r="BT26" s="342"/>
      <c r="BU26" s="342"/>
      <c r="BV26" s="342"/>
      <c r="BW26" s="219"/>
      <c r="BX26" s="13"/>
      <c r="BY26" s="342"/>
      <c r="BZ26" s="711"/>
      <c r="CA26" s="13"/>
      <c r="CB26" s="13"/>
      <c r="CC26" s="342"/>
      <c r="CD26" s="342"/>
      <c r="CE26" s="342"/>
      <c r="CF26" s="342"/>
      <c r="CH26" s="342"/>
      <c r="CI26" s="342"/>
      <c r="CJ26" s="342"/>
      <c r="CK26" s="342"/>
      <c r="CL26" s="643"/>
      <c r="CM26" s="13"/>
      <c r="CN26" s="643"/>
      <c r="CO26" s="342"/>
      <c r="CP26" s="342"/>
      <c r="CQ26" s="342"/>
      <c r="CR26" s="342"/>
      <c r="CW26" s="129"/>
      <c r="CX26" s="129"/>
      <c r="CY26" s="129"/>
      <c r="CZ26" s="129"/>
      <c r="DA26" s="208"/>
      <c r="DB26" s="10"/>
      <c r="DC26" s="130"/>
      <c r="DD26" s="129"/>
      <c r="DE26" s="129"/>
      <c r="DF26" s="129"/>
      <c r="DG26" s="10"/>
      <c r="DH26" s="10"/>
      <c r="DI26" s="170"/>
      <c r="DJ26" s="671"/>
      <c r="DM26" s="129"/>
      <c r="DN26" s="129"/>
      <c r="DO26" s="129"/>
      <c r="DP26" s="129"/>
      <c r="DQ26" s="208"/>
      <c r="DR26" s="10"/>
      <c r="DS26" s="130"/>
      <c r="DT26" s="129"/>
      <c r="DU26" s="129"/>
      <c r="DV26" s="129"/>
      <c r="DW26" s="10"/>
      <c r="DX26" s="10"/>
      <c r="DY26" s="170"/>
      <c r="DZ26" s="671"/>
    </row>
    <row r="27" spans="1:130" ht="30" customHeight="1">
      <c r="A27" s="226">
        <v>20</v>
      </c>
      <c r="B27" s="580"/>
      <c r="C27" s="578" t="s">
        <v>129</v>
      </c>
      <c r="D27" s="13"/>
      <c r="E27" s="349"/>
      <c r="F27" s="586" t="s">
        <v>127</v>
      </c>
      <c r="G27" s="346"/>
      <c r="H27" s="587"/>
      <c r="I27" s="346">
        <v>336</v>
      </c>
      <c r="J27" s="587">
        <f t="shared" si="23"/>
        <v>0</v>
      </c>
      <c r="K27" s="587"/>
      <c r="L27" s="587">
        <f t="shared" si="24"/>
        <v>0</v>
      </c>
      <c r="M27" s="600"/>
      <c r="N27" s="230"/>
      <c r="O27" s="13">
        <f t="shared" si="17"/>
        <v>0</v>
      </c>
      <c r="P27" s="13"/>
      <c r="Q27" s="13"/>
      <c r="R27" s="13"/>
      <c r="S27" s="349"/>
      <c r="T27" s="616"/>
      <c r="U27" s="13"/>
      <c r="V27" s="13"/>
      <c r="W27" s="346"/>
      <c r="X27" s="617"/>
      <c r="Y27" s="13" t="s">
        <v>123</v>
      </c>
      <c r="Z27" s="13"/>
      <c r="AA27" s="13"/>
      <c r="AB27" s="219">
        <f t="shared" si="25"/>
        <v>0</v>
      </c>
      <c r="AC27" s="349"/>
      <c r="AD27" s="349"/>
      <c r="AE27" s="349"/>
      <c r="AF27" s="349">
        <f t="shared" si="26"/>
        <v>0</v>
      </c>
      <c r="AG27" s="13"/>
      <c r="AH27" s="13"/>
      <c r="AI27" s="13">
        <f t="shared" si="3"/>
        <v>0</v>
      </c>
      <c r="AJ27" s="626"/>
      <c r="AK27" s="626">
        <f t="shared" si="4"/>
        <v>0</v>
      </c>
      <c r="AL27" s="628"/>
      <c r="AM27" s="628">
        <v>19</v>
      </c>
      <c r="AN27" s="590"/>
      <c r="AO27" s="235"/>
      <c r="AP27" s="10"/>
      <c r="AQ27" s="235"/>
      <c r="AR27" s="647" t="s">
        <v>128</v>
      </c>
      <c r="AS27" s="342"/>
      <c r="AT27" s="643"/>
      <c r="AU27" s="643"/>
      <c r="AV27" s="644"/>
      <c r="AX27" s="13"/>
      <c r="AY27" s="11"/>
      <c r="AZ27" s="505"/>
      <c r="BA27" s="342"/>
      <c r="BB27" s="675"/>
      <c r="BD27" s="342"/>
      <c r="BE27" s="342"/>
      <c r="BF27" s="342"/>
      <c r="BG27" s="342"/>
      <c r="BH27" s="342"/>
      <c r="BI27" s="703"/>
      <c r="BJ27" s="342"/>
      <c r="BK27" s="221"/>
      <c r="BL27" s="11"/>
      <c r="BM27" s="342"/>
      <c r="BN27" s="342"/>
      <c r="BO27" s="342"/>
      <c r="BP27" s="342"/>
      <c r="BQ27" s="349"/>
      <c r="BS27" s="342"/>
      <c r="BT27" s="342"/>
      <c r="BU27" s="342"/>
      <c r="BV27" s="342"/>
      <c r="BW27" s="219"/>
      <c r="BX27" s="13"/>
      <c r="BY27" s="342"/>
      <c r="BZ27" s="711"/>
      <c r="CA27" s="13"/>
      <c r="CB27" s="13"/>
      <c r="CC27" s="342"/>
      <c r="CD27" s="342"/>
      <c r="CE27" s="342"/>
      <c r="CF27" s="342"/>
      <c r="CH27" s="342"/>
      <c r="CI27" s="342"/>
      <c r="CJ27" s="342"/>
      <c r="CK27" s="342"/>
      <c r="CL27" s="643"/>
      <c r="CM27" s="13"/>
      <c r="CN27" s="643"/>
      <c r="CO27" s="342"/>
      <c r="CP27" s="342"/>
      <c r="CQ27" s="342"/>
      <c r="CR27" s="342"/>
      <c r="CW27" s="129"/>
      <c r="CX27" s="129"/>
      <c r="CY27" s="129"/>
      <c r="CZ27" s="129"/>
      <c r="DA27" s="208"/>
      <c r="DB27" s="10"/>
      <c r="DC27" s="130"/>
      <c r="DD27" s="129"/>
      <c r="DE27" s="129"/>
      <c r="DF27" s="129"/>
      <c r="DG27" s="10"/>
      <c r="DH27" s="10"/>
      <c r="DI27" s="170"/>
      <c r="DJ27" s="671"/>
      <c r="DM27" s="129"/>
      <c r="DN27" s="129"/>
      <c r="DO27" s="129"/>
      <c r="DP27" s="129"/>
      <c r="DQ27" s="208"/>
      <c r="DR27" s="10"/>
      <c r="DS27" s="130"/>
      <c r="DT27" s="129"/>
      <c r="DU27" s="129"/>
      <c r="DV27" s="129"/>
      <c r="DW27" s="10"/>
      <c r="DX27" s="10"/>
      <c r="DY27" s="170"/>
      <c r="DZ27" s="671"/>
    </row>
    <row r="28" spans="1:130" ht="30" customHeight="1">
      <c r="A28" s="229">
        <v>21</v>
      </c>
      <c r="B28" s="580"/>
      <c r="C28" s="578" t="s">
        <v>129</v>
      </c>
      <c r="D28" s="13"/>
      <c r="E28" s="349"/>
      <c r="F28" s="586" t="s">
        <v>127</v>
      </c>
      <c r="G28" s="346"/>
      <c r="H28" s="587"/>
      <c r="I28" s="346">
        <v>336</v>
      </c>
      <c r="J28" s="587">
        <f t="shared" si="23"/>
        <v>0</v>
      </c>
      <c r="K28" s="587"/>
      <c r="L28" s="587">
        <f t="shared" si="24"/>
        <v>0</v>
      </c>
      <c r="M28" s="600"/>
      <c r="N28" s="230"/>
      <c r="O28" s="13">
        <f t="shared" si="17"/>
        <v>0</v>
      </c>
      <c r="P28" s="13"/>
      <c r="Q28" s="13"/>
      <c r="R28" s="13"/>
      <c r="S28" s="349"/>
      <c r="T28" s="616"/>
      <c r="U28" s="13"/>
      <c r="V28" s="13"/>
      <c r="W28" s="346"/>
      <c r="X28" s="617"/>
      <c r="Y28" s="13" t="s">
        <v>123</v>
      </c>
      <c r="Z28" s="13"/>
      <c r="AA28" s="13"/>
      <c r="AB28" s="219">
        <f t="shared" si="25"/>
        <v>0</v>
      </c>
      <c r="AC28" s="349"/>
      <c r="AD28" s="349"/>
      <c r="AE28" s="349"/>
      <c r="AF28" s="349">
        <f t="shared" ref="AF28:AF29" si="27">SUM(AC28:AE28)</f>
        <v>0</v>
      </c>
      <c r="AG28" s="13"/>
      <c r="AH28" s="13"/>
      <c r="AI28" s="13">
        <f t="shared" si="3"/>
        <v>0</v>
      </c>
      <c r="AJ28" s="626"/>
      <c r="AK28" s="626">
        <f t="shared" si="4"/>
        <v>0</v>
      </c>
      <c r="AL28" s="628"/>
      <c r="AM28" s="627">
        <v>20</v>
      </c>
      <c r="AN28" s="590"/>
      <c r="AO28" s="235"/>
      <c r="AP28" s="10"/>
      <c r="AQ28" s="235"/>
      <c r="AR28" s="647" t="s">
        <v>128</v>
      </c>
      <c r="AS28" s="342"/>
      <c r="AT28" s="643"/>
      <c r="AU28" s="643"/>
      <c r="AV28" s="644"/>
      <c r="AX28" s="13"/>
      <c r="AY28" s="11"/>
      <c r="AZ28" s="505"/>
      <c r="BA28" s="342"/>
      <c r="BB28" s="675"/>
      <c r="BD28" s="342"/>
      <c r="BE28" s="342"/>
      <c r="BF28" s="342"/>
      <c r="BG28" s="342"/>
      <c r="BH28" s="342"/>
      <c r="BI28" s="703"/>
      <c r="BJ28" s="342"/>
      <c r="BK28" s="221"/>
      <c r="BL28" s="11"/>
      <c r="BM28" s="342"/>
      <c r="BN28" s="342"/>
      <c r="BO28" s="342"/>
      <c r="BP28" s="342"/>
      <c r="BQ28" s="349"/>
      <c r="BS28" s="342"/>
      <c r="BT28" s="342"/>
      <c r="BU28" s="342"/>
      <c r="BV28" s="342"/>
      <c r="BW28" s="219"/>
      <c r="BX28" s="13"/>
      <c r="BY28" s="342"/>
      <c r="BZ28" s="711"/>
      <c r="CA28" s="13"/>
      <c r="CB28" s="13"/>
      <c r="CC28" s="342"/>
      <c r="CD28" s="342"/>
      <c r="CE28" s="342"/>
      <c r="CF28" s="342"/>
      <c r="CH28" s="342"/>
      <c r="CI28" s="342"/>
      <c r="CJ28" s="342"/>
      <c r="CK28" s="342"/>
      <c r="CL28" s="643"/>
      <c r="CM28" s="13"/>
      <c r="CN28" s="643"/>
      <c r="CO28" s="342"/>
      <c r="CP28" s="342"/>
      <c r="CQ28" s="342"/>
      <c r="CR28" s="342"/>
      <c r="CW28" s="129"/>
      <c r="CX28" s="129"/>
      <c r="CY28" s="129"/>
      <c r="CZ28" s="129"/>
      <c r="DA28" s="208"/>
      <c r="DB28" s="10"/>
      <c r="DC28" s="130"/>
      <c r="DD28" s="129"/>
      <c r="DE28" s="129"/>
      <c r="DF28" s="129"/>
      <c r="DG28" s="10"/>
      <c r="DH28" s="10"/>
      <c r="DI28" s="170"/>
      <c r="DJ28" s="671"/>
      <c r="DM28" s="129"/>
      <c r="DN28" s="129"/>
      <c r="DO28" s="129"/>
      <c r="DP28" s="129"/>
      <c r="DQ28" s="208"/>
      <c r="DR28" s="10"/>
      <c r="DS28" s="130"/>
      <c r="DT28" s="129"/>
      <c r="DU28" s="129"/>
      <c r="DV28" s="129"/>
      <c r="DW28" s="10"/>
      <c r="DX28" s="10"/>
      <c r="DY28" s="170"/>
      <c r="DZ28" s="671"/>
    </row>
    <row r="29" spans="1:130" ht="30" customHeight="1">
      <c r="A29" s="226">
        <v>22</v>
      </c>
      <c r="B29" s="580"/>
      <c r="C29" s="578" t="s">
        <v>129</v>
      </c>
      <c r="D29" s="13"/>
      <c r="E29" s="349"/>
      <c r="F29" s="586" t="s">
        <v>127</v>
      </c>
      <c r="G29" s="346"/>
      <c r="H29" s="346"/>
      <c r="I29" s="346">
        <v>336</v>
      </c>
      <c r="J29" s="587">
        <f>+G29*I29/1000</f>
        <v>0</v>
      </c>
      <c r="K29" s="587"/>
      <c r="L29" s="587">
        <f t="shared" si="24"/>
        <v>0</v>
      </c>
      <c r="M29" s="600"/>
      <c r="N29" s="230"/>
      <c r="O29" s="13">
        <f t="shared" si="17"/>
        <v>0</v>
      </c>
      <c r="P29" s="13"/>
      <c r="Q29" s="13"/>
      <c r="R29" s="13"/>
      <c r="S29" s="349"/>
      <c r="T29" s="616"/>
      <c r="U29" s="13"/>
      <c r="V29" s="13"/>
      <c r="W29" s="346"/>
      <c r="X29" s="617"/>
      <c r="Y29" s="13" t="s">
        <v>123</v>
      </c>
      <c r="Z29" s="13"/>
      <c r="AA29" s="13"/>
      <c r="AB29" s="219">
        <f t="shared" si="25"/>
        <v>0</v>
      </c>
      <c r="AC29" s="349"/>
      <c r="AD29" s="349"/>
      <c r="AE29" s="349"/>
      <c r="AF29" s="349">
        <f t="shared" si="27"/>
        <v>0</v>
      </c>
      <c r="AG29" s="13"/>
      <c r="AH29" s="13"/>
      <c r="AI29" s="13">
        <f t="shared" si="3"/>
        <v>0</v>
      </c>
      <c r="AJ29" s="626"/>
      <c r="AK29" s="626">
        <f t="shared" si="4"/>
        <v>0</v>
      </c>
      <c r="AL29" s="628"/>
      <c r="AM29" s="628"/>
      <c r="AN29" s="980" t="s">
        <v>10</v>
      </c>
      <c r="AO29" s="981"/>
      <c r="AP29" s="981"/>
      <c r="AQ29" s="981"/>
      <c r="AR29" s="982"/>
      <c r="AS29" s="645">
        <f>SUM(AS19:AS28)</f>
        <v>0</v>
      </c>
      <c r="AT29" s="645">
        <f>SUM(AT19:AT28)</f>
        <v>0</v>
      </c>
      <c r="AU29" s="645">
        <f>SUM(AU19:AU28)</f>
        <v>0</v>
      </c>
      <c r="AV29" s="646">
        <f>SUM(AV19:AV28)</f>
        <v>0</v>
      </c>
      <c r="AX29" s="13"/>
      <c r="AY29" s="11"/>
      <c r="AZ29" s="505"/>
      <c r="BA29" s="342"/>
      <c r="BB29" s="675"/>
      <c r="BD29" s="342"/>
      <c r="BE29" s="342"/>
      <c r="BF29" s="342"/>
      <c r="BG29" s="342"/>
      <c r="BH29" s="342"/>
      <c r="BI29" s="703"/>
      <c r="BJ29" s="342"/>
      <c r="BK29" s="221"/>
      <c r="BL29" s="11"/>
      <c r="BM29" s="342"/>
      <c r="BN29" s="342"/>
      <c r="BO29" s="342"/>
      <c r="BP29" s="342"/>
      <c r="BQ29" s="349"/>
      <c r="BS29" s="342"/>
      <c r="BT29" s="342"/>
      <c r="BU29" s="342"/>
      <c r="BV29" s="342"/>
      <c r="BW29" s="219"/>
      <c r="BX29" s="13"/>
      <c r="BY29" s="342"/>
      <c r="BZ29" s="711"/>
      <c r="CA29" s="13"/>
      <c r="CB29" s="13"/>
      <c r="CC29" s="342"/>
      <c r="CD29" s="342"/>
      <c r="CE29" s="342"/>
      <c r="CF29" s="342"/>
      <c r="CH29" s="342"/>
      <c r="CI29" s="342"/>
      <c r="CJ29" s="342"/>
      <c r="CK29" s="342"/>
      <c r="CL29" s="643"/>
      <c r="CM29" s="13"/>
      <c r="CN29" s="643"/>
      <c r="CO29" s="342"/>
      <c r="CP29" s="342"/>
      <c r="CQ29" s="342"/>
      <c r="CR29" s="342"/>
      <c r="CW29" s="129"/>
      <c r="CX29" s="129"/>
      <c r="CY29" s="129"/>
      <c r="CZ29" s="129"/>
      <c r="DA29" s="208"/>
      <c r="DB29" s="10"/>
      <c r="DC29" s="130"/>
      <c r="DD29" s="129"/>
      <c r="DE29" s="129"/>
      <c r="DF29" s="129"/>
      <c r="DG29" s="10"/>
      <c r="DH29" s="10"/>
      <c r="DI29" s="170"/>
      <c r="DJ29" s="671"/>
      <c r="DM29" s="129"/>
      <c r="DN29" s="129"/>
      <c r="DO29" s="129"/>
      <c r="DP29" s="129"/>
      <c r="DQ29" s="208"/>
      <c r="DR29" s="10"/>
      <c r="DS29" s="130"/>
      <c r="DT29" s="129"/>
      <c r="DU29" s="129"/>
      <c r="DV29" s="129"/>
      <c r="DW29" s="10"/>
      <c r="DX29" s="10"/>
      <c r="DY29" s="170"/>
      <c r="DZ29" s="671"/>
    </row>
    <row r="30" spans="1:130" ht="30" customHeight="1">
      <c r="A30" s="229">
        <v>23</v>
      </c>
      <c r="B30" s="580"/>
      <c r="C30" s="578" t="s">
        <v>129</v>
      </c>
      <c r="D30" s="13"/>
      <c r="E30" s="349"/>
      <c r="F30" s="586" t="s">
        <v>127</v>
      </c>
      <c r="G30" s="346"/>
      <c r="H30" s="346"/>
      <c r="I30" s="346">
        <v>336</v>
      </c>
      <c r="J30" s="587">
        <f>G30*I30/1000</f>
        <v>0</v>
      </c>
      <c r="K30" s="587"/>
      <c r="L30" s="587">
        <f t="shared" si="24"/>
        <v>0</v>
      </c>
      <c r="M30" s="600"/>
      <c r="N30" s="230"/>
      <c r="O30" s="13"/>
      <c r="P30" s="13"/>
      <c r="Q30" s="13"/>
      <c r="R30" s="13"/>
      <c r="S30" s="349"/>
      <c r="T30" s="616"/>
      <c r="U30" s="13"/>
      <c r="V30" s="13"/>
      <c r="W30" s="346"/>
      <c r="X30" s="617"/>
      <c r="Y30" s="13" t="s">
        <v>123</v>
      </c>
      <c r="Z30" s="13"/>
      <c r="AA30" s="13"/>
      <c r="AB30" s="219">
        <f t="shared" si="25"/>
        <v>0</v>
      </c>
      <c r="AC30" s="349"/>
      <c r="AD30" s="349"/>
      <c r="AE30" s="349"/>
      <c r="AF30" s="349"/>
      <c r="AG30" s="13"/>
      <c r="AH30" s="13"/>
      <c r="AI30" s="13">
        <f t="shared" si="3"/>
        <v>0</v>
      </c>
      <c r="AJ30" s="626"/>
      <c r="AK30" s="626">
        <f t="shared" si="4"/>
        <v>0</v>
      </c>
      <c r="AL30" s="628"/>
      <c r="AM30" s="627">
        <v>21</v>
      </c>
      <c r="AN30" s="419" t="s">
        <v>524</v>
      </c>
      <c r="AO30" s="636"/>
      <c r="AP30" s="637">
        <v>383</v>
      </c>
      <c r="AQ30" s="636"/>
      <c r="AR30" s="648" t="s">
        <v>130</v>
      </c>
      <c r="AS30" s="639">
        <v>8</v>
      </c>
      <c r="AT30" s="640">
        <v>0.39400000000000002</v>
      </c>
      <c r="AU30" s="640"/>
      <c r="AV30" s="641">
        <v>51734.96</v>
      </c>
      <c r="AW30">
        <v>1293.3699999999999</v>
      </c>
      <c r="AX30" s="13">
        <f>+AW30</f>
        <v>1293.3699999999999</v>
      </c>
      <c r="AY30" s="11"/>
      <c r="AZ30" s="505"/>
      <c r="BA30" s="342"/>
      <c r="BB30" s="675">
        <f t="shared" si="5"/>
        <v>54322</v>
      </c>
      <c r="BD30" s="342"/>
      <c r="BE30" s="342"/>
      <c r="BF30" s="342"/>
      <c r="BG30" s="342"/>
      <c r="BH30" s="342"/>
      <c r="BI30" s="703"/>
      <c r="BJ30" s="342"/>
      <c r="BK30" s="221"/>
      <c r="BL30" s="11"/>
      <c r="BM30" s="342"/>
      <c r="BN30" s="342"/>
      <c r="BO30" s="342"/>
      <c r="BP30" s="342"/>
      <c r="BQ30" s="349"/>
      <c r="BS30" s="342"/>
      <c r="BT30" s="342"/>
      <c r="BU30" s="342"/>
      <c r="BV30" s="342"/>
      <c r="BW30" s="219"/>
      <c r="BX30" s="13"/>
      <c r="BY30" s="342"/>
      <c r="BZ30" s="711"/>
      <c r="CA30" s="13"/>
      <c r="CB30" s="13"/>
      <c r="CC30" s="342"/>
      <c r="CD30" s="342"/>
      <c r="CE30" s="342"/>
      <c r="CF30" s="342"/>
      <c r="CH30" s="342"/>
      <c r="CI30" s="342"/>
      <c r="CJ30" s="342"/>
      <c r="CK30" s="342"/>
      <c r="CL30" s="643"/>
      <c r="CM30" s="13"/>
      <c r="CN30" s="643"/>
      <c r="CO30" s="342"/>
      <c r="CP30" s="342"/>
      <c r="CQ30" s="342"/>
      <c r="CR30" s="342"/>
      <c r="CW30" s="129"/>
      <c r="CX30" s="129"/>
      <c r="CY30" s="129"/>
      <c r="CZ30" s="129"/>
      <c r="DA30" s="208"/>
      <c r="DB30" s="10"/>
      <c r="DC30" s="130"/>
      <c r="DD30" s="129"/>
      <c r="DE30" s="129"/>
      <c r="DF30" s="129"/>
      <c r="DG30" s="10"/>
      <c r="DH30" s="10"/>
      <c r="DI30" s="170"/>
      <c r="DJ30" s="671"/>
      <c r="DM30" s="129"/>
      <c r="DN30" s="129"/>
      <c r="DO30" s="129"/>
      <c r="DP30" s="129"/>
      <c r="DQ30" s="208"/>
      <c r="DR30" s="10"/>
      <c r="DS30" s="130"/>
      <c r="DT30" s="129"/>
      <c r="DU30" s="129"/>
      <c r="DV30" s="129"/>
      <c r="DW30" s="10"/>
      <c r="DX30" s="10"/>
      <c r="DY30" s="170"/>
      <c r="DZ30" s="671"/>
    </row>
    <row r="31" spans="1:130" ht="30" customHeight="1">
      <c r="A31" s="226">
        <v>24</v>
      </c>
      <c r="B31" s="580"/>
      <c r="C31" s="13"/>
      <c r="D31" s="13"/>
      <c r="E31" s="349"/>
      <c r="F31" s="586" t="s">
        <v>127</v>
      </c>
      <c r="G31" s="349"/>
      <c r="H31" s="349"/>
      <c r="I31" s="346">
        <v>336</v>
      </c>
      <c r="J31" s="587">
        <f>G31*I31/1000</f>
        <v>0</v>
      </c>
      <c r="K31" s="587"/>
      <c r="L31" s="587">
        <f t="shared" si="24"/>
        <v>0</v>
      </c>
      <c r="M31" s="600"/>
      <c r="N31" s="230"/>
      <c r="O31" s="13">
        <f>+N31</f>
        <v>0</v>
      </c>
      <c r="P31" s="346"/>
      <c r="Q31" s="13"/>
      <c r="R31" s="346"/>
      <c r="S31" s="349">
        <f t="shared" si="0"/>
        <v>0</v>
      </c>
      <c r="T31" s="616"/>
      <c r="U31" s="13"/>
      <c r="V31" s="13"/>
      <c r="W31" s="346"/>
      <c r="X31" s="346"/>
      <c r="Y31" s="13" t="s">
        <v>123</v>
      </c>
      <c r="Z31" s="13"/>
      <c r="AA31" s="13"/>
      <c r="AB31" s="219">
        <f t="shared" si="10"/>
        <v>0</v>
      </c>
      <c r="AC31" s="349"/>
      <c r="AD31" s="349"/>
      <c r="AE31" s="349"/>
      <c r="AF31" s="349">
        <f t="shared" ref="AF31:AF71" si="28">SUM(AC31:AE31)</f>
        <v>0</v>
      </c>
      <c r="AG31" s="13"/>
      <c r="AH31" s="13"/>
      <c r="AI31" s="13">
        <f t="shared" si="3"/>
        <v>0</v>
      </c>
      <c r="AJ31" s="626"/>
      <c r="AK31" s="626">
        <f t="shared" si="4"/>
        <v>0</v>
      </c>
      <c r="AL31" s="628"/>
      <c r="AM31" s="628">
        <v>22</v>
      </c>
      <c r="AN31" s="629" t="s">
        <v>534</v>
      </c>
      <c r="AO31" s="618"/>
      <c r="AP31" s="342">
        <v>408</v>
      </c>
      <c r="AQ31" s="13"/>
      <c r="AR31" s="649" t="s">
        <v>130</v>
      </c>
      <c r="AS31" s="11">
        <v>160</v>
      </c>
      <c r="AT31" s="643">
        <v>8</v>
      </c>
      <c r="AU31" s="650"/>
      <c r="AV31" s="651">
        <v>1042680</v>
      </c>
      <c r="AW31" s="681">
        <v>26067</v>
      </c>
      <c r="AX31" s="13">
        <f>+AW31</f>
        <v>26067</v>
      </c>
      <c r="AY31" s="682"/>
      <c r="AZ31" s="682"/>
      <c r="BA31" s="683"/>
      <c r="BB31" s="675">
        <f t="shared" si="5"/>
        <v>1094814</v>
      </c>
      <c r="BD31" s="342"/>
      <c r="BE31" s="342"/>
      <c r="BF31" s="342"/>
      <c r="BG31" s="342"/>
      <c r="BH31" s="342"/>
      <c r="BI31" s="703"/>
      <c r="BJ31" s="342"/>
      <c r="BK31" s="221">
        <f>BI31*BJ31/1000</f>
        <v>0</v>
      </c>
      <c r="BL31" s="11"/>
      <c r="BM31" s="342"/>
      <c r="BN31" s="342"/>
      <c r="BO31" s="342"/>
      <c r="BP31" s="342"/>
      <c r="BQ31" s="349">
        <f>SUM(BL31:BO31)</f>
        <v>0</v>
      </c>
      <c r="BS31" s="342"/>
      <c r="BT31" s="342"/>
      <c r="BU31" s="342"/>
      <c r="BV31" s="342"/>
      <c r="BW31" s="219"/>
      <c r="BX31" s="13">
        <v>300</v>
      </c>
      <c r="BY31" s="342"/>
      <c r="BZ31" s="342"/>
      <c r="CA31" s="13"/>
      <c r="CB31" s="13"/>
      <c r="CC31" s="342">
        <f t="shared" ref="CC31:CC93" si="29">BW31*BX31+BY31</f>
        <v>0</v>
      </c>
      <c r="CD31" s="342"/>
      <c r="CE31" s="342"/>
      <c r="CF31" s="342"/>
      <c r="CH31" s="342"/>
      <c r="CI31" s="342"/>
      <c r="CJ31" s="342"/>
      <c r="CK31" s="342"/>
      <c r="CL31" s="643"/>
      <c r="CM31" s="13"/>
      <c r="CN31" s="643"/>
      <c r="CO31" s="342"/>
      <c r="CP31" s="342"/>
      <c r="CQ31" s="342"/>
      <c r="CR31" s="342">
        <f t="shared" si="6"/>
        <v>0</v>
      </c>
      <c r="CW31" s="3"/>
      <c r="CX31" s="129"/>
      <c r="CY31" s="129"/>
      <c r="CZ31" s="3"/>
      <c r="DA31" s="208"/>
      <c r="DB31" s="129"/>
      <c r="DC31" s="130"/>
      <c r="DD31" s="129"/>
      <c r="DE31" s="129"/>
      <c r="DF31" s="3"/>
      <c r="DG31" s="3"/>
      <c r="DH31" s="3"/>
      <c r="DJ31" s="671">
        <f t="shared" si="7"/>
        <v>0</v>
      </c>
      <c r="DM31" s="3"/>
      <c r="DN31" s="129"/>
      <c r="DO31" s="129"/>
      <c r="DP31" s="3"/>
      <c r="DQ31" s="208"/>
      <c r="DR31" s="129"/>
      <c r="DS31" s="130"/>
      <c r="DT31" s="129"/>
      <c r="DU31" s="129"/>
      <c r="DV31" s="3"/>
      <c r="DW31" s="3"/>
      <c r="DX31" s="3"/>
      <c r="DZ31" s="671">
        <f t="shared" ref="DZ31:DZ54" si="30">SUM(DT31:DX31)</f>
        <v>0</v>
      </c>
    </row>
    <row r="32" spans="1:130" ht="30" customHeight="1">
      <c r="A32" s="229">
        <v>25</v>
      </c>
      <c r="B32" s="985" t="s">
        <v>10</v>
      </c>
      <c r="C32" s="986"/>
      <c r="D32" s="986"/>
      <c r="E32" s="986"/>
      <c r="F32" s="987"/>
      <c r="G32" s="588">
        <f>SUM(G19:G31)</f>
        <v>115</v>
      </c>
      <c r="H32" s="588">
        <f>SUM(H19:H31)</f>
        <v>38.144999999999996</v>
      </c>
      <c r="I32" s="602"/>
      <c r="J32" s="602"/>
      <c r="K32" s="602"/>
      <c r="L32" s="602"/>
      <c r="M32" s="604">
        <f>SUM(M19:M31)</f>
        <v>5321836.8800000008</v>
      </c>
      <c r="N32" s="230"/>
      <c r="O32" s="13">
        <f t="shared" ref="O32:O43" si="31">+N32</f>
        <v>0</v>
      </c>
      <c r="P32" s="346"/>
      <c r="Q32" s="346"/>
      <c r="R32" s="346"/>
      <c r="S32" s="349">
        <f t="shared" si="0"/>
        <v>5321837</v>
      </c>
      <c r="T32" s="616"/>
      <c r="U32" s="13"/>
      <c r="V32" s="13"/>
      <c r="W32" s="618"/>
      <c r="X32" s="618"/>
      <c r="Y32" s="13" t="s">
        <v>123</v>
      </c>
      <c r="Z32" s="13"/>
      <c r="AA32" s="13"/>
      <c r="AB32" s="219">
        <f t="shared" si="10"/>
        <v>0</v>
      </c>
      <c r="AC32" s="349"/>
      <c r="AD32" s="349"/>
      <c r="AE32" s="349"/>
      <c r="AF32" s="349">
        <f t="shared" si="28"/>
        <v>0</v>
      </c>
      <c r="AG32" s="13"/>
      <c r="AH32" s="13"/>
      <c r="AI32" s="13">
        <f t="shared" si="3"/>
        <v>0</v>
      </c>
      <c r="AJ32" s="626"/>
      <c r="AK32" s="626">
        <f t="shared" si="4"/>
        <v>0</v>
      </c>
      <c r="AL32" s="628"/>
      <c r="AM32" s="627">
        <v>23</v>
      </c>
      <c r="AN32" s="629"/>
      <c r="AO32" s="618"/>
      <c r="AP32" s="342"/>
      <c r="AQ32" s="13"/>
      <c r="AR32" s="649" t="s">
        <v>130</v>
      </c>
      <c r="AS32" s="11"/>
      <c r="AT32" s="643"/>
      <c r="AU32" s="650"/>
      <c r="AV32" s="644"/>
      <c r="AW32" s="681"/>
      <c r="AX32" s="13"/>
      <c r="AY32" s="11"/>
      <c r="AZ32" s="11"/>
      <c r="BA32" s="342"/>
      <c r="BB32" s="675">
        <f t="shared" si="5"/>
        <v>0</v>
      </c>
      <c r="BD32" s="684"/>
      <c r="BE32" s="684"/>
      <c r="BF32" s="684"/>
      <c r="BG32" s="684"/>
      <c r="BH32" s="684"/>
      <c r="BI32" s="704"/>
      <c r="BJ32" s="684"/>
      <c r="BK32" s="705">
        <f>BI32*BJ32/1000</f>
        <v>0</v>
      </c>
      <c r="BL32" s="672"/>
      <c r="BM32" s="710"/>
      <c r="BN32" s="710"/>
      <c r="BO32" s="684"/>
      <c r="BP32" s="342"/>
      <c r="BQ32" s="349">
        <f>SUM(BL32:BO32)</f>
        <v>0</v>
      </c>
      <c r="BS32" s="342"/>
      <c r="BT32" s="342"/>
      <c r="BU32" s="342"/>
      <c r="BV32" s="342"/>
      <c r="BW32" s="219"/>
      <c r="BX32" s="13">
        <v>300</v>
      </c>
      <c r="BY32" s="342"/>
      <c r="BZ32" s="711"/>
      <c r="CA32" s="13"/>
      <c r="CB32" s="13"/>
      <c r="CC32" s="342">
        <f t="shared" si="29"/>
        <v>0</v>
      </c>
      <c r="CD32" s="342"/>
      <c r="CE32" s="342"/>
      <c r="CF32" s="342"/>
      <c r="CH32" s="342"/>
      <c r="CI32" s="342"/>
      <c r="CJ32" s="342"/>
      <c r="CK32" s="342"/>
      <c r="CL32" s="643"/>
      <c r="CM32" s="13">
        <v>600</v>
      </c>
      <c r="CN32" s="342"/>
      <c r="CO32" s="342"/>
      <c r="CP32" s="342"/>
      <c r="CQ32" s="342"/>
      <c r="CR32" s="342">
        <f t="shared" si="6"/>
        <v>0</v>
      </c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J32" s="671">
        <f t="shared" si="7"/>
        <v>0</v>
      </c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Z32" s="671">
        <f t="shared" si="30"/>
        <v>0</v>
      </c>
    </row>
    <row r="33" spans="1:130" ht="30" customHeight="1">
      <c r="A33" s="226">
        <v>26</v>
      </c>
      <c r="B33" s="582" t="s">
        <v>520</v>
      </c>
      <c r="C33" s="578"/>
      <c r="D33" s="578"/>
      <c r="E33" s="420">
        <v>374</v>
      </c>
      <c r="F33" s="589" t="s">
        <v>131</v>
      </c>
      <c r="G33" s="584">
        <v>40</v>
      </c>
      <c r="H33" s="584">
        <v>17.495000000000001</v>
      </c>
      <c r="I33" s="584"/>
      <c r="J33" s="585"/>
      <c r="K33" s="585"/>
      <c r="L33" s="585"/>
      <c r="M33" s="598">
        <v>2552485.5099999998</v>
      </c>
      <c r="N33" s="230">
        <v>63812.14</v>
      </c>
      <c r="O33" s="13">
        <f t="shared" si="31"/>
        <v>63812.14</v>
      </c>
      <c r="P33" s="346"/>
      <c r="Q33" s="346"/>
      <c r="R33" s="346"/>
      <c r="S33" s="349">
        <f t="shared" si="0"/>
        <v>2680110</v>
      </c>
      <c r="T33" s="616"/>
      <c r="U33" s="13"/>
      <c r="V33" s="13"/>
      <c r="W33" s="346"/>
      <c r="X33" s="619"/>
      <c r="Y33" s="13" t="s">
        <v>123</v>
      </c>
      <c r="Z33" s="13"/>
      <c r="AA33" s="13"/>
      <c r="AB33" s="219">
        <f t="shared" si="10"/>
        <v>0</v>
      </c>
      <c r="AC33" s="349"/>
      <c r="AD33" s="349"/>
      <c r="AE33" s="349"/>
      <c r="AF33" s="349">
        <f t="shared" si="28"/>
        <v>0</v>
      </c>
      <c r="AG33" s="13"/>
      <c r="AH33" s="13"/>
      <c r="AI33" s="13">
        <f t="shared" si="3"/>
        <v>0</v>
      </c>
      <c r="AJ33" s="626"/>
      <c r="AK33" s="626">
        <f t="shared" si="4"/>
        <v>0</v>
      </c>
      <c r="AL33" s="628"/>
      <c r="AM33" s="628">
        <v>24</v>
      </c>
      <c r="AN33" s="630"/>
      <c r="AO33" s="652"/>
      <c r="AP33" s="342"/>
      <c r="AQ33" s="13"/>
      <c r="AR33" s="649" t="s">
        <v>130</v>
      </c>
      <c r="AS33" s="11"/>
      <c r="AT33" s="643"/>
      <c r="AU33" s="643"/>
      <c r="AV33" s="651"/>
      <c r="AW33" s="681"/>
      <c r="AX33" s="13"/>
      <c r="AY33" s="11"/>
      <c r="AZ33" s="11"/>
      <c r="BA33" s="342"/>
      <c r="BB33" s="675">
        <f t="shared" si="5"/>
        <v>0</v>
      </c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49">
        <f>SUM(BL33:BO33)</f>
        <v>0</v>
      </c>
      <c r="BS33" s="342"/>
      <c r="BT33" s="342"/>
      <c r="BU33" s="342"/>
      <c r="BV33" s="342"/>
      <c r="BW33" s="219"/>
      <c r="BX33" s="13">
        <v>300</v>
      </c>
      <c r="BY33" s="342"/>
      <c r="BZ33" s="342"/>
      <c r="CA33" s="13"/>
      <c r="CB33" s="13"/>
      <c r="CC33" s="342">
        <f t="shared" si="29"/>
        <v>0</v>
      </c>
      <c r="CD33" s="342"/>
      <c r="CE33" s="342"/>
      <c r="CF33" s="342"/>
      <c r="CH33" s="342"/>
      <c r="CI33" s="342"/>
      <c r="CJ33" s="342"/>
      <c r="CK33" s="342"/>
      <c r="CL33" s="643"/>
      <c r="CM33" s="13">
        <v>600</v>
      </c>
      <c r="CN33" s="342"/>
      <c r="CO33" s="342"/>
      <c r="CP33" s="342"/>
      <c r="CQ33" s="342"/>
      <c r="CR33" s="342">
        <f t="shared" si="6"/>
        <v>0</v>
      </c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J33" s="671">
        <f t="shared" si="7"/>
        <v>0</v>
      </c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Z33" s="671">
        <f t="shared" si="30"/>
        <v>0</v>
      </c>
    </row>
    <row r="34" spans="1:130" s="234" customFormat="1" ht="30" customHeight="1">
      <c r="A34" s="229">
        <v>27</v>
      </c>
      <c r="B34" s="590" t="s">
        <v>525</v>
      </c>
      <c r="C34" s="349"/>
      <c r="D34" s="349"/>
      <c r="E34" s="349">
        <v>388</v>
      </c>
      <c r="F34" s="591" t="s">
        <v>131</v>
      </c>
      <c r="G34" s="346">
        <v>12</v>
      </c>
      <c r="H34" s="346">
        <v>5.2489999999999997</v>
      </c>
      <c r="I34" s="346"/>
      <c r="J34" s="587"/>
      <c r="K34" s="587"/>
      <c r="L34" s="587"/>
      <c r="M34" s="600">
        <v>786237.21</v>
      </c>
      <c r="N34" s="230">
        <v>19655.93</v>
      </c>
      <c r="O34" s="13">
        <f t="shared" si="31"/>
        <v>19655.93</v>
      </c>
      <c r="P34" s="349"/>
      <c r="Q34" s="349"/>
      <c r="R34" s="349"/>
      <c r="S34" s="349">
        <f t="shared" si="0"/>
        <v>825549</v>
      </c>
      <c r="T34" s="616"/>
      <c r="U34" s="13"/>
      <c r="V34" s="13"/>
      <c r="W34" s="349"/>
      <c r="X34" s="349"/>
      <c r="Y34" s="13" t="s">
        <v>123</v>
      </c>
      <c r="Z34" s="13"/>
      <c r="AA34" s="13"/>
      <c r="AB34" s="219">
        <f t="shared" si="10"/>
        <v>0</v>
      </c>
      <c r="AC34" s="349"/>
      <c r="AD34" s="349"/>
      <c r="AE34" s="349"/>
      <c r="AF34" s="349">
        <f t="shared" si="28"/>
        <v>0</v>
      </c>
      <c r="AG34" s="13"/>
      <c r="AH34" s="13"/>
      <c r="AI34" s="13">
        <f t="shared" si="3"/>
        <v>0</v>
      </c>
      <c r="AJ34" s="626"/>
      <c r="AK34" s="626">
        <f t="shared" si="4"/>
        <v>0</v>
      </c>
      <c r="AL34" s="628"/>
      <c r="AM34" s="627">
        <v>25</v>
      </c>
      <c r="AN34" s="630"/>
      <c r="AO34" s="652"/>
      <c r="AP34" s="342"/>
      <c r="AQ34" s="13"/>
      <c r="AR34" s="653" t="s">
        <v>130</v>
      </c>
      <c r="AS34" s="11"/>
      <c r="AT34" s="654"/>
      <c r="AU34" s="654"/>
      <c r="AV34" s="655"/>
      <c r="AW34" s="685"/>
      <c r="AX34" s="581"/>
      <c r="AY34" s="657"/>
      <c r="AZ34" s="657"/>
      <c r="BA34" s="657"/>
      <c r="BB34" s="675">
        <f t="shared" si="5"/>
        <v>0</v>
      </c>
      <c r="BD34" s="235"/>
      <c r="BE34" s="235"/>
      <c r="BF34" s="235"/>
      <c r="BG34" s="235"/>
      <c r="BH34" s="235"/>
      <c r="BI34" s="235"/>
      <c r="BJ34" s="235"/>
      <c r="BK34" s="235"/>
      <c r="BL34" s="235"/>
      <c r="BM34" s="235"/>
      <c r="BN34" s="235"/>
      <c r="BO34" s="235"/>
      <c r="BP34" s="235"/>
      <c r="BQ34" s="349">
        <f>SUM(BL34:BO34)</f>
        <v>0</v>
      </c>
      <c r="BS34" s="11"/>
      <c r="BT34" s="11"/>
      <c r="BU34" s="11"/>
      <c r="BV34" s="11"/>
      <c r="BW34" s="219"/>
      <c r="BX34" s="13">
        <v>300</v>
      </c>
      <c r="BY34" s="11"/>
      <c r="BZ34" s="11"/>
      <c r="CA34" s="11"/>
      <c r="CB34" s="13"/>
      <c r="CC34" s="11">
        <f t="shared" si="29"/>
        <v>0</v>
      </c>
      <c r="CD34" s="11"/>
      <c r="CE34" s="11"/>
      <c r="CF34" s="11"/>
      <c r="CH34" s="11"/>
      <c r="CI34" s="11"/>
      <c r="CJ34" s="11"/>
      <c r="CK34" s="11"/>
      <c r="CL34" s="11"/>
      <c r="CM34" s="13">
        <v>600</v>
      </c>
      <c r="CN34" s="11"/>
      <c r="CO34" s="11"/>
      <c r="CP34" s="11"/>
      <c r="CQ34" s="11"/>
      <c r="CR34" s="11">
        <f t="shared" si="6"/>
        <v>0</v>
      </c>
      <c r="CW34" s="235"/>
      <c r="CX34" s="235"/>
      <c r="CY34" s="235"/>
      <c r="CZ34" s="235"/>
      <c r="DA34" s="235"/>
      <c r="DB34" s="235"/>
      <c r="DC34" s="235"/>
      <c r="DD34" s="235"/>
      <c r="DE34" s="235"/>
      <c r="DF34" s="235"/>
      <c r="DG34" s="235"/>
      <c r="DH34" s="235"/>
      <c r="DJ34" s="671">
        <f t="shared" si="7"/>
        <v>0</v>
      </c>
      <c r="DM34" s="235"/>
      <c r="DN34" s="235"/>
      <c r="DO34" s="235"/>
      <c r="DP34" s="235"/>
      <c r="DQ34" s="235"/>
      <c r="DR34" s="235"/>
      <c r="DS34" s="235"/>
      <c r="DT34" s="235"/>
      <c r="DU34" s="235"/>
      <c r="DV34" s="235"/>
      <c r="DW34" s="235"/>
      <c r="DX34" s="235"/>
      <c r="DZ34" s="671">
        <f t="shared" si="30"/>
        <v>0</v>
      </c>
    </row>
    <row r="35" spans="1:130" s="234" customFormat="1" ht="30" customHeight="1">
      <c r="A35" s="226">
        <v>28</v>
      </c>
      <c r="B35" s="590" t="s">
        <v>528</v>
      </c>
      <c r="C35" s="349"/>
      <c r="D35" s="349"/>
      <c r="E35" s="349">
        <v>392</v>
      </c>
      <c r="F35" s="591" t="s">
        <v>131</v>
      </c>
      <c r="G35" s="346">
        <v>22</v>
      </c>
      <c r="H35" s="346">
        <v>9.6219999999999999</v>
      </c>
      <c r="I35" s="346"/>
      <c r="J35" s="587"/>
      <c r="K35" s="587"/>
      <c r="L35" s="587"/>
      <c r="M35" s="600">
        <v>1455298.63</v>
      </c>
      <c r="N35" s="230">
        <v>36382.47</v>
      </c>
      <c r="O35" s="13">
        <f>+N35</f>
        <v>36382.47</v>
      </c>
      <c r="P35" s="349"/>
      <c r="Q35" s="349"/>
      <c r="R35" s="349"/>
      <c r="S35" s="349">
        <f t="shared" si="0"/>
        <v>1528064</v>
      </c>
      <c r="T35" s="616"/>
      <c r="U35" s="13"/>
      <c r="V35" s="13"/>
      <c r="W35" s="349"/>
      <c r="X35" s="349"/>
      <c r="Y35" s="13" t="s">
        <v>123</v>
      </c>
      <c r="Z35" s="13"/>
      <c r="AA35" s="13"/>
      <c r="AB35" s="219">
        <f t="shared" si="10"/>
        <v>0</v>
      </c>
      <c r="AC35" s="349"/>
      <c r="AD35" s="349"/>
      <c r="AE35" s="349"/>
      <c r="AF35" s="349">
        <f t="shared" si="28"/>
        <v>0</v>
      </c>
      <c r="AG35" s="13"/>
      <c r="AH35" s="13"/>
      <c r="AI35" s="13">
        <f t="shared" si="3"/>
        <v>0</v>
      </c>
      <c r="AJ35" s="626"/>
      <c r="AK35" s="626">
        <f t="shared" si="4"/>
        <v>0</v>
      </c>
      <c r="AL35" s="628"/>
      <c r="AM35" s="628">
        <v>26</v>
      </c>
      <c r="AN35" s="631"/>
      <c r="AO35" s="10"/>
      <c r="AP35" s="10"/>
      <c r="AQ35" s="10"/>
      <c r="AR35" s="653" t="s">
        <v>130</v>
      </c>
      <c r="AS35" s="11"/>
      <c r="AT35" s="11"/>
      <c r="AU35" s="11"/>
      <c r="AV35" s="656"/>
      <c r="AW35" s="686"/>
      <c r="AX35" s="687"/>
      <c r="AY35" s="688"/>
      <c r="AZ35" s="688"/>
      <c r="BA35" s="689"/>
      <c r="BB35" s="675">
        <f t="shared" si="5"/>
        <v>0</v>
      </c>
      <c r="BD35" s="235"/>
      <c r="BE35" s="235"/>
      <c r="BF35" s="235"/>
      <c r="BG35" s="235"/>
      <c r="BH35" s="235"/>
      <c r="BI35" s="235"/>
      <c r="BJ35" s="235"/>
      <c r="BK35" s="235"/>
      <c r="BL35" s="235"/>
      <c r="BM35" s="235"/>
      <c r="BN35" s="235"/>
      <c r="BO35" s="235"/>
      <c r="BP35" s="235"/>
      <c r="BQ35" s="235"/>
      <c r="BS35" s="11"/>
      <c r="BT35" s="11"/>
      <c r="BU35" s="11"/>
      <c r="BV35" s="11"/>
      <c r="BW35" s="219"/>
      <c r="BX35" s="13">
        <v>300</v>
      </c>
      <c r="BY35" s="11"/>
      <c r="BZ35" s="11"/>
      <c r="CA35" s="11"/>
      <c r="CB35" s="11"/>
      <c r="CC35" s="11">
        <f t="shared" si="29"/>
        <v>0</v>
      </c>
      <c r="CD35" s="11"/>
      <c r="CE35" s="11"/>
      <c r="CF35" s="11"/>
      <c r="CH35" s="11"/>
      <c r="CI35" s="11"/>
      <c r="CJ35" s="11"/>
      <c r="CK35" s="11"/>
      <c r="CL35" s="11"/>
      <c r="CM35" s="13">
        <v>600</v>
      </c>
      <c r="CN35" s="11"/>
      <c r="CO35" s="11"/>
      <c r="CP35" s="11"/>
      <c r="CQ35" s="11"/>
      <c r="CR35" s="11">
        <f t="shared" si="6"/>
        <v>0</v>
      </c>
      <c r="CW35" s="235"/>
      <c r="CX35" s="235"/>
      <c r="CY35" s="235"/>
      <c r="CZ35" s="235"/>
      <c r="DA35" s="235"/>
      <c r="DB35" s="235"/>
      <c r="DC35" s="235"/>
      <c r="DD35" s="235"/>
      <c r="DE35" s="235"/>
      <c r="DF35" s="235"/>
      <c r="DG35" s="235"/>
      <c r="DH35" s="235"/>
      <c r="DJ35" s="671">
        <f t="shared" si="7"/>
        <v>0</v>
      </c>
      <c r="DM35" s="235"/>
      <c r="DN35" s="235"/>
      <c r="DO35" s="235"/>
      <c r="DP35" s="235"/>
      <c r="DQ35" s="235"/>
      <c r="DR35" s="235"/>
      <c r="DS35" s="235"/>
      <c r="DT35" s="235"/>
      <c r="DU35" s="235"/>
      <c r="DV35" s="235"/>
      <c r="DW35" s="235"/>
      <c r="DX35" s="235"/>
      <c r="DZ35" s="671">
        <f t="shared" si="30"/>
        <v>0</v>
      </c>
    </row>
    <row r="36" spans="1:130" ht="30" customHeight="1">
      <c r="A36" s="229">
        <v>29</v>
      </c>
      <c r="B36" s="592" t="s">
        <v>531</v>
      </c>
      <c r="C36" s="346"/>
      <c r="D36" s="346"/>
      <c r="E36" s="349">
        <v>399</v>
      </c>
      <c r="F36" s="591" t="s">
        <v>131</v>
      </c>
      <c r="G36" s="346">
        <v>5</v>
      </c>
      <c r="H36" s="587">
        <v>2.1869999999999998</v>
      </c>
      <c r="I36" s="346"/>
      <c r="J36" s="587"/>
      <c r="K36" s="587"/>
      <c r="L36" s="587"/>
      <c r="M36" s="605">
        <v>333970.21000000002</v>
      </c>
      <c r="N36" s="606">
        <v>8349.26</v>
      </c>
      <c r="O36" s="13">
        <f>+N36</f>
        <v>8349.26</v>
      </c>
      <c r="P36" s="346"/>
      <c r="Q36" s="346"/>
      <c r="R36" s="346"/>
      <c r="S36" s="349">
        <f t="shared" si="0"/>
        <v>350669</v>
      </c>
      <c r="T36" s="616"/>
      <c r="U36" s="13"/>
      <c r="V36" s="13"/>
      <c r="W36" s="346"/>
      <c r="X36" s="346"/>
      <c r="Y36" s="13" t="s">
        <v>123</v>
      </c>
      <c r="Z36" s="13"/>
      <c r="AA36" s="13"/>
      <c r="AB36" s="219">
        <f t="shared" si="10"/>
        <v>0</v>
      </c>
      <c r="AC36" s="349"/>
      <c r="AD36" s="349"/>
      <c r="AE36" s="349"/>
      <c r="AF36" s="349">
        <f t="shared" si="28"/>
        <v>0</v>
      </c>
      <c r="AG36" s="13"/>
      <c r="AH36" s="13"/>
      <c r="AI36" s="13">
        <f t="shared" si="3"/>
        <v>0</v>
      </c>
      <c r="AJ36" s="626"/>
      <c r="AK36" s="626">
        <f t="shared" si="4"/>
        <v>0</v>
      </c>
      <c r="AL36" s="628"/>
      <c r="AM36" s="627">
        <v>27</v>
      </c>
      <c r="AN36" s="630"/>
      <c r="AO36" s="618"/>
      <c r="AP36" s="11"/>
      <c r="AQ36" s="13"/>
      <c r="AR36" s="653" t="s">
        <v>130</v>
      </c>
      <c r="AS36" s="342"/>
      <c r="AT36" s="643"/>
      <c r="AU36" s="643"/>
      <c r="AV36" s="644"/>
      <c r="AW36" s="681"/>
      <c r="AX36" s="13"/>
      <c r="AY36" s="690"/>
      <c r="AZ36" s="690"/>
      <c r="BA36" s="683"/>
      <c r="BB36" s="675">
        <f t="shared" si="5"/>
        <v>0</v>
      </c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S36" s="342"/>
      <c r="BT36" s="342"/>
      <c r="BU36" s="342"/>
      <c r="BV36" s="342"/>
      <c r="BW36" s="219"/>
      <c r="BX36" s="13">
        <v>300</v>
      </c>
      <c r="BY36" s="342"/>
      <c r="BZ36" s="342"/>
      <c r="CA36" s="342"/>
      <c r="CB36" s="342"/>
      <c r="CC36" s="342">
        <f t="shared" si="29"/>
        <v>0</v>
      </c>
      <c r="CD36" s="342"/>
      <c r="CE36" s="342"/>
      <c r="CF36" s="342"/>
      <c r="CH36" s="342"/>
      <c r="CI36" s="342"/>
      <c r="CJ36" s="342"/>
      <c r="CK36" s="342"/>
      <c r="CL36" s="342"/>
      <c r="CM36" s="13">
        <v>600</v>
      </c>
      <c r="CN36" s="342"/>
      <c r="CO36" s="342"/>
      <c r="CP36" s="342"/>
      <c r="CQ36" s="342"/>
      <c r="CR36" s="342">
        <f t="shared" si="6"/>
        <v>0</v>
      </c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J36" s="671">
        <f t="shared" si="7"/>
        <v>0</v>
      </c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Z36" s="671">
        <f t="shared" si="30"/>
        <v>0</v>
      </c>
    </row>
    <row r="37" spans="1:130" ht="30" customHeight="1">
      <c r="A37" s="226">
        <v>30</v>
      </c>
      <c r="B37" s="590" t="s">
        <v>536</v>
      </c>
      <c r="C37" s="349"/>
      <c r="D37" s="346"/>
      <c r="E37" s="346">
        <v>402</v>
      </c>
      <c r="F37" s="591" t="s">
        <v>131</v>
      </c>
      <c r="G37" s="346">
        <v>12</v>
      </c>
      <c r="H37" s="346">
        <v>5.2489999999999997</v>
      </c>
      <c r="I37" s="346"/>
      <c r="J37" s="587"/>
      <c r="K37" s="587"/>
      <c r="L37" s="587"/>
      <c r="M37" s="607">
        <v>793895.5</v>
      </c>
      <c r="N37" s="608">
        <v>19847.39</v>
      </c>
      <c r="O37" s="13">
        <f>+N37</f>
        <v>19847.39</v>
      </c>
      <c r="P37" s="609"/>
      <c r="Q37" s="349"/>
      <c r="R37" s="349"/>
      <c r="S37" s="349">
        <f t="shared" si="0"/>
        <v>833590</v>
      </c>
      <c r="T37" s="616"/>
      <c r="U37" s="13"/>
      <c r="V37" s="13"/>
      <c r="W37" s="346"/>
      <c r="X37" s="346"/>
      <c r="Y37" s="13" t="s">
        <v>123</v>
      </c>
      <c r="Z37" s="13"/>
      <c r="AA37" s="13"/>
      <c r="AB37" s="219">
        <f t="shared" si="10"/>
        <v>0</v>
      </c>
      <c r="AC37" s="349"/>
      <c r="AD37" s="349"/>
      <c r="AE37" s="349"/>
      <c r="AF37" s="349">
        <f t="shared" si="28"/>
        <v>0</v>
      </c>
      <c r="AG37" s="13"/>
      <c r="AH37" s="13"/>
      <c r="AI37" s="13">
        <f t="shared" si="3"/>
        <v>0</v>
      </c>
      <c r="AJ37" s="626"/>
      <c r="AK37" s="626">
        <f t="shared" si="4"/>
        <v>0</v>
      </c>
      <c r="AL37" s="628"/>
      <c r="AM37" s="628">
        <v>28</v>
      </c>
      <c r="AN37" s="630"/>
      <c r="AO37" s="618"/>
      <c r="AP37" s="11"/>
      <c r="AQ37" s="13"/>
      <c r="AR37" s="653" t="s">
        <v>130</v>
      </c>
      <c r="AS37" s="11"/>
      <c r="AT37" s="643"/>
      <c r="AU37" s="643"/>
      <c r="AV37" s="651"/>
      <c r="AW37" s="691"/>
      <c r="AX37" s="13"/>
      <c r="AY37" s="692"/>
      <c r="AZ37" s="692"/>
      <c r="BA37" s="342"/>
      <c r="BB37" s="675">
        <f t="shared" si="5"/>
        <v>0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S37" s="342"/>
      <c r="BT37" s="342"/>
      <c r="BU37" s="342"/>
      <c r="BV37" s="342"/>
      <c r="BW37" s="219"/>
      <c r="BX37" s="13">
        <v>300</v>
      </c>
      <c r="BY37" s="342"/>
      <c r="BZ37" s="342" t="s">
        <v>132</v>
      </c>
      <c r="CA37" s="342"/>
      <c r="CB37" s="342"/>
      <c r="CC37" s="342">
        <f t="shared" si="29"/>
        <v>0</v>
      </c>
      <c r="CD37" s="342"/>
      <c r="CE37" s="342"/>
      <c r="CF37" s="342"/>
      <c r="CH37" s="342"/>
      <c r="CI37" s="342"/>
      <c r="CJ37" s="342"/>
      <c r="CK37" s="342"/>
      <c r="CL37" s="342"/>
      <c r="CM37" s="13">
        <v>600</v>
      </c>
      <c r="CN37" s="342"/>
      <c r="CO37" s="342" t="s">
        <v>133</v>
      </c>
      <c r="CP37" s="342"/>
      <c r="CQ37" s="342"/>
      <c r="CR37" s="342">
        <f t="shared" si="6"/>
        <v>0</v>
      </c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J37" s="671">
        <f t="shared" si="7"/>
        <v>0</v>
      </c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Z37" s="671">
        <f t="shared" si="30"/>
        <v>0</v>
      </c>
    </row>
    <row r="38" spans="1:130" ht="30" customHeight="1">
      <c r="A38" s="229">
        <v>31</v>
      </c>
      <c r="B38" s="590" t="s">
        <v>534</v>
      </c>
      <c r="C38" s="349"/>
      <c r="D38" s="593"/>
      <c r="E38" s="346">
        <v>407</v>
      </c>
      <c r="F38" s="591" t="s">
        <v>131</v>
      </c>
      <c r="G38" s="346"/>
      <c r="H38" s="346">
        <v>5.0000000000000001E-3</v>
      </c>
      <c r="I38" s="346"/>
      <c r="J38" s="587"/>
      <c r="K38" s="587"/>
      <c r="L38" s="587"/>
      <c r="M38" s="607">
        <v>800</v>
      </c>
      <c r="N38" s="608">
        <v>20</v>
      </c>
      <c r="O38" s="13">
        <f>+N38</f>
        <v>20</v>
      </c>
      <c r="P38" s="346"/>
      <c r="Q38" s="346"/>
      <c r="R38" s="346"/>
      <c r="S38" s="349">
        <f t="shared" si="0"/>
        <v>840</v>
      </c>
      <c r="T38" s="616"/>
      <c r="U38" s="13"/>
      <c r="V38" s="13"/>
      <c r="W38" s="346"/>
      <c r="X38" s="346"/>
      <c r="Y38" s="13" t="s">
        <v>123</v>
      </c>
      <c r="Z38" s="13"/>
      <c r="AA38" s="13"/>
      <c r="AB38" s="219">
        <f t="shared" si="10"/>
        <v>0</v>
      </c>
      <c r="AC38" s="349"/>
      <c r="AD38" s="349"/>
      <c r="AE38" s="349"/>
      <c r="AF38" s="349">
        <f t="shared" si="28"/>
        <v>0</v>
      </c>
      <c r="AG38" s="13"/>
      <c r="AH38" s="13"/>
      <c r="AI38" s="13">
        <f t="shared" si="3"/>
        <v>0</v>
      </c>
      <c r="AJ38" s="626"/>
      <c r="AK38" s="626">
        <f t="shared" si="4"/>
        <v>0</v>
      </c>
      <c r="AL38" s="628"/>
      <c r="AM38" s="627">
        <v>29</v>
      </c>
      <c r="AN38" s="632"/>
      <c r="AO38" s="618"/>
      <c r="AP38" s="11"/>
      <c r="AQ38" s="13"/>
      <c r="AR38" s="653" t="s">
        <v>130</v>
      </c>
      <c r="AS38" s="11"/>
      <c r="AT38" s="654"/>
      <c r="AU38" s="654"/>
      <c r="AV38" s="656"/>
      <c r="AW38" s="693"/>
      <c r="AX38" s="13"/>
      <c r="AY38" s="694"/>
      <c r="AZ38" s="694"/>
      <c r="BA38" s="11"/>
      <c r="BB38" s="675">
        <f t="shared" si="5"/>
        <v>0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S38" s="342"/>
      <c r="BT38" s="342"/>
      <c r="BU38" s="342"/>
      <c r="BV38" s="342"/>
      <c r="BW38" s="219"/>
      <c r="BX38" s="13">
        <v>300</v>
      </c>
      <c r="BY38" s="342"/>
      <c r="BZ38" s="342" t="s">
        <v>134</v>
      </c>
      <c r="CA38" s="342"/>
      <c r="CB38" s="342"/>
      <c r="CC38" s="342">
        <f t="shared" si="29"/>
        <v>0</v>
      </c>
      <c r="CD38" s="342"/>
      <c r="CE38" s="342"/>
      <c r="CF38" s="342"/>
      <c r="CH38" s="342"/>
      <c r="CI38" s="342"/>
      <c r="CJ38" s="342"/>
      <c r="CK38" s="342"/>
      <c r="CL38" s="342"/>
      <c r="CM38" s="13">
        <v>600</v>
      </c>
      <c r="CN38" s="342"/>
      <c r="CO38" s="342" t="s">
        <v>135</v>
      </c>
      <c r="CP38" s="342"/>
      <c r="CQ38" s="342"/>
      <c r="CR38" s="342">
        <f t="shared" si="6"/>
        <v>0</v>
      </c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J38" s="671">
        <f t="shared" si="7"/>
        <v>0</v>
      </c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Z38" s="671">
        <f t="shared" si="30"/>
        <v>0</v>
      </c>
    </row>
    <row r="39" spans="1:130" ht="15.75">
      <c r="A39" s="226">
        <v>32</v>
      </c>
      <c r="B39" s="592" t="s">
        <v>534</v>
      </c>
      <c r="C39" s="346"/>
      <c r="D39" s="346"/>
      <c r="E39" s="346">
        <v>411</v>
      </c>
      <c r="F39" s="591" t="s">
        <v>131</v>
      </c>
      <c r="G39" s="346">
        <v>10</v>
      </c>
      <c r="H39" s="346">
        <v>4.3739999999999997</v>
      </c>
      <c r="I39" s="346"/>
      <c r="J39" s="587"/>
      <c r="K39" s="587"/>
      <c r="L39" s="587"/>
      <c r="M39" s="610">
        <v>667940.42000000004</v>
      </c>
      <c r="N39" s="606">
        <v>16698.509999999998</v>
      </c>
      <c r="O39" s="13">
        <f>+N39</f>
        <v>16698.509999999998</v>
      </c>
      <c r="P39" s="346"/>
      <c r="Q39" s="346"/>
      <c r="R39" s="346"/>
      <c r="S39" s="349">
        <f t="shared" si="0"/>
        <v>701337</v>
      </c>
      <c r="T39" s="616"/>
      <c r="U39" s="13"/>
      <c r="V39" s="13"/>
      <c r="W39" s="346"/>
      <c r="X39" s="346"/>
      <c r="Y39" s="13" t="s">
        <v>123</v>
      </c>
      <c r="Z39" s="13"/>
      <c r="AA39" s="13"/>
      <c r="AB39" s="219">
        <f t="shared" si="10"/>
        <v>0</v>
      </c>
      <c r="AC39" s="623"/>
      <c r="AD39" s="623"/>
      <c r="AE39" s="623"/>
      <c r="AF39" s="349">
        <f t="shared" si="28"/>
        <v>0</v>
      </c>
      <c r="AG39" s="13"/>
      <c r="AH39" s="13"/>
      <c r="AI39" s="13">
        <f t="shared" si="3"/>
        <v>0</v>
      </c>
      <c r="AJ39" s="626"/>
      <c r="AK39" s="626">
        <f t="shared" si="4"/>
        <v>0</v>
      </c>
      <c r="AL39" s="628"/>
      <c r="AM39" s="628">
        <v>30</v>
      </c>
      <c r="AN39" s="632"/>
      <c r="AO39" s="618"/>
      <c r="AP39" s="11"/>
      <c r="AQ39" s="13"/>
      <c r="AR39" s="653" t="s">
        <v>130</v>
      </c>
      <c r="AS39" s="11"/>
      <c r="AT39" s="643"/>
      <c r="AU39" s="643"/>
      <c r="AV39" s="651"/>
      <c r="AW39" s="681"/>
      <c r="AX39" s="13"/>
      <c r="AY39" s="695"/>
      <c r="AZ39" s="695"/>
      <c r="BA39" s="342"/>
      <c r="BB39" s="675">
        <f t="shared" si="5"/>
        <v>0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S39" s="342"/>
      <c r="BT39" s="342"/>
      <c r="BU39" s="342"/>
      <c r="BV39" s="342"/>
      <c r="BW39" s="219"/>
      <c r="BX39" s="13">
        <v>300</v>
      </c>
      <c r="BY39" s="342"/>
      <c r="BZ39" s="342"/>
      <c r="CA39" s="342"/>
      <c r="CB39" s="342"/>
      <c r="CC39" s="342">
        <f t="shared" si="29"/>
        <v>0</v>
      </c>
      <c r="CD39" s="342"/>
      <c r="CE39" s="342"/>
      <c r="CF39" s="342"/>
      <c r="CH39" s="342"/>
      <c r="CI39" s="342"/>
      <c r="CJ39" s="342"/>
      <c r="CK39" s="342"/>
      <c r="CL39" s="342"/>
      <c r="CM39" s="13">
        <v>600</v>
      </c>
      <c r="CN39" s="342"/>
      <c r="CO39" s="342"/>
      <c r="CP39" s="342"/>
      <c r="CQ39" s="342"/>
      <c r="CR39" s="342">
        <f t="shared" si="6"/>
        <v>0</v>
      </c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J39" s="671">
        <f t="shared" si="7"/>
        <v>0</v>
      </c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Z39" s="671">
        <f t="shared" si="30"/>
        <v>0</v>
      </c>
    </row>
    <row r="40" spans="1:130" s="234" customFormat="1" ht="15.75">
      <c r="A40" s="229">
        <v>33</v>
      </c>
      <c r="B40" s="590"/>
      <c r="C40" s="349"/>
      <c r="D40" s="349"/>
      <c r="E40" s="349"/>
      <c r="F40" s="591" t="s">
        <v>131</v>
      </c>
      <c r="G40" s="346"/>
      <c r="H40" s="587"/>
      <c r="I40" s="346">
        <v>440.66399999999999</v>
      </c>
      <c r="J40" s="587">
        <f t="shared" ref="J40" si="32">G40*I40/1000</f>
        <v>0</v>
      </c>
      <c r="K40" s="587"/>
      <c r="L40" s="587">
        <f t="shared" ref="L40" si="33">K40-J40</f>
        <v>0</v>
      </c>
      <c r="M40" s="611"/>
      <c r="N40" s="612"/>
      <c r="O40" s="13">
        <f t="shared" si="31"/>
        <v>0</v>
      </c>
      <c r="P40" s="349"/>
      <c r="Q40" s="349"/>
      <c r="R40" s="349"/>
      <c r="S40" s="349">
        <f t="shared" si="0"/>
        <v>0</v>
      </c>
      <c r="T40" s="616"/>
      <c r="U40" s="13"/>
      <c r="V40" s="13"/>
      <c r="W40" s="349"/>
      <c r="X40" s="349"/>
      <c r="Y40" s="13" t="s">
        <v>123</v>
      </c>
      <c r="Z40" s="13"/>
      <c r="AA40" s="13"/>
      <c r="AB40" s="219">
        <f t="shared" si="10"/>
        <v>0</v>
      </c>
      <c r="AC40" s="623"/>
      <c r="AD40" s="623"/>
      <c r="AE40" s="623"/>
      <c r="AF40" s="349">
        <f t="shared" si="28"/>
        <v>0</v>
      </c>
      <c r="AG40" s="13"/>
      <c r="AH40" s="13"/>
      <c r="AI40" s="13">
        <f t="shared" si="3"/>
        <v>0</v>
      </c>
      <c r="AJ40" s="626"/>
      <c r="AK40" s="626">
        <f t="shared" si="4"/>
        <v>0</v>
      </c>
      <c r="AL40" s="628"/>
      <c r="AM40" s="627"/>
      <c r="AN40" s="988" t="s">
        <v>10</v>
      </c>
      <c r="AO40" s="989"/>
      <c r="AP40" s="989"/>
      <c r="AQ40" s="989"/>
      <c r="AR40" s="989"/>
      <c r="AS40" s="657">
        <f>SUM(AS30:AS39)</f>
        <v>168</v>
      </c>
      <c r="AT40" s="657">
        <f>SUM(AT30:AT39)</f>
        <v>8.3940000000000001</v>
      </c>
      <c r="AU40" s="657">
        <f>SUM(AU30:AU39)</f>
        <v>0</v>
      </c>
      <c r="AV40" s="658">
        <f>SUM(AV30:AV39)</f>
        <v>1094414.96</v>
      </c>
      <c r="AW40" s="696"/>
      <c r="AX40" s="13"/>
      <c r="AY40" s="692"/>
      <c r="AZ40" s="692"/>
      <c r="BA40" s="11"/>
      <c r="BB40" s="675">
        <f t="shared" si="5"/>
        <v>1094415</v>
      </c>
      <c r="BD40" s="235"/>
      <c r="BE40" s="235"/>
      <c r="BF40" s="235"/>
      <c r="BG40" s="235"/>
      <c r="BH40" s="235"/>
      <c r="BI40" s="235"/>
      <c r="BJ40" s="235"/>
      <c r="BK40" s="235"/>
      <c r="BL40" s="235"/>
      <c r="BM40" s="235"/>
      <c r="BN40" s="235"/>
      <c r="BO40" s="235"/>
      <c r="BP40" s="235"/>
      <c r="BQ40" s="235"/>
      <c r="BS40" s="11"/>
      <c r="BT40" s="11"/>
      <c r="BU40" s="11"/>
      <c r="BV40" s="11"/>
      <c r="BW40" s="219"/>
      <c r="BX40" s="13">
        <v>300</v>
      </c>
      <c r="BY40" s="11"/>
      <c r="BZ40" s="11"/>
      <c r="CA40" s="11"/>
      <c r="CB40" s="11"/>
      <c r="CC40" s="11">
        <f t="shared" si="29"/>
        <v>0</v>
      </c>
      <c r="CD40" s="11"/>
      <c r="CE40" s="11"/>
      <c r="CF40" s="11"/>
      <c r="CH40" s="11"/>
      <c r="CI40" s="11"/>
      <c r="CJ40" s="11"/>
      <c r="CK40" s="11"/>
      <c r="CL40" s="11"/>
      <c r="CM40" s="13">
        <v>600</v>
      </c>
      <c r="CN40" s="11"/>
      <c r="CO40" s="11"/>
      <c r="CP40" s="11"/>
      <c r="CQ40" s="11"/>
      <c r="CR40" s="11">
        <f t="shared" si="6"/>
        <v>0</v>
      </c>
      <c r="CW40" s="235"/>
      <c r="CX40" s="235"/>
      <c r="CY40" s="235"/>
      <c r="CZ40" s="235"/>
      <c r="DA40" s="235"/>
      <c r="DB40" s="235"/>
      <c r="DC40" s="235"/>
      <c r="DD40" s="235"/>
      <c r="DE40" s="235"/>
      <c r="DF40" s="235"/>
      <c r="DG40" s="235"/>
      <c r="DH40" s="235"/>
      <c r="DJ40" s="671">
        <f t="shared" si="7"/>
        <v>0</v>
      </c>
      <c r="DM40" s="235"/>
      <c r="DN40" s="235"/>
      <c r="DO40" s="235"/>
      <c r="DP40" s="235"/>
      <c r="DQ40" s="235"/>
      <c r="DR40" s="235"/>
      <c r="DS40" s="235"/>
      <c r="DT40" s="235"/>
      <c r="DU40" s="235"/>
      <c r="DV40" s="235"/>
      <c r="DW40" s="235"/>
      <c r="DX40" s="235"/>
      <c r="DZ40" s="671">
        <f t="shared" si="30"/>
        <v>0</v>
      </c>
    </row>
    <row r="41" spans="1:130" s="234" customFormat="1" ht="15.75">
      <c r="A41" s="226">
        <v>34</v>
      </c>
      <c r="B41" s="590"/>
      <c r="C41" s="349"/>
      <c r="D41" s="349"/>
      <c r="E41" s="349"/>
      <c r="F41" s="591" t="s">
        <v>131</v>
      </c>
      <c r="G41" s="346"/>
      <c r="H41" s="587"/>
      <c r="I41" s="346">
        <v>440.66399999999999</v>
      </c>
      <c r="J41" s="587">
        <f t="shared" ref="J41:J51" si="34">G41*I41/1000</f>
        <v>0</v>
      </c>
      <c r="K41" s="587"/>
      <c r="L41" s="587">
        <f t="shared" ref="L41:L51" si="35">K41-J41</f>
        <v>0</v>
      </c>
      <c r="M41" s="611"/>
      <c r="N41" s="612"/>
      <c r="O41" s="13">
        <f t="shared" si="31"/>
        <v>0</v>
      </c>
      <c r="P41" s="349"/>
      <c r="Q41" s="349"/>
      <c r="R41" s="349"/>
      <c r="S41" s="349">
        <f t="shared" si="0"/>
        <v>0</v>
      </c>
      <c r="T41" s="616"/>
      <c r="U41" s="13"/>
      <c r="V41" s="13"/>
      <c r="W41" s="349"/>
      <c r="X41" s="349"/>
      <c r="Y41" s="13" t="s">
        <v>123</v>
      </c>
      <c r="Z41" s="13"/>
      <c r="AA41" s="13"/>
      <c r="AB41" s="219">
        <f t="shared" si="10"/>
        <v>0</v>
      </c>
      <c r="AC41" s="349"/>
      <c r="AD41" s="349"/>
      <c r="AE41" s="349"/>
      <c r="AF41" s="349">
        <f t="shared" si="28"/>
        <v>0</v>
      </c>
      <c r="AG41" s="13"/>
      <c r="AH41" s="13"/>
      <c r="AI41" s="13">
        <f t="shared" si="3"/>
        <v>0</v>
      </c>
      <c r="AJ41" s="626"/>
      <c r="AK41" s="626">
        <f t="shared" si="4"/>
        <v>0</v>
      </c>
      <c r="AL41" s="628"/>
      <c r="AM41" s="628">
        <v>31</v>
      </c>
      <c r="AN41" s="633"/>
      <c r="AO41" s="659"/>
      <c r="AP41" s="660"/>
      <c r="AQ41" s="578"/>
      <c r="AR41" s="661" t="s">
        <v>136</v>
      </c>
      <c r="AS41" s="662"/>
      <c r="AT41" s="663"/>
      <c r="AU41" s="663"/>
      <c r="AV41" s="664"/>
      <c r="AW41" s="697"/>
      <c r="AX41" s="13"/>
      <c r="AY41" s="690"/>
      <c r="AZ41" s="690"/>
      <c r="BA41" s="682"/>
      <c r="BB41" s="675">
        <f t="shared" si="5"/>
        <v>0</v>
      </c>
      <c r="BD41" s="235"/>
      <c r="BE41" s="235"/>
      <c r="BF41" s="235"/>
      <c r="BG41" s="235"/>
      <c r="BH41" s="235"/>
      <c r="BI41" s="235"/>
      <c r="BJ41" s="235"/>
      <c r="BK41" s="235"/>
      <c r="BL41" s="235"/>
      <c r="BM41" s="235"/>
      <c r="BN41" s="235"/>
      <c r="BO41" s="235"/>
      <c r="BP41" s="235"/>
      <c r="BQ41" s="235"/>
      <c r="BS41" s="11"/>
      <c r="BT41" s="11"/>
      <c r="BU41" s="11"/>
      <c r="BV41" s="11"/>
      <c r="BW41" s="219"/>
      <c r="BX41" s="13">
        <v>300</v>
      </c>
      <c r="BY41" s="11"/>
      <c r="BZ41" s="11"/>
      <c r="CA41" s="11"/>
      <c r="CB41" s="11"/>
      <c r="CC41" s="11">
        <f t="shared" si="29"/>
        <v>0</v>
      </c>
      <c r="CD41" s="11"/>
      <c r="CE41" s="11"/>
      <c r="CF41" s="11"/>
      <c r="CH41" s="11"/>
      <c r="CI41" s="11"/>
      <c r="CJ41" s="11"/>
      <c r="CK41" s="11"/>
      <c r="CL41" s="11"/>
      <c r="CM41" s="13">
        <v>600</v>
      </c>
      <c r="CN41" s="11"/>
      <c r="CO41" s="11"/>
      <c r="CP41" s="11"/>
      <c r="CQ41" s="11"/>
      <c r="CR41" s="11">
        <f t="shared" si="6"/>
        <v>0</v>
      </c>
      <c r="CW41" s="235"/>
      <c r="CX41" s="235"/>
      <c r="CY41" s="235"/>
      <c r="CZ41" s="235"/>
      <c r="DA41" s="235"/>
      <c r="DB41" s="235"/>
      <c r="DC41" s="715"/>
      <c r="DD41" s="235"/>
      <c r="DE41" s="235"/>
      <c r="DF41" s="235"/>
      <c r="DG41" s="235"/>
      <c r="DH41" s="235"/>
      <c r="DJ41" s="671">
        <f t="shared" si="7"/>
        <v>0</v>
      </c>
      <c r="DM41" s="235"/>
      <c r="DN41" s="235"/>
      <c r="DO41" s="235"/>
      <c r="DP41" s="235"/>
      <c r="DQ41" s="235"/>
      <c r="DR41" s="235"/>
      <c r="DS41" s="715"/>
      <c r="DT41" s="235"/>
      <c r="DU41" s="235"/>
      <c r="DV41" s="235"/>
      <c r="DW41" s="235"/>
      <c r="DX41" s="235"/>
      <c r="DZ41" s="671">
        <f t="shared" si="30"/>
        <v>0</v>
      </c>
    </row>
    <row r="42" spans="1:130" s="234" customFormat="1" ht="15.75">
      <c r="A42" s="229">
        <v>35</v>
      </c>
      <c r="B42" s="590"/>
      <c r="C42" s="349"/>
      <c r="D42" s="349"/>
      <c r="E42" s="349"/>
      <c r="F42" s="591" t="s">
        <v>131</v>
      </c>
      <c r="G42" s="346"/>
      <c r="H42" s="587"/>
      <c r="I42" s="346">
        <v>440.66399999999999</v>
      </c>
      <c r="J42" s="587">
        <f t="shared" si="34"/>
        <v>0</v>
      </c>
      <c r="K42" s="587"/>
      <c r="L42" s="587">
        <f t="shared" si="35"/>
        <v>0</v>
      </c>
      <c r="M42" s="611"/>
      <c r="N42" s="612"/>
      <c r="O42" s="13">
        <f t="shared" si="31"/>
        <v>0</v>
      </c>
      <c r="P42" s="349"/>
      <c r="Q42" s="349"/>
      <c r="R42" s="349"/>
      <c r="S42" s="349">
        <f t="shared" si="0"/>
        <v>0</v>
      </c>
      <c r="T42" s="616"/>
      <c r="U42" s="13"/>
      <c r="V42" s="13"/>
      <c r="W42" s="609"/>
      <c r="X42" s="609"/>
      <c r="Y42" s="13" t="s">
        <v>123</v>
      </c>
      <c r="Z42" s="349"/>
      <c r="AA42" s="13"/>
      <c r="AB42" s="219">
        <f t="shared" si="10"/>
        <v>0</v>
      </c>
      <c r="AC42" s="349"/>
      <c r="AD42" s="349"/>
      <c r="AE42" s="349"/>
      <c r="AF42" s="349">
        <f t="shared" si="28"/>
        <v>0</v>
      </c>
      <c r="AG42" s="13"/>
      <c r="AH42" s="13"/>
      <c r="AI42" s="13">
        <f t="shared" si="3"/>
        <v>0</v>
      </c>
      <c r="AJ42" s="626"/>
      <c r="AK42" s="626">
        <f t="shared" si="4"/>
        <v>0</v>
      </c>
      <c r="AL42" s="628"/>
      <c r="AM42" s="627">
        <v>32</v>
      </c>
      <c r="AN42" s="631"/>
      <c r="AO42" s="10"/>
      <c r="AP42" s="10"/>
      <c r="AQ42" s="10"/>
      <c r="AR42" s="661" t="s">
        <v>136</v>
      </c>
      <c r="AS42" s="11"/>
      <c r="AT42" s="11"/>
      <c r="AU42" s="11"/>
      <c r="AV42" s="656"/>
      <c r="AW42" s="697"/>
      <c r="AX42" s="13"/>
      <c r="AY42" s="692"/>
      <c r="AZ42" s="692"/>
      <c r="BA42" s="11"/>
      <c r="BB42" s="675">
        <f t="shared" si="5"/>
        <v>0</v>
      </c>
      <c r="BD42" s="235"/>
      <c r="BE42" s="235"/>
      <c r="BF42" s="235"/>
      <c r="BG42" s="235"/>
      <c r="BH42" s="235"/>
      <c r="BI42" s="235"/>
      <c r="BJ42" s="235"/>
      <c r="BK42" s="235"/>
      <c r="BL42" s="235"/>
      <c r="BM42" s="235"/>
      <c r="BN42" s="235"/>
      <c r="BO42" s="235"/>
      <c r="BP42" s="235"/>
      <c r="BQ42" s="235"/>
      <c r="BS42" s="11"/>
      <c r="BT42" s="11"/>
      <c r="BU42" s="11"/>
      <c r="BV42" s="11"/>
      <c r="BW42" s="219"/>
      <c r="BX42" s="13">
        <v>300</v>
      </c>
      <c r="BY42" s="11"/>
      <c r="BZ42" s="11"/>
      <c r="CA42" s="11"/>
      <c r="CB42" s="11"/>
      <c r="CC42" s="11">
        <f t="shared" si="29"/>
        <v>0</v>
      </c>
      <c r="CD42" s="11"/>
      <c r="CE42" s="11"/>
      <c r="CF42" s="11"/>
      <c r="CH42" s="11"/>
      <c r="CI42" s="11"/>
      <c r="CJ42" s="11"/>
      <c r="CK42" s="11"/>
      <c r="CL42" s="11"/>
      <c r="CM42" s="13">
        <v>600</v>
      </c>
      <c r="CN42" s="11"/>
      <c r="CO42" s="11"/>
      <c r="CP42" s="11"/>
      <c r="CQ42" s="11"/>
      <c r="CR42" s="11">
        <f t="shared" si="6"/>
        <v>0</v>
      </c>
      <c r="CW42" s="235"/>
      <c r="CX42" s="235"/>
      <c r="CY42" s="235"/>
      <c r="CZ42" s="235"/>
      <c r="DA42" s="235"/>
      <c r="DB42" s="235"/>
      <c r="DC42" s="235"/>
      <c r="DD42" s="235"/>
      <c r="DE42" s="235"/>
      <c r="DF42" s="235"/>
      <c r="DG42" s="235"/>
      <c r="DH42" s="235"/>
      <c r="DJ42" s="671">
        <f t="shared" si="7"/>
        <v>0</v>
      </c>
      <c r="DM42" s="235"/>
      <c r="DN42" s="235"/>
      <c r="DO42" s="235"/>
      <c r="DP42" s="235"/>
      <c r="DQ42" s="235"/>
      <c r="DR42" s="235"/>
      <c r="DS42" s="235"/>
      <c r="DT42" s="235"/>
      <c r="DU42" s="235"/>
      <c r="DV42" s="235"/>
      <c r="DW42" s="235"/>
      <c r="DX42" s="235"/>
      <c r="DZ42" s="671">
        <f t="shared" si="30"/>
        <v>0</v>
      </c>
    </row>
    <row r="43" spans="1:130" s="234" customFormat="1" ht="15.75">
      <c r="A43" s="226">
        <v>36</v>
      </c>
      <c r="B43" s="590"/>
      <c r="C43" s="349"/>
      <c r="D43" s="349"/>
      <c r="E43" s="349"/>
      <c r="F43" s="591" t="s">
        <v>131</v>
      </c>
      <c r="G43" s="346"/>
      <c r="H43" s="587"/>
      <c r="I43" s="346">
        <v>440.66399999999999</v>
      </c>
      <c r="J43" s="587">
        <f t="shared" si="34"/>
        <v>0</v>
      </c>
      <c r="K43" s="587"/>
      <c r="L43" s="587">
        <f t="shared" si="35"/>
        <v>0</v>
      </c>
      <c r="M43" s="611"/>
      <c r="N43" s="612"/>
      <c r="O43" s="13">
        <f t="shared" si="31"/>
        <v>0</v>
      </c>
      <c r="P43" s="349"/>
      <c r="Q43" s="349"/>
      <c r="R43" s="349"/>
      <c r="S43" s="349">
        <f t="shared" si="0"/>
        <v>0</v>
      </c>
      <c r="T43" s="616"/>
      <c r="U43" s="13"/>
      <c r="V43" s="13"/>
      <c r="W43" s="349"/>
      <c r="X43" s="349"/>
      <c r="Y43" s="13" t="s">
        <v>123</v>
      </c>
      <c r="Z43" s="349"/>
      <c r="AA43" s="13"/>
      <c r="AB43" s="219">
        <f t="shared" si="10"/>
        <v>0</v>
      </c>
      <c r="AC43" s="349"/>
      <c r="AD43" s="349"/>
      <c r="AE43" s="349"/>
      <c r="AF43" s="349">
        <f t="shared" si="28"/>
        <v>0</v>
      </c>
      <c r="AG43" s="13"/>
      <c r="AH43" s="13"/>
      <c r="AI43" s="13">
        <f t="shared" si="3"/>
        <v>0</v>
      </c>
      <c r="AJ43" s="626"/>
      <c r="AK43" s="626">
        <f t="shared" si="4"/>
        <v>0</v>
      </c>
      <c r="AL43" s="628"/>
      <c r="AM43" s="628">
        <v>33</v>
      </c>
      <c r="AN43" s="629"/>
      <c r="AO43" s="618"/>
      <c r="AP43" s="11"/>
      <c r="AQ43" s="11"/>
      <c r="AR43" s="661" t="s">
        <v>136</v>
      </c>
      <c r="AS43" s="11"/>
      <c r="AT43" s="654"/>
      <c r="AU43" s="654"/>
      <c r="AV43" s="655"/>
      <c r="AW43" s="697"/>
      <c r="AX43" s="13"/>
      <c r="AY43" s="690"/>
      <c r="AZ43" s="690"/>
      <c r="BA43" s="682"/>
      <c r="BB43" s="675">
        <f t="shared" si="5"/>
        <v>0</v>
      </c>
      <c r="BD43" s="235"/>
      <c r="BE43" s="235"/>
      <c r="BF43" s="235"/>
      <c r="BG43" s="235"/>
      <c r="BH43" s="235"/>
      <c r="BI43" s="235"/>
      <c r="BJ43" s="235"/>
      <c r="BK43" s="235"/>
      <c r="BL43" s="235"/>
      <c r="BM43" s="235"/>
      <c r="BN43" s="235"/>
      <c r="BO43" s="235"/>
      <c r="BP43" s="235"/>
      <c r="BQ43" s="235"/>
      <c r="BS43" s="11"/>
      <c r="BT43" s="11"/>
      <c r="BU43" s="11"/>
      <c r="BV43" s="11"/>
      <c r="BW43" s="219"/>
      <c r="BX43" s="13">
        <v>300</v>
      </c>
      <c r="BY43" s="11"/>
      <c r="BZ43" s="11"/>
      <c r="CA43" s="11"/>
      <c r="CB43" s="11"/>
      <c r="CC43" s="11">
        <f t="shared" si="29"/>
        <v>0</v>
      </c>
      <c r="CD43" s="11"/>
      <c r="CE43" s="11"/>
      <c r="CF43" s="11"/>
      <c r="CH43" s="11"/>
      <c r="CI43" s="11"/>
      <c r="CJ43" s="11"/>
      <c r="CK43" s="11"/>
      <c r="CL43" s="11"/>
      <c r="CM43" s="13">
        <v>600</v>
      </c>
      <c r="CN43" s="11"/>
      <c r="CO43" s="11"/>
      <c r="CP43" s="11"/>
      <c r="CQ43" s="11"/>
      <c r="CR43" s="11">
        <f t="shared" si="6"/>
        <v>0</v>
      </c>
      <c r="CW43" s="235"/>
      <c r="CX43" s="235"/>
      <c r="CY43" s="235"/>
      <c r="CZ43" s="235"/>
      <c r="DA43" s="235"/>
      <c r="DB43" s="235"/>
      <c r="DC43" s="235"/>
      <c r="DD43" s="235"/>
      <c r="DE43" s="235"/>
      <c r="DF43" s="235"/>
      <c r="DG43" s="235"/>
      <c r="DH43" s="235"/>
      <c r="DJ43" s="671">
        <f t="shared" si="7"/>
        <v>0</v>
      </c>
      <c r="DM43" s="235"/>
      <c r="DN43" s="235"/>
      <c r="DO43" s="235"/>
      <c r="DP43" s="235"/>
      <c r="DQ43" s="235"/>
      <c r="DR43" s="235"/>
      <c r="DS43" s="235"/>
      <c r="DT43" s="235"/>
      <c r="DU43" s="235"/>
      <c r="DV43" s="235"/>
      <c r="DW43" s="235"/>
      <c r="DX43" s="235"/>
      <c r="DZ43" s="671">
        <f t="shared" si="30"/>
        <v>0</v>
      </c>
    </row>
    <row r="44" spans="1:130" ht="15.75">
      <c r="A44" s="229">
        <v>37</v>
      </c>
      <c r="B44" s="592"/>
      <c r="C44" s="346"/>
      <c r="D44" s="346"/>
      <c r="E44" s="346"/>
      <c r="F44" s="591" t="s">
        <v>131</v>
      </c>
      <c r="G44" s="346"/>
      <c r="H44" s="587"/>
      <c r="I44" s="346">
        <v>440.66399999999999</v>
      </c>
      <c r="J44" s="587">
        <f t="shared" si="34"/>
        <v>0</v>
      </c>
      <c r="K44" s="587"/>
      <c r="L44" s="587">
        <f t="shared" si="35"/>
        <v>0</v>
      </c>
      <c r="M44" s="605"/>
      <c r="N44" s="606"/>
      <c r="O44" s="13"/>
      <c r="P44" s="346"/>
      <c r="Q44" s="346"/>
      <c r="R44" s="346"/>
      <c r="S44" s="349">
        <f t="shared" si="0"/>
        <v>0</v>
      </c>
      <c r="T44" s="616"/>
      <c r="U44" s="618"/>
      <c r="V44" s="620"/>
      <c r="W44" s="346"/>
      <c r="X44" s="619"/>
      <c r="Y44" s="13" t="s">
        <v>123</v>
      </c>
      <c r="Z44" s="349"/>
      <c r="AA44" s="13"/>
      <c r="AB44" s="219">
        <f t="shared" si="10"/>
        <v>0</v>
      </c>
      <c r="AC44" s="349"/>
      <c r="AD44" s="349"/>
      <c r="AE44" s="349"/>
      <c r="AF44" s="349">
        <f t="shared" si="28"/>
        <v>0</v>
      </c>
      <c r="AG44" s="13"/>
      <c r="AH44" s="13"/>
      <c r="AI44" s="13">
        <f t="shared" si="3"/>
        <v>0</v>
      </c>
      <c r="AJ44" s="626"/>
      <c r="AK44" s="626">
        <f t="shared" si="4"/>
        <v>0</v>
      </c>
      <c r="AL44" s="628"/>
      <c r="AM44" s="627">
        <v>34</v>
      </c>
      <c r="AN44" s="634"/>
      <c r="AO44" s="652"/>
      <c r="AP44" s="342"/>
      <c r="AQ44" s="342"/>
      <c r="AR44" s="661" t="s">
        <v>136</v>
      </c>
      <c r="AS44" s="342"/>
      <c r="AT44" s="643"/>
      <c r="AU44" s="643"/>
      <c r="AV44" s="644"/>
      <c r="AW44" s="681"/>
      <c r="AX44" s="13"/>
      <c r="AY44" s="698"/>
      <c r="AZ44" s="698"/>
      <c r="BA44" s="683"/>
      <c r="BB44" s="675">
        <f t="shared" si="5"/>
        <v>0</v>
      </c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S44" s="342"/>
      <c r="BT44" s="342"/>
      <c r="BU44" s="342"/>
      <c r="BV44" s="342"/>
      <c r="BW44" s="219"/>
      <c r="BX44" s="13">
        <v>300</v>
      </c>
      <c r="BY44" s="342"/>
      <c r="BZ44" s="342"/>
      <c r="CA44" s="342"/>
      <c r="CB44" s="342"/>
      <c r="CC44" s="342">
        <f t="shared" si="29"/>
        <v>0</v>
      </c>
      <c r="CD44" s="342"/>
      <c r="CE44" s="342"/>
      <c r="CF44" s="342"/>
      <c r="CH44" s="342"/>
      <c r="CI44" s="342"/>
      <c r="CJ44" s="342"/>
      <c r="CK44" s="342"/>
      <c r="CL44" s="342"/>
      <c r="CM44" s="13">
        <v>600</v>
      </c>
      <c r="CN44" s="342"/>
      <c r="CO44" s="342"/>
      <c r="CP44" s="342"/>
      <c r="CQ44" s="342"/>
      <c r="CR44" s="342">
        <f t="shared" si="6"/>
        <v>0</v>
      </c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J44" s="671">
        <f t="shared" si="7"/>
        <v>0</v>
      </c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Z44" s="671">
        <f t="shared" si="30"/>
        <v>0</v>
      </c>
    </row>
    <row r="45" spans="1:130" ht="15.75">
      <c r="A45" s="226">
        <v>38</v>
      </c>
      <c r="B45" s="124"/>
      <c r="C45" s="126"/>
      <c r="D45" s="126"/>
      <c r="E45" s="6"/>
      <c r="F45" s="591" t="s">
        <v>131</v>
      </c>
      <c r="G45" s="346"/>
      <c r="H45" s="587"/>
      <c r="I45" s="346">
        <v>440.66399999999999</v>
      </c>
      <c r="J45" s="587">
        <f t="shared" si="34"/>
        <v>0</v>
      </c>
      <c r="K45" s="587"/>
      <c r="L45" s="587">
        <f t="shared" si="35"/>
        <v>0</v>
      </c>
      <c r="M45" s="605"/>
      <c r="N45" s="606"/>
      <c r="O45" s="13"/>
      <c r="P45" s="346"/>
      <c r="Q45" s="346"/>
      <c r="R45" s="346"/>
      <c r="S45" s="349">
        <f t="shared" si="0"/>
        <v>0</v>
      </c>
      <c r="T45" s="616"/>
      <c r="U45" s="618"/>
      <c r="V45" s="620"/>
      <c r="W45" s="346"/>
      <c r="X45" s="346"/>
      <c r="Y45" s="13" t="s">
        <v>123</v>
      </c>
      <c r="Z45" s="349"/>
      <c r="AA45" s="13"/>
      <c r="AB45" s="219">
        <f t="shared" si="10"/>
        <v>0</v>
      </c>
      <c r="AC45" s="349"/>
      <c r="AD45" s="349"/>
      <c r="AE45" s="349"/>
      <c r="AF45" s="349">
        <f t="shared" si="28"/>
        <v>0</v>
      </c>
      <c r="AG45" s="13"/>
      <c r="AH45" s="13"/>
      <c r="AI45" s="13">
        <f t="shared" si="3"/>
        <v>0</v>
      </c>
      <c r="AJ45" s="626"/>
      <c r="AK45" s="626">
        <f t="shared" si="4"/>
        <v>0</v>
      </c>
      <c r="AL45" s="628"/>
      <c r="AM45" s="628"/>
      <c r="AN45" s="983" t="s">
        <v>10</v>
      </c>
      <c r="AO45" s="990"/>
      <c r="AP45" s="990"/>
      <c r="AQ45" s="990"/>
      <c r="AR45" s="990"/>
      <c r="AS45" s="665">
        <f>SUM(AS41:AS44)</f>
        <v>0</v>
      </c>
      <c r="AT45" s="665">
        <f>SUM(AT41:AT44)</f>
        <v>0</v>
      </c>
      <c r="AU45" s="665">
        <f>SUM(AU41:AU44)</f>
        <v>0</v>
      </c>
      <c r="AV45" s="666">
        <f>SUM(AV41:AV44)</f>
        <v>0</v>
      </c>
      <c r="AW45" s="681"/>
      <c r="AX45" s="13"/>
      <c r="AY45" s="698"/>
      <c r="AZ45" s="698"/>
      <c r="BA45" s="683"/>
      <c r="BB45" s="675">
        <f t="shared" si="5"/>
        <v>0</v>
      </c>
      <c r="BD45" s="699"/>
      <c r="BE45" s="699"/>
      <c r="BF45" s="699"/>
      <c r="BG45" s="699"/>
      <c r="BH45" s="699"/>
      <c r="BI45" s="706"/>
      <c r="BJ45" s="699"/>
      <c r="BK45" s="707">
        <f t="shared" ref="BK45:BK92" si="36">BI45*BJ45/1000</f>
        <v>0</v>
      </c>
      <c r="BL45" s="689"/>
      <c r="BM45" s="699"/>
      <c r="BN45" s="699"/>
      <c r="BO45" s="699"/>
      <c r="BP45" s="342"/>
      <c r="BQ45" s="349">
        <f t="shared" ref="BQ45:BQ93" si="37">SUM(BL45:BO45)</f>
        <v>0</v>
      </c>
      <c r="BS45" s="342"/>
      <c r="BT45" s="342"/>
      <c r="BU45" s="342"/>
      <c r="BV45" s="342"/>
      <c r="BW45" s="219"/>
      <c r="BX45" s="13">
        <v>300</v>
      </c>
      <c r="BY45" s="342"/>
      <c r="BZ45" s="342"/>
      <c r="CA45" s="342"/>
      <c r="CB45" s="342"/>
      <c r="CC45" s="342">
        <f t="shared" si="29"/>
        <v>0</v>
      </c>
      <c r="CD45" s="342"/>
      <c r="CE45" s="342"/>
      <c r="CF45" s="342"/>
      <c r="CH45" s="342"/>
      <c r="CI45" s="342"/>
      <c r="CJ45" s="342"/>
      <c r="CK45" s="342"/>
      <c r="CL45" s="342"/>
      <c r="CM45" s="13">
        <v>600</v>
      </c>
      <c r="CN45" s="342"/>
      <c r="CO45" s="342"/>
      <c r="CP45" s="342"/>
      <c r="CQ45" s="342"/>
      <c r="CR45" s="342">
        <f t="shared" si="6"/>
        <v>0</v>
      </c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J45" s="671">
        <f t="shared" si="7"/>
        <v>0</v>
      </c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Z45" s="671">
        <f t="shared" si="30"/>
        <v>0</v>
      </c>
    </row>
    <row r="46" spans="1:130" ht="15.75">
      <c r="A46" s="229">
        <v>39</v>
      </c>
      <c r="B46" s="592"/>
      <c r="C46" s="346"/>
      <c r="D46" s="346"/>
      <c r="E46" s="346"/>
      <c r="F46" s="591" t="s">
        <v>131</v>
      </c>
      <c r="G46" s="346"/>
      <c r="H46" s="587"/>
      <c r="I46" s="346">
        <v>440.66399999999999</v>
      </c>
      <c r="J46" s="587">
        <f t="shared" si="34"/>
        <v>0</v>
      </c>
      <c r="K46" s="587"/>
      <c r="L46" s="587">
        <f t="shared" si="35"/>
        <v>0</v>
      </c>
      <c r="M46" s="605"/>
      <c r="N46" s="606"/>
      <c r="O46" s="13"/>
      <c r="P46" s="346"/>
      <c r="Q46" s="346"/>
      <c r="R46" s="346"/>
      <c r="S46" s="349">
        <f t="shared" si="0"/>
        <v>0</v>
      </c>
      <c r="T46" s="616"/>
      <c r="U46" s="346"/>
      <c r="V46" s="621"/>
      <c r="W46" s="621"/>
      <c r="X46" s="609"/>
      <c r="Y46" s="13" t="s">
        <v>123</v>
      </c>
      <c r="Z46" s="349"/>
      <c r="AA46" s="13"/>
      <c r="AB46" s="219">
        <f t="shared" si="10"/>
        <v>0</v>
      </c>
      <c r="AC46" s="349"/>
      <c r="AD46" s="349"/>
      <c r="AE46" s="349"/>
      <c r="AF46" s="349">
        <f t="shared" si="28"/>
        <v>0</v>
      </c>
      <c r="AG46" s="13"/>
      <c r="AH46" s="13"/>
      <c r="AI46" s="13">
        <f t="shared" si="3"/>
        <v>0</v>
      </c>
      <c r="AJ46" s="626"/>
      <c r="AK46" s="626">
        <f t="shared" si="4"/>
        <v>0</v>
      </c>
      <c r="AL46" s="628"/>
      <c r="AM46" s="627">
        <v>35</v>
      </c>
      <c r="AN46" s="635" t="s">
        <v>525</v>
      </c>
      <c r="AO46" s="667"/>
      <c r="AP46" s="639">
        <v>385</v>
      </c>
      <c r="AQ46" s="639"/>
      <c r="AR46" s="668" t="s">
        <v>137</v>
      </c>
      <c r="AS46" s="639">
        <v>10</v>
      </c>
      <c r="AT46" s="640">
        <v>0.53</v>
      </c>
      <c r="AU46" s="639"/>
      <c r="AV46" s="669">
        <v>69592.710000000006</v>
      </c>
      <c r="AW46" s="681">
        <v>1739.82</v>
      </c>
      <c r="AX46" s="13">
        <f>+AW46</f>
        <v>1739.82</v>
      </c>
      <c r="AY46" s="695"/>
      <c r="AZ46" s="695"/>
      <c r="BA46" s="342"/>
      <c r="BB46" s="675">
        <f t="shared" si="5"/>
        <v>73072</v>
      </c>
      <c r="BD46" s="342"/>
      <c r="BE46" s="342"/>
      <c r="BF46" s="342"/>
      <c r="BG46" s="342"/>
      <c r="BH46" s="342"/>
      <c r="BI46" s="703"/>
      <c r="BJ46" s="342"/>
      <c r="BK46" s="221">
        <f t="shared" si="36"/>
        <v>0</v>
      </c>
      <c r="BL46" s="11"/>
      <c r="BM46" s="342"/>
      <c r="BN46" s="342"/>
      <c r="BO46" s="342"/>
      <c r="BP46" s="342"/>
      <c r="BQ46" s="349">
        <f t="shared" si="37"/>
        <v>0</v>
      </c>
      <c r="BS46" s="342"/>
      <c r="BT46" s="342"/>
      <c r="BU46" s="342"/>
      <c r="BV46" s="342"/>
      <c r="BW46" s="219"/>
      <c r="BX46" s="13">
        <v>200</v>
      </c>
      <c r="BY46" s="342"/>
      <c r="BZ46" s="342"/>
      <c r="CA46" s="342"/>
      <c r="CB46" s="342"/>
      <c r="CC46" s="342">
        <f t="shared" si="29"/>
        <v>0</v>
      </c>
      <c r="CD46" s="342"/>
      <c r="CE46" s="342"/>
      <c r="CF46" s="342"/>
      <c r="CH46" s="342"/>
      <c r="CI46" s="342"/>
      <c r="CJ46" s="342"/>
      <c r="CK46" s="342"/>
      <c r="CL46" s="342"/>
      <c r="CM46" s="13">
        <v>600</v>
      </c>
      <c r="CN46" s="342"/>
      <c r="CO46" s="342"/>
      <c r="CP46" s="342"/>
      <c r="CQ46" s="342"/>
      <c r="CR46" s="342">
        <f t="shared" si="6"/>
        <v>0</v>
      </c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J46" s="671">
        <f t="shared" si="7"/>
        <v>0</v>
      </c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Z46" s="671">
        <f t="shared" si="30"/>
        <v>0</v>
      </c>
    </row>
    <row r="47" spans="1:130" ht="15.75">
      <c r="A47" s="226">
        <v>40</v>
      </c>
      <c r="B47" s="590"/>
      <c r="C47" s="349"/>
      <c r="D47" s="349"/>
      <c r="E47" s="349"/>
      <c r="F47" s="591" t="s">
        <v>131</v>
      </c>
      <c r="G47" s="346"/>
      <c r="H47" s="587"/>
      <c r="I47" s="346">
        <v>440.66399999999999</v>
      </c>
      <c r="J47" s="587">
        <f t="shared" si="34"/>
        <v>0</v>
      </c>
      <c r="K47" s="587"/>
      <c r="L47" s="587">
        <f t="shared" si="35"/>
        <v>0</v>
      </c>
      <c r="M47" s="605"/>
      <c r="N47" s="606"/>
      <c r="O47" s="13"/>
      <c r="P47" s="346"/>
      <c r="Q47" s="346"/>
      <c r="R47" s="346"/>
      <c r="S47" s="349">
        <f t="shared" si="0"/>
        <v>0</v>
      </c>
      <c r="T47" s="616"/>
      <c r="U47" s="346"/>
      <c r="V47" s="621"/>
      <c r="W47" s="621"/>
      <c r="X47" s="609"/>
      <c r="Y47" s="13" t="s">
        <v>123</v>
      </c>
      <c r="Z47" s="349"/>
      <c r="AA47" s="13"/>
      <c r="AB47" s="219">
        <f t="shared" si="10"/>
        <v>0</v>
      </c>
      <c r="AC47" s="349"/>
      <c r="AD47" s="349"/>
      <c r="AE47" s="349"/>
      <c r="AF47" s="349">
        <f t="shared" si="28"/>
        <v>0</v>
      </c>
      <c r="AG47" s="13"/>
      <c r="AH47" s="13"/>
      <c r="AI47" s="13">
        <f t="shared" si="3"/>
        <v>0</v>
      </c>
      <c r="AJ47" s="626"/>
      <c r="AK47" s="626">
        <f t="shared" si="4"/>
        <v>0</v>
      </c>
      <c r="AL47" s="628"/>
      <c r="AM47" s="628">
        <v>36</v>
      </c>
      <c r="AN47" s="634"/>
      <c r="AO47" s="652"/>
      <c r="AP47" s="342"/>
      <c r="AQ47" s="342"/>
      <c r="AR47" s="668" t="s">
        <v>137</v>
      </c>
      <c r="AS47" s="342"/>
      <c r="AT47" s="342"/>
      <c r="AU47" s="342"/>
      <c r="AV47" s="651"/>
      <c r="AW47" s="681"/>
      <c r="AX47" s="13"/>
      <c r="AY47" s="695"/>
      <c r="AZ47" s="695"/>
      <c r="BA47" s="342"/>
      <c r="BB47" s="675">
        <f t="shared" si="5"/>
        <v>0</v>
      </c>
      <c r="BD47" s="342"/>
      <c r="BE47" s="342"/>
      <c r="BF47" s="342"/>
      <c r="BG47" s="342"/>
      <c r="BH47" s="342"/>
      <c r="BI47" s="703"/>
      <c r="BJ47" s="342"/>
      <c r="BK47" s="221">
        <f t="shared" si="36"/>
        <v>0</v>
      </c>
      <c r="BL47" s="11"/>
      <c r="BM47" s="342"/>
      <c r="BN47" s="342"/>
      <c r="BO47" s="342"/>
      <c r="BP47" s="342"/>
      <c r="BQ47" s="349">
        <f t="shared" si="37"/>
        <v>0</v>
      </c>
      <c r="BS47" s="342"/>
      <c r="BT47" s="342"/>
      <c r="BU47" s="342"/>
      <c r="BV47" s="342"/>
      <c r="BW47" s="219"/>
      <c r="BX47" s="13">
        <v>200</v>
      </c>
      <c r="BY47" s="342"/>
      <c r="BZ47" s="342"/>
      <c r="CA47" s="342"/>
      <c r="CB47" s="342"/>
      <c r="CC47" s="342">
        <f t="shared" si="29"/>
        <v>0</v>
      </c>
      <c r="CD47" s="342"/>
      <c r="CE47" s="342"/>
      <c r="CF47" s="342"/>
      <c r="CH47" s="342"/>
      <c r="CI47" s="342"/>
      <c r="CJ47" s="342"/>
      <c r="CK47" s="342"/>
      <c r="CL47" s="342"/>
      <c r="CM47" s="13">
        <v>600</v>
      </c>
      <c r="CN47" s="342"/>
      <c r="CO47" s="342"/>
      <c r="CP47" s="342"/>
      <c r="CQ47" s="342"/>
      <c r="CR47" s="342">
        <f t="shared" si="6"/>
        <v>0</v>
      </c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J47" s="671">
        <f t="shared" si="7"/>
        <v>0</v>
      </c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Z47" s="671">
        <f t="shared" si="30"/>
        <v>0</v>
      </c>
    </row>
    <row r="48" spans="1:130" ht="15.75">
      <c r="A48" s="229">
        <v>41</v>
      </c>
      <c r="B48" s="592"/>
      <c r="C48" s="346"/>
      <c r="D48" s="346"/>
      <c r="E48" s="346"/>
      <c r="F48" s="591" t="s">
        <v>131</v>
      </c>
      <c r="G48" s="346"/>
      <c r="H48" s="587"/>
      <c r="I48" s="346">
        <v>440.66399999999999</v>
      </c>
      <c r="J48" s="587">
        <f t="shared" si="34"/>
        <v>0</v>
      </c>
      <c r="K48" s="587"/>
      <c r="L48" s="587">
        <f t="shared" si="35"/>
        <v>0</v>
      </c>
      <c r="M48" s="605"/>
      <c r="N48" s="606"/>
      <c r="O48" s="13"/>
      <c r="P48" s="346"/>
      <c r="Q48" s="346"/>
      <c r="R48" s="346"/>
      <c r="S48" s="349">
        <f t="shared" si="0"/>
        <v>0</v>
      </c>
      <c r="T48" s="616"/>
      <c r="U48" s="346"/>
      <c r="V48" s="621"/>
      <c r="W48" s="621"/>
      <c r="X48" s="609"/>
      <c r="Y48" s="13" t="s">
        <v>123</v>
      </c>
      <c r="Z48" s="349"/>
      <c r="AA48" s="13"/>
      <c r="AB48" s="219">
        <f t="shared" si="10"/>
        <v>0</v>
      </c>
      <c r="AC48" s="349"/>
      <c r="AD48" s="349"/>
      <c r="AE48" s="349"/>
      <c r="AF48" s="349">
        <f t="shared" si="28"/>
        <v>0</v>
      </c>
      <c r="AG48" s="13"/>
      <c r="AH48" s="13"/>
      <c r="AI48" s="13">
        <f t="shared" si="3"/>
        <v>0</v>
      </c>
      <c r="AJ48" s="626"/>
      <c r="AK48" s="626">
        <f t="shared" si="4"/>
        <v>0</v>
      </c>
      <c r="AL48" s="628"/>
      <c r="AM48" s="627">
        <v>37</v>
      </c>
      <c r="AN48" s="634"/>
      <c r="AO48" s="652"/>
      <c r="AP48" s="342"/>
      <c r="AQ48" s="342"/>
      <c r="AR48" s="668" t="s">
        <v>137</v>
      </c>
      <c r="AS48" s="342"/>
      <c r="AT48" s="643"/>
      <c r="AU48" s="643"/>
      <c r="AV48" s="651"/>
      <c r="AW48" s="681"/>
      <c r="AX48" s="13"/>
      <c r="AY48" s="694"/>
      <c r="AZ48" s="694"/>
      <c r="BA48" s="682"/>
      <c r="BB48" s="675">
        <f t="shared" si="5"/>
        <v>0</v>
      </c>
      <c r="BD48" s="342"/>
      <c r="BE48" s="342"/>
      <c r="BF48" s="342"/>
      <c r="BG48" s="342"/>
      <c r="BH48" s="342"/>
      <c r="BI48" s="703"/>
      <c r="BJ48" s="342"/>
      <c r="BK48" s="221">
        <f t="shared" si="36"/>
        <v>0</v>
      </c>
      <c r="BL48" s="342"/>
      <c r="BM48" s="342"/>
      <c r="BN48" s="342"/>
      <c r="BO48" s="342"/>
      <c r="BP48" s="342"/>
      <c r="BQ48" s="349">
        <f t="shared" si="37"/>
        <v>0</v>
      </c>
      <c r="BS48" s="342"/>
      <c r="BT48" s="342"/>
      <c r="BU48" s="342"/>
      <c r="BV48" s="342"/>
      <c r="BW48" s="219"/>
      <c r="BX48" s="13">
        <v>200</v>
      </c>
      <c r="BY48" s="342"/>
      <c r="BZ48" s="342"/>
      <c r="CA48" s="342"/>
      <c r="CB48" s="342"/>
      <c r="CC48" s="342">
        <f t="shared" si="29"/>
        <v>0</v>
      </c>
      <c r="CD48" s="342"/>
      <c r="CE48" s="342"/>
      <c r="CF48" s="342"/>
      <c r="CH48" s="342"/>
      <c r="CI48" s="342"/>
      <c r="CJ48" s="342"/>
      <c r="CK48" s="342"/>
      <c r="CL48" s="342"/>
      <c r="CM48" s="13">
        <v>600</v>
      </c>
      <c r="CN48" s="342"/>
      <c r="CO48" s="342"/>
      <c r="CP48" s="342"/>
      <c r="CQ48" s="342"/>
      <c r="CR48" s="342">
        <f t="shared" si="6"/>
        <v>0</v>
      </c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J48" s="671">
        <f t="shared" si="7"/>
        <v>0</v>
      </c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Z48" s="671">
        <f t="shared" si="30"/>
        <v>0</v>
      </c>
    </row>
    <row r="49" spans="1:130" ht="15.75">
      <c r="A49" s="226">
        <v>42</v>
      </c>
      <c r="B49" s="592"/>
      <c r="C49" s="346"/>
      <c r="D49" s="346"/>
      <c r="E49" s="346"/>
      <c r="F49" s="591" t="s">
        <v>131</v>
      </c>
      <c r="G49" s="346"/>
      <c r="H49" s="587"/>
      <c r="I49" s="346">
        <v>440.66399999999999</v>
      </c>
      <c r="J49" s="587">
        <f t="shared" si="34"/>
        <v>0</v>
      </c>
      <c r="K49" s="587"/>
      <c r="L49" s="587">
        <f t="shared" si="35"/>
        <v>0</v>
      </c>
      <c r="M49" s="605"/>
      <c r="N49" s="606"/>
      <c r="O49" s="13"/>
      <c r="P49" s="346"/>
      <c r="Q49" s="346"/>
      <c r="R49" s="346"/>
      <c r="S49" s="349">
        <f t="shared" si="0"/>
        <v>0</v>
      </c>
      <c r="T49" s="616"/>
      <c r="U49" s="346"/>
      <c r="V49" s="621"/>
      <c r="W49" s="621"/>
      <c r="X49" s="609"/>
      <c r="Y49" s="13" t="s">
        <v>123</v>
      </c>
      <c r="Z49" s="349"/>
      <c r="AA49" s="13"/>
      <c r="AB49" s="219">
        <f t="shared" si="10"/>
        <v>0</v>
      </c>
      <c r="AC49" s="349"/>
      <c r="AD49" s="349"/>
      <c r="AE49" s="349"/>
      <c r="AF49" s="349">
        <f t="shared" si="28"/>
        <v>0</v>
      </c>
      <c r="AG49" s="13"/>
      <c r="AH49" s="13"/>
      <c r="AI49" s="13">
        <f t="shared" si="3"/>
        <v>0</v>
      </c>
      <c r="AJ49" s="626"/>
      <c r="AK49" s="626">
        <f t="shared" si="4"/>
        <v>0</v>
      </c>
      <c r="AL49" s="628"/>
      <c r="AM49" s="628">
        <v>38</v>
      </c>
      <c r="AN49" s="631"/>
      <c r="AO49" s="10"/>
      <c r="AP49" s="10"/>
      <c r="AQ49" s="10"/>
      <c r="AR49" s="668" t="s">
        <v>137</v>
      </c>
      <c r="AS49" s="11"/>
      <c r="AT49" s="11"/>
      <c r="AU49" s="11"/>
      <c r="AV49" s="656"/>
      <c r="AW49" s="681"/>
      <c r="AX49" s="13"/>
      <c r="AY49" s="698"/>
      <c r="AZ49" s="698"/>
      <c r="BA49" s="683"/>
      <c r="BB49" s="675">
        <f t="shared" si="5"/>
        <v>0</v>
      </c>
      <c r="BD49" s="342"/>
      <c r="BE49" s="342"/>
      <c r="BF49" s="342"/>
      <c r="BG49" s="342"/>
      <c r="BH49" s="342"/>
      <c r="BI49" s="703"/>
      <c r="BJ49" s="342"/>
      <c r="BK49" s="221">
        <f t="shared" si="36"/>
        <v>0</v>
      </c>
      <c r="BL49" s="342"/>
      <c r="BM49" s="342"/>
      <c r="BN49" s="342"/>
      <c r="BO49" s="342"/>
      <c r="BP49" s="342"/>
      <c r="BQ49" s="349">
        <f t="shared" si="37"/>
        <v>0</v>
      </c>
      <c r="BS49" s="342"/>
      <c r="BT49" s="342"/>
      <c r="BU49" s="342"/>
      <c r="BV49" s="342"/>
      <c r="BW49" s="219"/>
      <c r="BX49" s="13">
        <v>200</v>
      </c>
      <c r="BY49" s="342"/>
      <c r="BZ49" s="342"/>
      <c r="CA49" s="342"/>
      <c r="CB49" s="342"/>
      <c r="CC49" s="342">
        <f t="shared" si="29"/>
        <v>0</v>
      </c>
      <c r="CD49" s="342"/>
      <c r="CE49" s="342"/>
      <c r="CF49" s="342"/>
      <c r="CH49" s="342"/>
      <c r="CI49" s="342"/>
      <c r="CJ49" s="342"/>
      <c r="CK49" s="342"/>
      <c r="CL49" s="342"/>
      <c r="CM49" s="13">
        <v>600</v>
      </c>
      <c r="CN49" s="342"/>
      <c r="CO49" s="342"/>
      <c r="CP49" s="342"/>
      <c r="CQ49" s="342"/>
      <c r="CR49" s="342">
        <f t="shared" si="6"/>
        <v>0</v>
      </c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J49" s="671">
        <f t="shared" si="7"/>
        <v>0</v>
      </c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Z49" s="671">
        <f t="shared" si="30"/>
        <v>0</v>
      </c>
    </row>
    <row r="50" spans="1:130" ht="15.75">
      <c r="A50" s="229">
        <v>43</v>
      </c>
      <c r="B50" s="592"/>
      <c r="C50" s="346"/>
      <c r="D50" s="346"/>
      <c r="E50" s="346"/>
      <c r="F50" s="591" t="s">
        <v>131</v>
      </c>
      <c r="G50" s="346"/>
      <c r="H50" s="587"/>
      <c r="I50" s="346">
        <v>440.66399999999999</v>
      </c>
      <c r="J50" s="587">
        <f t="shared" si="34"/>
        <v>0</v>
      </c>
      <c r="K50" s="587"/>
      <c r="L50" s="587">
        <f t="shared" si="35"/>
        <v>0</v>
      </c>
      <c r="M50" s="605"/>
      <c r="N50" s="606"/>
      <c r="O50" s="13"/>
      <c r="P50" s="346"/>
      <c r="Q50" s="346"/>
      <c r="R50" s="346"/>
      <c r="S50" s="349">
        <f t="shared" si="0"/>
        <v>0</v>
      </c>
      <c r="T50" s="616"/>
      <c r="U50" s="346"/>
      <c r="V50" s="621"/>
      <c r="W50" s="621"/>
      <c r="X50" s="609"/>
      <c r="Y50" s="13" t="s">
        <v>138</v>
      </c>
      <c r="Z50" s="349"/>
      <c r="AA50" s="13"/>
      <c r="AB50" s="219">
        <f t="shared" si="10"/>
        <v>0</v>
      </c>
      <c r="AC50" s="349"/>
      <c r="AD50" s="349"/>
      <c r="AE50" s="349"/>
      <c r="AF50" s="349">
        <f t="shared" si="28"/>
        <v>0</v>
      </c>
      <c r="AG50" s="13"/>
      <c r="AH50" s="13"/>
      <c r="AI50" s="13">
        <f t="shared" si="3"/>
        <v>0</v>
      </c>
      <c r="AJ50" s="626"/>
      <c r="AK50" s="626">
        <f t="shared" si="4"/>
        <v>0</v>
      </c>
      <c r="AL50" s="628"/>
      <c r="AM50" s="627">
        <v>39</v>
      </c>
      <c r="AN50" s="629"/>
      <c r="AO50" s="618"/>
      <c r="AP50" s="342"/>
      <c r="AQ50" s="13"/>
      <c r="AR50" s="668" t="s">
        <v>137</v>
      </c>
      <c r="AS50" s="13"/>
      <c r="AT50" s="219"/>
      <c r="AU50" s="219"/>
      <c r="AV50" s="670"/>
      <c r="AW50" s="230"/>
      <c r="AX50" s="13"/>
      <c r="AY50" s="229"/>
      <c r="AZ50" s="229"/>
      <c r="BA50" s="13"/>
      <c r="BB50" s="675">
        <f t="shared" si="5"/>
        <v>0</v>
      </c>
      <c r="BD50" s="342"/>
      <c r="BE50" s="342"/>
      <c r="BF50" s="342"/>
      <c r="BG50" s="342"/>
      <c r="BH50" s="342"/>
      <c r="BI50" s="703"/>
      <c r="BJ50" s="342"/>
      <c r="BK50" s="221">
        <f t="shared" si="36"/>
        <v>0</v>
      </c>
      <c r="BL50" s="342"/>
      <c r="BM50" s="342"/>
      <c r="BN50" s="342"/>
      <c r="BO50" s="342"/>
      <c r="BP50" s="342"/>
      <c r="BQ50" s="349">
        <f t="shared" si="37"/>
        <v>0</v>
      </c>
      <c r="BS50" s="342"/>
      <c r="BT50" s="342"/>
      <c r="BU50" s="342"/>
      <c r="BV50" s="342"/>
      <c r="BW50" s="219"/>
      <c r="BX50" s="13">
        <v>200</v>
      </c>
      <c r="BY50" s="342"/>
      <c r="BZ50" s="342"/>
      <c r="CA50" s="342"/>
      <c r="CB50" s="342"/>
      <c r="CC50" s="342">
        <f t="shared" si="29"/>
        <v>0</v>
      </c>
      <c r="CD50" s="342"/>
      <c r="CE50" s="342"/>
      <c r="CF50" s="342"/>
      <c r="CH50" s="342"/>
      <c r="CI50" s="342"/>
      <c r="CJ50" s="342"/>
      <c r="CK50" s="342"/>
      <c r="CL50" s="342"/>
      <c r="CM50" s="13">
        <v>600</v>
      </c>
      <c r="CN50" s="342"/>
      <c r="CO50" s="342"/>
      <c r="CP50" s="342"/>
      <c r="CQ50" s="342"/>
      <c r="CR50" s="342">
        <f t="shared" si="6"/>
        <v>0</v>
      </c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J50" s="671">
        <f t="shared" si="7"/>
        <v>0</v>
      </c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Z50" s="671">
        <f t="shared" si="30"/>
        <v>0</v>
      </c>
    </row>
    <row r="51" spans="1:130" ht="15.75">
      <c r="A51" s="226">
        <v>44</v>
      </c>
      <c r="B51" s="592"/>
      <c r="C51" s="346"/>
      <c r="D51" s="346"/>
      <c r="E51" s="346"/>
      <c r="F51" s="591" t="s">
        <v>131</v>
      </c>
      <c r="G51" s="346"/>
      <c r="H51" s="587"/>
      <c r="I51" s="346">
        <v>440.66399999999999</v>
      </c>
      <c r="J51" s="587">
        <f t="shared" si="34"/>
        <v>0</v>
      </c>
      <c r="K51" s="587"/>
      <c r="L51" s="587">
        <f t="shared" si="35"/>
        <v>0</v>
      </c>
      <c r="M51" s="605"/>
      <c r="N51" s="606"/>
      <c r="O51" s="13"/>
      <c r="P51" s="346"/>
      <c r="Q51" s="346"/>
      <c r="R51" s="346"/>
      <c r="S51" s="349">
        <f t="shared" si="0"/>
        <v>0</v>
      </c>
      <c r="T51" s="616"/>
      <c r="U51" s="346"/>
      <c r="V51" s="621"/>
      <c r="W51" s="621"/>
      <c r="X51" s="609"/>
      <c r="Y51" s="13" t="s">
        <v>138</v>
      </c>
      <c r="Z51" s="349"/>
      <c r="AA51" s="13"/>
      <c r="AB51" s="219">
        <f t="shared" si="10"/>
        <v>0</v>
      </c>
      <c r="AC51" s="349"/>
      <c r="AD51" s="349"/>
      <c r="AE51" s="349"/>
      <c r="AF51" s="349">
        <f t="shared" si="28"/>
        <v>0</v>
      </c>
      <c r="AG51" s="13"/>
      <c r="AH51" s="13"/>
      <c r="AI51" s="13">
        <f t="shared" si="3"/>
        <v>0</v>
      </c>
      <c r="AJ51" s="626"/>
      <c r="AK51" s="626">
        <f t="shared" si="4"/>
        <v>0</v>
      </c>
      <c r="AL51" s="628"/>
      <c r="AM51" s="628">
        <v>40</v>
      </c>
      <c r="AN51" s="629"/>
      <c r="AO51" s="618"/>
      <c r="AP51" s="342"/>
      <c r="AQ51" s="13"/>
      <c r="AR51" s="668" t="s">
        <v>137</v>
      </c>
      <c r="AS51" s="342"/>
      <c r="AT51" s="643"/>
      <c r="AU51" s="643"/>
      <c r="AV51" s="644"/>
      <c r="AW51" s="693"/>
      <c r="AX51" s="13"/>
      <c r="AY51" s="695"/>
      <c r="AZ51" s="695"/>
      <c r="BA51" s="342"/>
      <c r="BB51" s="675">
        <f t="shared" si="5"/>
        <v>0</v>
      </c>
      <c r="BD51" s="342"/>
      <c r="BE51" s="342"/>
      <c r="BF51" s="342"/>
      <c r="BG51" s="342"/>
      <c r="BH51" s="342"/>
      <c r="BI51" s="703"/>
      <c r="BJ51" s="342"/>
      <c r="BK51" s="221">
        <f t="shared" si="36"/>
        <v>0</v>
      </c>
      <c r="BL51" s="342"/>
      <c r="BM51" s="342"/>
      <c r="BN51" s="342"/>
      <c r="BO51" s="342"/>
      <c r="BP51" s="342"/>
      <c r="BQ51" s="349">
        <f t="shared" si="37"/>
        <v>0</v>
      </c>
      <c r="BS51" s="342"/>
      <c r="BT51" s="342"/>
      <c r="BU51" s="342"/>
      <c r="BV51" s="342"/>
      <c r="BW51" s="219"/>
      <c r="BX51" s="13">
        <v>200</v>
      </c>
      <c r="BY51" s="342"/>
      <c r="BZ51" s="342"/>
      <c r="CA51" s="342"/>
      <c r="CB51" s="342"/>
      <c r="CC51" s="342">
        <f t="shared" si="29"/>
        <v>0</v>
      </c>
      <c r="CD51" s="342"/>
      <c r="CE51" s="342"/>
      <c r="CF51" s="342"/>
      <c r="CH51" s="342"/>
      <c r="CI51" s="342"/>
      <c r="CJ51" s="342"/>
      <c r="CK51" s="342"/>
      <c r="CL51" s="342"/>
      <c r="CM51" s="13">
        <v>600</v>
      </c>
      <c r="CN51" s="342"/>
      <c r="CO51" s="342"/>
      <c r="CP51" s="342"/>
      <c r="CQ51" s="342"/>
      <c r="CR51" s="342">
        <f t="shared" si="6"/>
        <v>0</v>
      </c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J51" s="671">
        <f t="shared" si="7"/>
        <v>0</v>
      </c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Z51" s="671">
        <f t="shared" si="30"/>
        <v>0</v>
      </c>
    </row>
    <row r="52" spans="1:130" ht="15.75">
      <c r="A52" s="229">
        <v>45</v>
      </c>
      <c r="B52" s="985" t="s">
        <v>10</v>
      </c>
      <c r="C52" s="986"/>
      <c r="D52" s="986"/>
      <c r="E52" s="986"/>
      <c r="F52" s="987"/>
      <c r="G52" s="588">
        <f>SUM(G33:G51)</f>
        <v>101</v>
      </c>
      <c r="H52" s="588">
        <f>SUM(H33:H51)</f>
        <v>44.181000000000004</v>
      </c>
      <c r="I52" s="588"/>
      <c r="J52" s="602"/>
      <c r="K52" s="602"/>
      <c r="L52" s="602"/>
      <c r="M52" s="604">
        <f>SUM(M33:M51)</f>
        <v>6590627.4799999995</v>
      </c>
      <c r="N52" s="606"/>
      <c r="O52" s="13"/>
      <c r="P52" s="346"/>
      <c r="Q52" s="346"/>
      <c r="R52" s="346"/>
      <c r="S52" s="349">
        <f t="shared" si="0"/>
        <v>6590627</v>
      </c>
      <c r="T52" s="616"/>
      <c r="U52" s="346"/>
      <c r="V52" s="620"/>
      <c r="W52" s="621"/>
      <c r="X52" s="609"/>
      <c r="Y52" s="13" t="s">
        <v>138</v>
      </c>
      <c r="Z52" s="349"/>
      <c r="AA52" s="13"/>
      <c r="AB52" s="219">
        <f t="shared" si="10"/>
        <v>0</v>
      </c>
      <c r="AC52" s="349"/>
      <c r="AD52" s="349"/>
      <c r="AE52" s="349"/>
      <c r="AF52" s="349">
        <f t="shared" si="28"/>
        <v>0</v>
      </c>
      <c r="AG52" s="13"/>
      <c r="AH52" s="13"/>
      <c r="AI52" s="13">
        <f t="shared" si="3"/>
        <v>0</v>
      </c>
      <c r="AJ52" s="626"/>
      <c r="AK52" s="626">
        <f t="shared" si="4"/>
        <v>0</v>
      </c>
      <c r="AL52" s="628"/>
      <c r="AM52" s="627">
        <v>41</v>
      </c>
      <c r="AN52" s="629"/>
      <c r="AO52" s="618"/>
      <c r="AP52" s="342"/>
      <c r="AQ52" s="13"/>
      <c r="AR52" s="668" t="s">
        <v>137</v>
      </c>
      <c r="AS52" s="11"/>
      <c r="AT52" s="643"/>
      <c r="AU52" s="643"/>
      <c r="AV52" s="651"/>
      <c r="AW52" s="681"/>
      <c r="AX52" s="13"/>
      <c r="AY52" s="698"/>
      <c r="AZ52" s="698"/>
      <c r="BA52" s="683"/>
      <c r="BB52" s="675">
        <f t="shared" si="5"/>
        <v>0</v>
      </c>
      <c r="BD52" s="342"/>
      <c r="BE52" s="342"/>
      <c r="BF52" s="342"/>
      <c r="BG52" s="342"/>
      <c r="BH52" s="342"/>
      <c r="BI52" s="703"/>
      <c r="BJ52" s="342"/>
      <c r="BK52" s="221">
        <f t="shared" si="36"/>
        <v>0</v>
      </c>
      <c r="BL52" s="342"/>
      <c r="BM52" s="342"/>
      <c r="BN52" s="342"/>
      <c r="BO52" s="342"/>
      <c r="BP52" s="342"/>
      <c r="BQ52" s="349">
        <f t="shared" si="37"/>
        <v>0</v>
      </c>
      <c r="BS52" s="342"/>
      <c r="BT52" s="342"/>
      <c r="BU52" s="342"/>
      <c r="BV52" s="342"/>
      <c r="BW52" s="219"/>
      <c r="BX52" s="13">
        <v>200</v>
      </c>
      <c r="BY52" s="342"/>
      <c r="BZ52" s="342"/>
      <c r="CA52" s="342"/>
      <c r="CB52" s="342"/>
      <c r="CC52" s="342">
        <f t="shared" si="29"/>
        <v>0</v>
      </c>
      <c r="CD52" s="342"/>
      <c r="CE52" s="342"/>
      <c r="CF52" s="342"/>
      <c r="CH52" s="342"/>
      <c r="CI52" s="342"/>
      <c r="CJ52" s="342"/>
      <c r="CK52" s="342"/>
      <c r="CL52" s="342"/>
      <c r="CM52" s="13">
        <v>600</v>
      </c>
      <c r="CN52" s="342"/>
      <c r="CO52" s="342"/>
      <c r="CP52" s="342"/>
      <c r="CQ52" s="342"/>
      <c r="CR52" s="342">
        <f t="shared" si="6"/>
        <v>0</v>
      </c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J52" s="671">
        <f t="shared" si="7"/>
        <v>0</v>
      </c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Z52" s="671">
        <f t="shared" si="30"/>
        <v>0</v>
      </c>
    </row>
    <row r="53" spans="1:130" ht="15.75">
      <c r="A53" s="226">
        <v>46</v>
      </c>
      <c r="B53" s="582"/>
      <c r="C53" s="584"/>
      <c r="D53" s="584"/>
      <c r="E53" s="584"/>
      <c r="F53" s="594" t="s">
        <v>139</v>
      </c>
      <c r="G53" s="584"/>
      <c r="H53" s="584"/>
      <c r="I53" s="584"/>
      <c r="J53" s="585"/>
      <c r="K53" s="585"/>
      <c r="L53" s="585"/>
      <c r="M53" s="613"/>
      <c r="N53" s="606"/>
      <c r="O53" s="13"/>
      <c r="P53" s="346"/>
      <c r="Q53" s="346"/>
      <c r="R53" s="346"/>
      <c r="S53" s="349">
        <f t="shared" si="0"/>
        <v>0</v>
      </c>
      <c r="T53" s="616"/>
      <c r="U53" s="346"/>
      <c r="V53" s="620"/>
      <c r="W53" s="621"/>
      <c r="X53" s="609"/>
      <c r="Y53" s="13" t="s">
        <v>138</v>
      </c>
      <c r="Z53" s="349"/>
      <c r="AA53" s="13"/>
      <c r="AB53" s="219">
        <f t="shared" si="10"/>
        <v>0</v>
      </c>
      <c r="AC53" s="349"/>
      <c r="AD53" s="349"/>
      <c r="AE53" s="349"/>
      <c r="AF53" s="349">
        <f t="shared" si="28"/>
        <v>0</v>
      </c>
      <c r="AG53" s="13"/>
      <c r="AH53" s="13"/>
      <c r="AI53" s="13">
        <f t="shared" si="3"/>
        <v>0</v>
      </c>
      <c r="AJ53" s="626"/>
      <c r="AK53" s="626">
        <f t="shared" si="4"/>
        <v>0</v>
      </c>
      <c r="AL53" s="628"/>
      <c r="AM53" s="628">
        <v>42</v>
      </c>
      <c r="AN53" s="630"/>
      <c r="AO53" s="652"/>
      <c r="AP53" s="342"/>
      <c r="AQ53" s="13"/>
      <c r="AR53" s="668" t="s">
        <v>137</v>
      </c>
      <c r="AS53" s="11"/>
      <c r="AT53" s="643"/>
      <c r="AU53" s="643"/>
      <c r="AV53" s="644"/>
      <c r="AW53" s="681"/>
      <c r="AX53" s="13"/>
      <c r="AY53" s="695"/>
      <c r="AZ53" s="695"/>
      <c r="BA53" s="342"/>
      <c r="BB53" s="675">
        <f t="shared" si="5"/>
        <v>0</v>
      </c>
      <c r="BD53" s="342"/>
      <c r="BE53" s="342"/>
      <c r="BF53" s="342"/>
      <c r="BG53" s="342"/>
      <c r="BH53" s="342"/>
      <c r="BI53" s="703"/>
      <c r="BJ53" s="342"/>
      <c r="BK53" s="221">
        <f t="shared" si="36"/>
        <v>0</v>
      </c>
      <c r="BL53" s="342"/>
      <c r="BM53" s="342"/>
      <c r="BN53" s="342"/>
      <c r="BO53" s="342"/>
      <c r="BP53" s="342"/>
      <c r="BQ53" s="349">
        <f t="shared" si="37"/>
        <v>0</v>
      </c>
      <c r="BS53" s="342"/>
      <c r="BT53" s="342"/>
      <c r="BU53" s="342"/>
      <c r="BV53" s="342"/>
      <c r="BW53" s="219"/>
      <c r="BX53" s="13">
        <v>200</v>
      </c>
      <c r="BY53" s="342"/>
      <c r="BZ53" s="342"/>
      <c r="CA53" s="342"/>
      <c r="CB53" s="342"/>
      <c r="CC53" s="342">
        <f t="shared" si="29"/>
        <v>0</v>
      </c>
      <c r="CD53" s="342"/>
      <c r="CE53" s="342"/>
      <c r="CF53" s="342"/>
      <c r="CH53" s="342"/>
      <c r="CI53" s="342"/>
      <c r="CJ53" s="342"/>
      <c r="CK53" s="342"/>
      <c r="CL53" s="342"/>
      <c r="CM53" s="13">
        <v>600</v>
      </c>
      <c r="CN53" s="342"/>
      <c r="CO53" s="342"/>
      <c r="CP53" s="342"/>
      <c r="CQ53" s="342"/>
      <c r="CR53" s="342">
        <f t="shared" si="6"/>
        <v>0</v>
      </c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J53" s="671">
        <f t="shared" si="7"/>
        <v>0</v>
      </c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Z53" s="671">
        <f t="shared" si="30"/>
        <v>0</v>
      </c>
    </row>
    <row r="54" spans="1:130" ht="15.75">
      <c r="A54" s="229">
        <v>47</v>
      </c>
      <c r="B54" s="592"/>
      <c r="C54" s="346"/>
      <c r="D54" s="346"/>
      <c r="E54" s="346"/>
      <c r="F54" s="595" t="s">
        <v>139</v>
      </c>
      <c r="G54" s="346"/>
      <c r="H54" s="346"/>
      <c r="I54" s="346"/>
      <c r="J54" s="587"/>
      <c r="K54" s="587"/>
      <c r="L54" s="587"/>
      <c r="M54" s="605"/>
      <c r="N54" s="606"/>
      <c r="O54" s="13"/>
      <c r="P54" s="346"/>
      <c r="Q54" s="346"/>
      <c r="R54" s="346"/>
      <c r="S54" s="349">
        <f t="shared" si="0"/>
        <v>0</v>
      </c>
      <c r="T54" s="616"/>
      <c r="U54" s="346"/>
      <c r="V54" s="620"/>
      <c r="W54" s="621"/>
      <c r="X54" s="609"/>
      <c r="Y54" s="13" t="s">
        <v>138</v>
      </c>
      <c r="Z54" s="349"/>
      <c r="AA54" s="13"/>
      <c r="AB54" s="219">
        <f t="shared" si="10"/>
        <v>0</v>
      </c>
      <c r="AC54" s="349"/>
      <c r="AD54" s="349"/>
      <c r="AE54" s="349"/>
      <c r="AF54" s="349">
        <f t="shared" si="28"/>
        <v>0</v>
      </c>
      <c r="AG54" s="13"/>
      <c r="AH54" s="13"/>
      <c r="AI54" s="13">
        <f t="shared" si="3"/>
        <v>0</v>
      </c>
      <c r="AJ54" s="626"/>
      <c r="AK54" s="626">
        <f t="shared" si="4"/>
        <v>0</v>
      </c>
      <c r="AL54" s="628"/>
      <c r="AM54" s="627">
        <v>43</v>
      </c>
      <c r="AN54" s="634"/>
      <c r="AO54" s="652"/>
      <c r="AP54" s="342"/>
      <c r="AQ54" s="342"/>
      <c r="AR54" s="668" t="s">
        <v>137</v>
      </c>
      <c r="AS54" s="11"/>
      <c r="AT54" s="654"/>
      <c r="AU54" s="654"/>
      <c r="AV54" s="651"/>
      <c r="AW54" s="681"/>
      <c r="AX54" s="13"/>
      <c r="AY54" s="698"/>
      <c r="AZ54" s="698"/>
      <c r="BA54" s="683"/>
      <c r="BB54" s="675">
        <f t="shared" si="5"/>
        <v>0</v>
      </c>
      <c r="BD54" s="342"/>
      <c r="BE54" s="342"/>
      <c r="BF54" s="342"/>
      <c r="BG54" s="342"/>
      <c r="BH54" s="342"/>
      <c r="BI54" s="703"/>
      <c r="BJ54" s="342"/>
      <c r="BK54" s="221">
        <f t="shared" si="36"/>
        <v>0</v>
      </c>
      <c r="BL54" s="342"/>
      <c r="BM54" s="342"/>
      <c r="BN54" s="342"/>
      <c r="BO54" s="342"/>
      <c r="BP54" s="342"/>
      <c r="BQ54" s="349">
        <f t="shared" si="37"/>
        <v>0</v>
      </c>
      <c r="BS54" s="342"/>
      <c r="BT54" s="342"/>
      <c r="BU54" s="342"/>
      <c r="BV54" s="342"/>
      <c r="BW54" s="219"/>
      <c r="BX54" s="13">
        <v>200</v>
      </c>
      <c r="BY54" s="342"/>
      <c r="BZ54" s="342"/>
      <c r="CA54" s="342"/>
      <c r="CB54" s="342"/>
      <c r="CC54" s="342">
        <f t="shared" si="29"/>
        <v>0</v>
      </c>
      <c r="CD54" s="342"/>
      <c r="CE54" s="342"/>
      <c r="CF54" s="342"/>
      <c r="CH54" s="342"/>
      <c r="CI54" s="342"/>
      <c r="CJ54" s="342"/>
      <c r="CK54" s="342"/>
      <c r="CL54" s="342"/>
      <c r="CM54" s="13">
        <v>600</v>
      </c>
      <c r="CN54" s="342"/>
      <c r="CO54" s="342"/>
      <c r="CP54" s="342"/>
      <c r="CQ54" s="342"/>
      <c r="CR54" s="342">
        <f t="shared" si="6"/>
        <v>0</v>
      </c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J54" s="671">
        <f t="shared" si="7"/>
        <v>0</v>
      </c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Z54" s="671">
        <f t="shared" si="30"/>
        <v>0</v>
      </c>
    </row>
    <row r="55" spans="1:130" ht="15.75">
      <c r="A55" s="226">
        <v>48</v>
      </c>
      <c r="B55" s="592"/>
      <c r="C55" s="346"/>
      <c r="D55" s="346"/>
      <c r="E55" s="346"/>
      <c r="F55" s="595" t="s">
        <v>139</v>
      </c>
      <c r="G55" s="346"/>
      <c r="H55" s="346"/>
      <c r="I55" s="346"/>
      <c r="J55" s="587"/>
      <c r="K55" s="587"/>
      <c r="L55" s="587"/>
      <c r="M55" s="605"/>
      <c r="N55" s="606"/>
      <c r="O55" s="13"/>
      <c r="P55" s="346"/>
      <c r="Q55" s="346"/>
      <c r="R55" s="346"/>
      <c r="S55" s="349">
        <f t="shared" si="0"/>
        <v>0</v>
      </c>
      <c r="T55" s="616"/>
      <c r="U55" s="346"/>
      <c r="V55" s="620"/>
      <c r="W55" s="621"/>
      <c r="X55" s="609"/>
      <c r="Y55" s="13"/>
      <c r="Z55" s="349"/>
      <c r="AA55" s="13"/>
      <c r="AB55" s="219"/>
      <c r="AC55" s="349"/>
      <c r="AD55" s="349"/>
      <c r="AE55" s="349"/>
      <c r="AF55" s="349">
        <f t="shared" si="28"/>
        <v>0</v>
      </c>
      <c r="AG55" s="13"/>
      <c r="AH55" s="13"/>
      <c r="AI55" s="13">
        <f t="shared" si="3"/>
        <v>0</v>
      </c>
      <c r="AJ55" s="626"/>
      <c r="AK55" s="626">
        <f t="shared" si="4"/>
        <v>0</v>
      </c>
      <c r="AL55" s="628"/>
      <c r="AM55" s="628">
        <v>44</v>
      </c>
      <c r="AN55" s="630"/>
      <c r="AO55" s="618"/>
      <c r="AP55" s="11"/>
      <c r="AQ55" s="13"/>
      <c r="AR55" s="668" t="s">
        <v>137</v>
      </c>
      <c r="AS55" s="671"/>
      <c r="AT55" s="654"/>
      <c r="AU55" s="654"/>
      <c r="AV55" s="651"/>
      <c r="AW55" s="681"/>
      <c r="AX55" s="13"/>
      <c r="AY55" s="683"/>
      <c r="AZ55" s="683"/>
      <c r="BA55" s="683"/>
      <c r="BB55" s="675">
        <f t="shared" si="5"/>
        <v>0</v>
      </c>
      <c r="BD55" s="342"/>
      <c r="BE55" s="342"/>
      <c r="BF55" s="342"/>
      <c r="BG55" s="342"/>
      <c r="BH55" s="342"/>
      <c r="BI55" s="703"/>
      <c r="BJ55" s="342"/>
      <c r="BK55" s="221"/>
      <c r="BL55" s="342"/>
      <c r="BM55" s="342"/>
      <c r="BN55" s="342"/>
      <c r="BO55" s="342"/>
      <c r="BP55" s="342"/>
      <c r="BQ55" s="349"/>
      <c r="BS55" s="342"/>
      <c r="BT55" s="342"/>
      <c r="BU55" s="342"/>
      <c r="BV55" s="342"/>
      <c r="BW55" s="219"/>
      <c r="BX55" s="13"/>
      <c r="BY55" s="342"/>
      <c r="BZ55" s="342"/>
      <c r="CA55" s="342"/>
      <c r="CB55" s="342"/>
      <c r="CC55" s="342"/>
      <c r="CD55" s="342"/>
      <c r="CE55" s="342"/>
      <c r="CF55" s="342"/>
      <c r="CH55" s="342"/>
      <c r="CI55" s="342"/>
      <c r="CJ55" s="342"/>
      <c r="CK55" s="342"/>
      <c r="CL55" s="342"/>
      <c r="CM55" s="13"/>
      <c r="CN55" s="342"/>
      <c r="CO55" s="342"/>
      <c r="CP55" s="342"/>
      <c r="CQ55" s="342"/>
      <c r="CR55" s="342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J55" s="671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Z55" s="671"/>
    </row>
    <row r="56" spans="1:130" ht="15.75">
      <c r="A56" s="229">
        <v>49</v>
      </c>
      <c r="B56" s="592"/>
      <c r="C56" s="346"/>
      <c r="D56" s="346"/>
      <c r="E56" s="346"/>
      <c r="F56" s="595" t="s">
        <v>139</v>
      </c>
      <c r="G56" s="346"/>
      <c r="H56" s="346"/>
      <c r="I56" s="346"/>
      <c r="J56" s="587"/>
      <c r="K56" s="587"/>
      <c r="L56" s="587"/>
      <c r="M56" s="605"/>
      <c r="N56" s="606"/>
      <c r="O56" s="13"/>
      <c r="P56" s="346"/>
      <c r="Q56" s="346"/>
      <c r="R56" s="346"/>
      <c r="S56" s="349">
        <f t="shared" si="0"/>
        <v>0</v>
      </c>
      <c r="T56" s="616"/>
      <c r="U56" s="346"/>
      <c r="V56" s="620"/>
      <c r="W56" s="621"/>
      <c r="X56" s="609"/>
      <c r="Y56" s="13"/>
      <c r="Z56" s="349"/>
      <c r="AA56" s="13"/>
      <c r="AB56" s="219"/>
      <c r="AC56" s="349"/>
      <c r="AD56" s="349"/>
      <c r="AE56" s="349"/>
      <c r="AF56" s="349">
        <f t="shared" si="28"/>
        <v>0</v>
      </c>
      <c r="AG56" s="13"/>
      <c r="AH56" s="13"/>
      <c r="AI56" s="13">
        <f t="shared" si="3"/>
        <v>0</v>
      </c>
      <c r="AJ56" s="626"/>
      <c r="AK56" s="626">
        <f t="shared" si="4"/>
        <v>0</v>
      </c>
      <c r="AL56" s="628"/>
      <c r="AM56" s="627"/>
      <c r="AN56" s="991" t="s">
        <v>10</v>
      </c>
      <c r="AO56" s="984"/>
      <c r="AP56" s="984"/>
      <c r="AQ56" s="984"/>
      <c r="AR56" s="984"/>
      <c r="AS56" s="672">
        <f>SUM(AS46:AS55)</f>
        <v>10</v>
      </c>
      <c r="AT56" s="672">
        <f>SUM(AT46:AT55)</f>
        <v>0.53</v>
      </c>
      <c r="AU56" s="672">
        <f>SUM(AU46:AU55)</f>
        <v>0</v>
      </c>
      <c r="AV56" s="672">
        <f>SUM(AV46:AV55)</f>
        <v>69592.710000000006</v>
      </c>
      <c r="AW56" s="681"/>
      <c r="AX56" s="13"/>
      <c r="AY56" s="683"/>
      <c r="AZ56" s="683"/>
      <c r="BA56" s="683"/>
      <c r="BB56" s="675">
        <f t="shared" si="5"/>
        <v>69593</v>
      </c>
      <c r="BD56" s="342"/>
      <c r="BE56" s="342"/>
      <c r="BF56" s="342"/>
      <c r="BG56" s="342"/>
      <c r="BH56" s="342"/>
      <c r="BI56" s="703"/>
      <c r="BJ56" s="342"/>
      <c r="BK56" s="221"/>
      <c r="BL56" s="342"/>
      <c r="BM56" s="342"/>
      <c r="BN56" s="342"/>
      <c r="BO56" s="342"/>
      <c r="BP56" s="342"/>
      <c r="BQ56" s="349"/>
      <c r="BS56" s="342"/>
      <c r="BT56" s="342"/>
      <c r="BU56" s="342"/>
      <c r="BV56" s="342"/>
      <c r="BW56" s="219"/>
      <c r="BX56" s="13"/>
      <c r="BY56" s="342"/>
      <c r="BZ56" s="342"/>
      <c r="CA56" s="342"/>
      <c r="CB56" s="342"/>
      <c r="CC56" s="342"/>
      <c r="CD56" s="342"/>
      <c r="CE56" s="342"/>
      <c r="CF56" s="342"/>
      <c r="CH56" s="342"/>
      <c r="CI56" s="342"/>
      <c r="CJ56" s="342"/>
      <c r="CK56" s="342"/>
      <c r="CL56" s="342"/>
      <c r="CM56" s="13"/>
      <c r="CN56" s="342"/>
      <c r="CO56" s="342"/>
      <c r="CP56" s="342"/>
      <c r="CQ56" s="342"/>
      <c r="CR56" s="342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J56" s="671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Z56" s="671"/>
    </row>
    <row r="57" spans="1:130" ht="15.75">
      <c r="A57" s="226">
        <v>50</v>
      </c>
      <c r="B57" s="975" t="s">
        <v>10</v>
      </c>
      <c r="C57" s="976"/>
      <c r="D57" s="976"/>
      <c r="E57" s="976"/>
      <c r="F57" s="977"/>
      <c r="G57" s="588">
        <f>SUM(G53:G56)</f>
        <v>0</v>
      </c>
      <c r="H57" s="588">
        <f>SUM(H53:H56)</f>
        <v>0</v>
      </c>
      <c r="I57" s="588"/>
      <c r="J57" s="602"/>
      <c r="K57" s="602"/>
      <c r="L57" s="602"/>
      <c r="M57" s="614">
        <f>SUM(M53:M56)</f>
        <v>0</v>
      </c>
      <c r="N57" s="606"/>
      <c r="O57" s="13"/>
      <c r="P57" s="346"/>
      <c r="Q57" s="346"/>
      <c r="R57" s="346"/>
      <c r="S57" s="349">
        <f t="shared" si="0"/>
        <v>0</v>
      </c>
      <c r="T57" s="616"/>
      <c r="U57" s="346"/>
      <c r="V57" s="620"/>
      <c r="W57" s="621"/>
      <c r="X57" s="609"/>
      <c r="Y57" s="13"/>
      <c r="Z57" s="349"/>
      <c r="AA57" s="13"/>
      <c r="AB57" s="219"/>
      <c r="AC57" s="349"/>
      <c r="AD57" s="349"/>
      <c r="AE57" s="349"/>
      <c r="AF57" s="349">
        <f t="shared" si="28"/>
        <v>0</v>
      </c>
      <c r="AG57" s="13"/>
      <c r="AH57" s="13"/>
      <c r="AI57" s="13">
        <f t="shared" si="3"/>
        <v>0</v>
      </c>
      <c r="AJ57" s="626"/>
      <c r="AK57" s="626">
        <f t="shared" si="4"/>
        <v>0</v>
      </c>
      <c r="AL57" s="628"/>
      <c r="AM57" s="628">
        <v>50</v>
      </c>
      <c r="AN57" s="635"/>
      <c r="AO57" s="667"/>
      <c r="AP57" s="639"/>
      <c r="AQ57" s="639"/>
      <c r="AR57" s="594" t="s">
        <v>140</v>
      </c>
      <c r="AS57" s="660"/>
      <c r="AT57" s="663"/>
      <c r="AU57" s="663"/>
      <c r="AV57" s="669"/>
      <c r="AW57" s="681"/>
      <c r="AX57" s="13"/>
      <c r="AY57" s="683"/>
      <c r="AZ57" s="683"/>
      <c r="BA57" s="683"/>
      <c r="BB57" s="675">
        <f t="shared" si="5"/>
        <v>0</v>
      </c>
      <c r="BD57" s="342"/>
      <c r="BE57" s="342"/>
      <c r="BF57" s="342"/>
      <c r="BG57" s="342"/>
      <c r="BH57" s="342"/>
      <c r="BI57" s="703"/>
      <c r="BJ57" s="342"/>
      <c r="BK57" s="221"/>
      <c r="BL57" s="342"/>
      <c r="BM57" s="342"/>
      <c r="BN57" s="342"/>
      <c r="BO57" s="342"/>
      <c r="BP57" s="342"/>
      <c r="BQ57" s="349"/>
      <c r="BS57" s="342"/>
      <c r="BT57" s="342"/>
      <c r="BU57" s="342"/>
      <c r="BV57" s="342"/>
      <c r="BW57" s="219"/>
      <c r="BX57" s="13"/>
      <c r="BY57" s="342"/>
      <c r="BZ57" s="342"/>
      <c r="CA57" s="342"/>
      <c r="CB57" s="342"/>
      <c r="CC57" s="342"/>
      <c r="CD57" s="342"/>
      <c r="CE57" s="342"/>
      <c r="CF57" s="342"/>
      <c r="CH57" s="342"/>
      <c r="CI57" s="342"/>
      <c r="CJ57" s="342"/>
      <c r="CK57" s="342"/>
      <c r="CL57" s="342"/>
      <c r="CM57" s="13"/>
      <c r="CN57" s="342"/>
      <c r="CO57" s="342"/>
      <c r="CP57" s="342"/>
      <c r="CQ57" s="342"/>
      <c r="CR57" s="342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J57" s="671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Z57" s="671"/>
    </row>
    <row r="58" spans="1:130" ht="15.75">
      <c r="A58" s="229">
        <v>51</v>
      </c>
      <c r="B58" s="582"/>
      <c r="C58" s="584"/>
      <c r="D58" s="584"/>
      <c r="E58" s="584"/>
      <c r="F58" s="594" t="s">
        <v>141</v>
      </c>
      <c r="G58" s="584"/>
      <c r="H58" s="584"/>
      <c r="I58" s="584"/>
      <c r="J58" s="585"/>
      <c r="K58" s="585"/>
      <c r="L58" s="585"/>
      <c r="M58" s="613"/>
      <c r="N58" s="606"/>
      <c r="O58" s="13"/>
      <c r="P58" s="346"/>
      <c r="Q58" s="346"/>
      <c r="R58" s="346"/>
      <c r="S58" s="349">
        <f t="shared" si="0"/>
        <v>0</v>
      </c>
      <c r="T58" s="616"/>
      <c r="U58" s="346"/>
      <c r="V58" s="620"/>
      <c r="W58" s="621"/>
      <c r="X58" s="609"/>
      <c r="Y58" s="13" t="s">
        <v>138</v>
      </c>
      <c r="Z58" s="349"/>
      <c r="AA58" s="13"/>
      <c r="AB58" s="219">
        <f t="shared" si="10"/>
        <v>0</v>
      </c>
      <c r="AC58" s="349"/>
      <c r="AD58" s="349"/>
      <c r="AE58" s="349"/>
      <c r="AF58" s="349">
        <f t="shared" si="28"/>
        <v>0</v>
      </c>
      <c r="AG58" s="13"/>
      <c r="AH58" s="13"/>
      <c r="AI58" s="13">
        <f t="shared" si="3"/>
        <v>0</v>
      </c>
      <c r="AJ58" s="626"/>
      <c r="AK58" s="626">
        <f t="shared" si="4"/>
        <v>0</v>
      </c>
      <c r="AL58" s="628"/>
      <c r="AM58" s="627">
        <v>51</v>
      </c>
      <c r="AN58" s="632"/>
      <c r="AO58" s="618"/>
      <c r="AP58" s="342"/>
      <c r="AQ58" s="11"/>
      <c r="AR58" s="595" t="s">
        <v>142</v>
      </c>
      <c r="AS58" s="13"/>
      <c r="AT58" s="654"/>
      <c r="AU58" s="219"/>
      <c r="AV58" s="670"/>
      <c r="AW58" s="700"/>
      <c r="AX58" s="701"/>
      <c r="AY58" s="349"/>
      <c r="AZ58" s="349"/>
      <c r="BA58" s="349"/>
      <c r="BB58" s="675">
        <f t="shared" si="5"/>
        <v>0</v>
      </c>
      <c r="BD58" s="342"/>
      <c r="BE58" s="342"/>
      <c r="BF58" s="342"/>
      <c r="BG58" s="342"/>
      <c r="BH58" s="342"/>
      <c r="BI58" s="703"/>
      <c r="BJ58" s="342"/>
      <c r="BK58" s="221">
        <f t="shared" si="36"/>
        <v>0</v>
      </c>
      <c r="BL58" s="342"/>
      <c r="BM58" s="342"/>
      <c r="BN58" s="342"/>
      <c r="BO58" s="342"/>
      <c r="BP58" s="342"/>
      <c r="BQ58" s="349">
        <f t="shared" si="37"/>
        <v>0</v>
      </c>
      <c r="BS58" s="342"/>
      <c r="BT58" s="342"/>
      <c r="BU58" s="342"/>
      <c r="BV58" s="342"/>
      <c r="BW58" s="219"/>
      <c r="BX58" s="13">
        <v>200</v>
      </c>
      <c r="BY58" s="342"/>
      <c r="BZ58" s="342"/>
      <c r="CA58" s="342"/>
      <c r="CB58" s="342"/>
      <c r="CC58" s="342">
        <f t="shared" si="29"/>
        <v>0</v>
      </c>
      <c r="CD58" s="342"/>
      <c r="CE58" s="342"/>
      <c r="CF58" s="342"/>
      <c r="CH58" s="342"/>
      <c r="CI58" s="342"/>
      <c r="CJ58" s="342"/>
      <c r="CK58" s="342"/>
      <c r="CL58" s="342"/>
      <c r="CM58" s="13">
        <v>600</v>
      </c>
      <c r="CN58" s="342"/>
      <c r="CO58" s="342"/>
      <c r="CP58" s="342"/>
      <c r="CQ58" s="342"/>
      <c r="CR58" s="342">
        <f t="shared" si="6"/>
        <v>0</v>
      </c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J58" s="671">
        <f t="shared" si="7"/>
        <v>0</v>
      </c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Z58" s="671">
        <f>SUM(DT58:DX58)</f>
        <v>0</v>
      </c>
    </row>
    <row r="59" spans="1:130" ht="15.75">
      <c r="A59" s="226">
        <v>52</v>
      </c>
      <c r="B59" s="592"/>
      <c r="C59" s="346"/>
      <c r="D59" s="346"/>
      <c r="E59" s="346"/>
      <c r="F59" s="595"/>
      <c r="G59" s="346"/>
      <c r="H59" s="346"/>
      <c r="I59" s="346"/>
      <c r="J59" s="587"/>
      <c r="K59" s="587"/>
      <c r="L59" s="587"/>
      <c r="M59" s="605"/>
      <c r="N59" s="606"/>
      <c r="O59" s="13"/>
      <c r="P59" s="346"/>
      <c r="Q59" s="346"/>
      <c r="R59" s="346"/>
      <c r="S59" s="349">
        <f t="shared" si="0"/>
        <v>0</v>
      </c>
      <c r="T59" s="616"/>
      <c r="U59" s="346"/>
      <c r="V59" s="620"/>
      <c r="W59" s="621"/>
      <c r="X59" s="609"/>
      <c r="Y59" s="13"/>
      <c r="Z59" s="349"/>
      <c r="AA59" s="13"/>
      <c r="AB59" s="219"/>
      <c r="AC59" s="349"/>
      <c r="AD59" s="349"/>
      <c r="AE59" s="349"/>
      <c r="AF59" s="349">
        <f t="shared" si="28"/>
        <v>0</v>
      </c>
      <c r="AG59" s="13"/>
      <c r="AH59" s="13"/>
      <c r="AI59" s="13">
        <f t="shared" si="3"/>
        <v>0</v>
      </c>
      <c r="AJ59" s="626"/>
      <c r="AK59" s="626">
        <f t="shared" si="4"/>
        <v>0</v>
      </c>
      <c r="AL59" s="628"/>
      <c r="AM59" s="628">
        <v>52</v>
      </c>
      <c r="AN59" s="162"/>
      <c r="AO59" s="13"/>
      <c r="AP59" s="13"/>
      <c r="AQ59" s="11"/>
      <c r="AR59" s="595" t="s">
        <v>140</v>
      </c>
      <c r="AS59" s="13"/>
      <c r="AT59" s="11"/>
      <c r="AU59" s="219"/>
      <c r="AV59" s="670"/>
      <c r="AW59" s="700"/>
      <c r="AX59" s="13"/>
      <c r="AY59" s="349"/>
      <c r="AZ59" s="349"/>
      <c r="BA59" s="349"/>
      <c r="BB59" s="675">
        <f t="shared" si="5"/>
        <v>0</v>
      </c>
      <c r="BD59" s="342"/>
      <c r="BE59" s="342"/>
      <c r="BF59" s="342"/>
      <c r="BG59" s="342"/>
      <c r="BH59" s="342"/>
      <c r="BI59" s="703"/>
      <c r="BJ59" s="342"/>
      <c r="BK59" s="221"/>
      <c r="BL59" s="342"/>
      <c r="BM59" s="342"/>
      <c r="BN59" s="342"/>
      <c r="BO59" s="342"/>
      <c r="BP59" s="342"/>
      <c r="BQ59" s="349"/>
      <c r="BS59" s="342"/>
      <c r="BT59" s="342"/>
      <c r="BU59" s="342"/>
      <c r="BV59" s="342"/>
      <c r="BW59" s="219"/>
      <c r="BX59" s="13"/>
      <c r="BY59" s="342"/>
      <c r="BZ59" s="342"/>
      <c r="CA59" s="342"/>
      <c r="CB59" s="342"/>
      <c r="CC59" s="342"/>
      <c r="CD59" s="342"/>
      <c r="CE59" s="342"/>
      <c r="CF59" s="342"/>
      <c r="CH59" s="342"/>
      <c r="CI59" s="342"/>
      <c r="CJ59" s="342"/>
      <c r="CK59" s="342"/>
      <c r="CL59" s="342"/>
      <c r="CM59" s="13"/>
      <c r="CN59" s="342"/>
      <c r="CO59" s="342"/>
      <c r="CP59" s="342"/>
      <c r="CQ59" s="342"/>
      <c r="CR59" s="342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J59" s="671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Z59" s="671"/>
    </row>
    <row r="60" spans="1:130" ht="15.75">
      <c r="A60" s="229">
        <v>53</v>
      </c>
      <c r="B60" s="592"/>
      <c r="C60" s="346"/>
      <c r="D60" s="346"/>
      <c r="E60" s="346"/>
      <c r="F60" s="595"/>
      <c r="G60" s="346"/>
      <c r="H60" s="346"/>
      <c r="I60" s="346"/>
      <c r="J60" s="587"/>
      <c r="K60" s="587"/>
      <c r="L60" s="587"/>
      <c r="M60" s="605"/>
      <c r="N60" s="606"/>
      <c r="O60" s="13"/>
      <c r="P60" s="346"/>
      <c r="Q60" s="346"/>
      <c r="R60" s="346"/>
      <c r="S60" s="349">
        <f t="shared" si="0"/>
        <v>0</v>
      </c>
      <c r="T60" s="616"/>
      <c r="U60" s="346"/>
      <c r="V60" s="620"/>
      <c r="W60" s="621"/>
      <c r="X60" s="609"/>
      <c r="Y60" s="13"/>
      <c r="Z60" s="349"/>
      <c r="AA60" s="13"/>
      <c r="AB60" s="219"/>
      <c r="AC60" s="349"/>
      <c r="AD60" s="349"/>
      <c r="AE60" s="349"/>
      <c r="AF60" s="349">
        <f t="shared" si="28"/>
        <v>0</v>
      </c>
      <c r="AG60" s="13"/>
      <c r="AH60" s="13"/>
      <c r="AI60" s="13">
        <f t="shared" si="3"/>
        <v>0</v>
      </c>
      <c r="AJ60" s="626"/>
      <c r="AK60" s="626">
        <f t="shared" si="4"/>
        <v>0</v>
      </c>
      <c r="AL60" s="628"/>
      <c r="AM60" s="627">
        <v>53</v>
      </c>
      <c r="AN60" s="162"/>
      <c r="AO60" s="13"/>
      <c r="AP60" s="13"/>
      <c r="AQ60" s="11"/>
      <c r="AR60" s="595" t="s">
        <v>140</v>
      </c>
      <c r="AS60" s="13"/>
      <c r="AT60" s="654"/>
      <c r="AU60" s="219"/>
      <c r="AV60" s="670"/>
      <c r="AW60" s="700"/>
      <c r="AX60" s="13"/>
      <c r="AY60" s="623"/>
      <c r="AZ60" s="623"/>
      <c r="BA60" s="349"/>
      <c r="BB60" s="675">
        <f t="shared" si="5"/>
        <v>0</v>
      </c>
      <c r="BD60" s="342"/>
      <c r="BE60" s="342"/>
      <c r="BF60" s="342"/>
      <c r="BG60" s="342"/>
      <c r="BH60" s="342"/>
      <c r="BI60" s="703"/>
      <c r="BJ60" s="342"/>
      <c r="BK60" s="221"/>
      <c r="BL60" s="342"/>
      <c r="BM60" s="342"/>
      <c r="BN60" s="342"/>
      <c r="BO60" s="342"/>
      <c r="BP60" s="342"/>
      <c r="BQ60" s="349"/>
      <c r="BS60" s="342"/>
      <c r="BT60" s="342"/>
      <c r="BU60" s="342"/>
      <c r="BV60" s="342"/>
      <c r="BW60" s="219"/>
      <c r="BX60" s="13"/>
      <c r="BY60" s="342"/>
      <c r="BZ60" s="342"/>
      <c r="CA60" s="342"/>
      <c r="CB60" s="342"/>
      <c r="CC60" s="342"/>
      <c r="CD60" s="342"/>
      <c r="CE60" s="342"/>
      <c r="CF60" s="342"/>
      <c r="CH60" s="342"/>
      <c r="CI60" s="342"/>
      <c r="CJ60" s="342"/>
      <c r="CK60" s="342"/>
      <c r="CL60" s="342"/>
      <c r="CM60" s="13"/>
      <c r="CN60" s="342"/>
      <c r="CO60" s="342"/>
      <c r="CP60" s="342"/>
      <c r="CQ60" s="342"/>
      <c r="CR60" s="342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J60" s="671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Z60" s="671"/>
    </row>
    <row r="61" spans="1:130" ht="15.75">
      <c r="A61" s="226">
        <v>54</v>
      </c>
      <c r="B61" s="592"/>
      <c r="C61" s="346"/>
      <c r="D61" s="346"/>
      <c r="E61" s="346"/>
      <c r="F61" s="595"/>
      <c r="G61" s="346"/>
      <c r="H61" s="346"/>
      <c r="I61" s="346"/>
      <c r="J61" s="587"/>
      <c r="K61" s="587"/>
      <c r="L61" s="587"/>
      <c r="M61" s="605"/>
      <c r="N61" s="606"/>
      <c r="O61" s="13"/>
      <c r="P61" s="346"/>
      <c r="Q61" s="346"/>
      <c r="R61" s="346"/>
      <c r="S61" s="349">
        <f t="shared" si="0"/>
        <v>0</v>
      </c>
      <c r="T61" s="616"/>
      <c r="U61" s="346"/>
      <c r="V61" s="620"/>
      <c r="W61" s="621"/>
      <c r="X61" s="609"/>
      <c r="Y61" s="13"/>
      <c r="Z61" s="349"/>
      <c r="AA61" s="13"/>
      <c r="AB61" s="219"/>
      <c r="AC61" s="349"/>
      <c r="AD61" s="349"/>
      <c r="AE61" s="349"/>
      <c r="AF61" s="349">
        <f t="shared" si="28"/>
        <v>0</v>
      </c>
      <c r="AG61" s="13"/>
      <c r="AH61" s="13"/>
      <c r="AI61" s="13">
        <f t="shared" si="3"/>
        <v>0</v>
      </c>
      <c r="AJ61" s="626"/>
      <c r="AK61" s="626">
        <f t="shared" si="4"/>
        <v>0</v>
      </c>
      <c r="AL61" s="628"/>
      <c r="AM61" s="628">
        <v>54</v>
      </c>
      <c r="AN61" s="162"/>
      <c r="AO61" s="13"/>
      <c r="AP61" s="13"/>
      <c r="AQ61" s="11"/>
      <c r="AR61" s="595" t="s">
        <v>140</v>
      </c>
      <c r="AS61" s="13"/>
      <c r="AT61" s="11"/>
      <c r="AU61" s="219"/>
      <c r="AV61" s="670"/>
      <c r="AW61" s="700"/>
      <c r="AX61" s="13"/>
      <c r="AY61" s="349"/>
      <c r="AZ61" s="349"/>
      <c r="BA61" s="349"/>
      <c r="BB61" s="675">
        <f t="shared" si="5"/>
        <v>0</v>
      </c>
      <c r="BD61" s="342"/>
      <c r="BE61" s="342"/>
      <c r="BF61" s="342"/>
      <c r="BG61" s="342"/>
      <c r="BH61" s="342"/>
      <c r="BI61" s="703"/>
      <c r="BJ61" s="342"/>
      <c r="BK61" s="221"/>
      <c r="BL61" s="342"/>
      <c r="BM61" s="342"/>
      <c r="BN61" s="342"/>
      <c r="BO61" s="342"/>
      <c r="BP61" s="342"/>
      <c r="BQ61" s="349"/>
      <c r="BS61" s="342"/>
      <c r="BT61" s="342"/>
      <c r="BU61" s="342"/>
      <c r="BV61" s="342"/>
      <c r="BW61" s="219"/>
      <c r="BX61" s="13"/>
      <c r="BY61" s="342"/>
      <c r="BZ61" s="342"/>
      <c r="CA61" s="342"/>
      <c r="CB61" s="342"/>
      <c r="CC61" s="342"/>
      <c r="CD61" s="342"/>
      <c r="CE61" s="342"/>
      <c r="CF61" s="342"/>
      <c r="CH61" s="342"/>
      <c r="CI61" s="342"/>
      <c r="CJ61" s="342"/>
      <c r="CK61" s="342"/>
      <c r="CL61" s="342"/>
      <c r="CM61" s="13"/>
      <c r="CN61" s="342"/>
      <c r="CO61" s="342"/>
      <c r="CP61" s="342"/>
      <c r="CQ61" s="342"/>
      <c r="CR61" s="342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J61" s="671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Z61" s="671"/>
    </row>
    <row r="62" spans="1:130" ht="15.75">
      <c r="A62" s="229">
        <v>55</v>
      </c>
      <c r="B62" s="592"/>
      <c r="C62" s="346"/>
      <c r="D62" s="346"/>
      <c r="E62" s="346"/>
      <c r="F62" s="595"/>
      <c r="G62" s="346"/>
      <c r="H62" s="346"/>
      <c r="I62" s="346"/>
      <c r="J62" s="587"/>
      <c r="K62" s="587"/>
      <c r="L62" s="587"/>
      <c r="M62" s="605"/>
      <c r="N62" s="606"/>
      <c r="O62" s="13"/>
      <c r="P62" s="346"/>
      <c r="Q62" s="346"/>
      <c r="R62" s="346"/>
      <c r="S62" s="349">
        <f t="shared" si="0"/>
        <v>0</v>
      </c>
      <c r="T62" s="616"/>
      <c r="U62" s="346"/>
      <c r="V62" s="620"/>
      <c r="W62" s="621"/>
      <c r="X62" s="609"/>
      <c r="Y62" s="13"/>
      <c r="Z62" s="349"/>
      <c r="AA62" s="13"/>
      <c r="AB62" s="219"/>
      <c r="AC62" s="349"/>
      <c r="AD62" s="349"/>
      <c r="AE62" s="349"/>
      <c r="AF62" s="349">
        <f t="shared" si="28"/>
        <v>0</v>
      </c>
      <c r="AG62" s="13"/>
      <c r="AH62" s="13"/>
      <c r="AI62" s="13">
        <f t="shared" si="3"/>
        <v>0</v>
      </c>
      <c r="AJ62" s="626"/>
      <c r="AK62" s="626">
        <f t="shared" si="4"/>
        <v>0</v>
      </c>
      <c r="AL62" s="628"/>
      <c r="AM62" s="627"/>
      <c r="AN62" s="978" t="s">
        <v>10</v>
      </c>
      <c r="AO62" s="979"/>
      <c r="AP62" s="979"/>
      <c r="AQ62" s="979"/>
      <c r="AR62" s="979"/>
      <c r="AS62" s="581">
        <f>SUM(AS57:AS61)</f>
        <v>0</v>
      </c>
      <c r="AT62" s="581">
        <f>SUM(AT57:AT61)</f>
        <v>0</v>
      </c>
      <c r="AU62" s="581">
        <f>SUM(AU57:AU61)</f>
        <v>0</v>
      </c>
      <c r="AV62" s="673">
        <f>SUM(AV57:AV61)</f>
        <v>0</v>
      </c>
      <c r="AW62" s="700"/>
      <c r="AX62" s="13"/>
      <c r="AY62" s="349"/>
      <c r="AZ62" s="349"/>
      <c r="BA62" s="349"/>
      <c r="BB62" s="675">
        <f t="shared" si="5"/>
        <v>0</v>
      </c>
      <c r="BD62" s="342"/>
      <c r="BE62" s="342"/>
      <c r="BF62" s="342"/>
      <c r="BG62" s="342"/>
      <c r="BH62" s="342"/>
      <c r="BI62" s="703"/>
      <c r="BJ62" s="342"/>
      <c r="BK62" s="221"/>
      <c r="BL62" s="342"/>
      <c r="BM62" s="342"/>
      <c r="BN62" s="342"/>
      <c r="BO62" s="342"/>
      <c r="BP62" s="342"/>
      <c r="BQ62" s="349"/>
      <c r="BS62" s="342"/>
      <c r="BT62" s="342"/>
      <c r="BU62" s="342"/>
      <c r="BV62" s="342"/>
      <c r="BW62" s="219"/>
      <c r="BX62" s="13"/>
      <c r="BY62" s="342"/>
      <c r="BZ62" s="342"/>
      <c r="CA62" s="342"/>
      <c r="CB62" s="342"/>
      <c r="CC62" s="342"/>
      <c r="CD62" s="342"/>
      <c r="CE62" s="342"/>
      <c r="CF62" s="342"/>
      <c r="CH62" s="342"/>
      <c r="CI62" s="342"/>
      <c r="CJ62" s="342"/>
      <c r="CK62" s="342"/>
      <c r="CL62" s="342"/>
      <c r="CM62" s="13"/>
      <c r="CN62" s="342"/>
      <c r="CO62" s="342"/>
      <c r="CP62" s="342"/>
      <c r="CQ62" s="342"/>
      <c r="CR62" s="342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J62" s="671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Z62" s="671"/>
    </row>
    <row r="63" spans="1:130" ht="15.75">
      <c r="A63" s="226">
        <v>56</v>
      </c>
      <c r="B63" s="975" t="s">
        <v>10</v>
      </c>
      <c r="C63" s="976"/>
      <c r="D63" s="976"/>
      <c r="E63" s="976"/>
      <c r="F63" s="977"/>
      <c r="G63" s="588">
        <f>SUM(G53:G62)</f>
        <v>0</v>
      </c>
      <c r="H63" s="588">
        <f>SUM(H58:H62)</f>
        <v>0</v>
      </c>
      <c r="I63" s="588"/>
      <c r="J63" s="602"/>
      <c r="K63" s="602"/>
      <c r="L63" s="602"/>
      <c r="M63" s="604">
        <f>SUM(M58:M62)</f>
        <v>0</v>
      </c>
      <c r="N63" s="606"/>
      <c r="O63" s="13"/>
      <c r="P63" s="346"/>
      <c r="Q63" s="346"/>
      <c r="R63" s="346"/>
      <c r="S63" s="349">
        <f t="shared" si="0"/>
        <v>0</v>
      </c>
      <c r="T63" s="616"/>
      <c r="U63" s="346"/>
      <c r="V63" s="620"/>
      <c r="W63" s="621"/>
      <c r="X63" s="609"/>
      <c r="Y63" s="13"/>
      <c r="Z63" s="349"/>
      <c r="AA63" s="13"/>
      <c r="AB63" s="219"/>
      <c r="AC63" s="349"/>
      <c r="AD63" s="349"/>
      <c r="AE63" s="349"/>
      <c r="AF63" s="349">
        <f t="shared" si="28"/>
        <v>0</v>
      </c>
      <c r="AG63" s="13"/>
      <c r="AH63" s="13"/>
      <c r="AI63" s="13">
        <f t="shared" si="3"/>
        <v>0</v>
      </c>
      <c r="AJ63" s="626"/>
      <c r="AK63" s="626">
        <f t="shared" si="4"/>
        <v>0</v>
      </c>
      <c r="AL63" s="628"/>
      <c r="AM63" s="628">
        <v>55</v>
      </c>
      <c r="AN63" s="193" t="s">
        <v>524</v>
      </c>
      <c r="AO63" s="578"/>
      <c r="AP63" s="578">
        <v>384</v>
      </c>
      <c r="AQ63" s="660"/>
      <c r="AR63" s="674" t="s">
        <v>143</v>
      </c>
      <c r="AS63" s="578">
        <v>106</v>
      </c>
      <c r="AT63" s="660">
        <v>5.484</v>
      </c>
      <c r="AU63" s="597"/>
      <c r="AV63" s="675">
        <v>720087.59</v>
      </c>
      <c r="AW63" s="700">
        <v>18002.189999999999</v>
      </c>
      <c r="AX63" s="701">
        <f>+AW63</f>
        <v>18002.189999999999</v>
      </c>
      <c r="AY63" s="349"/>
      <c r="AZ63" s="349"/>
      <c r="BA63" s="349"/>
      <c r="BB63" s="675">
        <f t="shared" si="5"/>
        <v>756092</v>
      </c>
      <c r="BD63" s="342"/>
      <c r="BE63" s="342"/>
      <c r="BF63" s="342"/>
      <c r="BG63" s="342"/>
      <c r="BH63" s="342"/>
      <c r="BI63" s="703"/>
      <c r="BJ63" s="342"/>
      <c r="BK63" s="221"/>
      <c r="BL63" s="342"/>
      <c r="BM63" s="342"/>
      <c r="BN63" s="342"/>
      <c r="BO63" s="342"/>
      <c r="BP63" s="342"/>
      <c r="BQ63" s="349"/>
      <c r="BS63" s="342"/>
      <c r="BT63" s="342"/>
      <c r="BU63" s="342"/>
      <c r="BV63" s="342"/>
      <c r="BW63" s="219"/>
      <c r="BX63" s="13"/>
      <c r="BY63" s="342"/>
      <c r="BZ63" s="342"/>
      <c r="CA63" s="342"/>
      <c r="CB63" s="342"/>
      <c r="CC63" s="342"/>
      <c r="CD63" s="342"/>
      <c r="CE63" s="342"/>
      <c r="CF63" s="342"/>
      <c r="CH63" s="342"/>
      <c r="CI63" s="342"/>
      <c r="CJ63" s="342"/>
      <c r="CK63" s="342"/>
      <c r="CL63" s="342"/>
      <c r="CM63" s="13"/>
      <c r="CN63" s="342"/>
      <c r="CO63" s="342"/>
      <c r="CP63" s="342"/>
      <c r="CQ63" s="342"/>
      <c r="CR63" s="342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J63" s="671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Z63" s="671"/>
    </row>
    <row r="64" spans="1:130" ht="15.75">
      <c r="A64" s="229">
        <v>57</v>
      </c>
      <c r="B64" s="582" t="s">
        <v>525</v>
      </c>
      <c r="C64" s="584"/>
      <c r="D64" s="584"/>
      <c r="E64" s="584">
        <v>389</v>
      </c>
      <c r="F64" s="596" t="s">
        <v>144</v>
      </c>
      <c r="G64" s="584">
        <v>7</v>
      </c>
      <c r="H64" s="584">
        <v>2.58</v>
      </c>
      <c r="I64" s="584"/>
      <c r="J64" s="585"/>
      <c r="K64" s="585"/>
      <c r="L64" s="585"/>
      <c r="M64" s="613">
        <v>383945.28</v>
      </c>
      <c r="N64" s="606">
        <v>9598.6299999999992</v>
      </c>
      <c r="O64" s="13">
        <f>+N64</f>
        <v>9598.6299999999992</v>
      </c>
      <c r="P64" s="346"/>
      <c r="Q64" s="346"/>
      <c r="R64" s="346"/>
      <c r="S64" s="349">
        <f t="shared" si="0"/>
        <v>403143</v>
      </c>
      <c r="T64" s="616"/>
      <c r="U64" s="346"/>
      <c r="V64" s="620"/>
      <c r="W64" s="621"/>
      <c r="X64" s="609"/>
      <c r="Y64" s="13"/>
      <c r="Z64" s="349"/>
      <c r="AA64" s="13"/>
      <c r="AB64" s="219"/>
      <c r="AC64" s="349"/>
      <c r="AD64" s="349"/>
      <c r="AE64" s="349"/>
      <c r="AF64" s="349">
        <f t="shared" si="28"/>
        <v>0</v>
      </c>
      <c r="AG64" s="13"/>
      <c r="AH64" s="13"/>
      <c r="AI64" s="13">
        <f t="shared" si="3"/>
        <v>0</v>
      </c>
      <c r="AJ64" s="626"/>
      <c r="AK64" s="626">
        <f t="shared" si="4"/>
        <v>0</v>
      </c>
      <c r="AL64" s="628"/>
      <c r="AM64" s="627">
        <v>56</v>
      </c>
      <c r="AN64" s="162"/>
      <c r="AO64" s="13"/>
      <c r="AP64" s="13"/>
      <c r="AQ64" s="11"/>
      <c r="AR64" s="676" t="s">
        <v>143</v>
      </c>
      <c r="AS64" s="13"/>
      <c r="AT64" s="11"/>
      <c r="AU64" s="219"/>
      <c r="AV64" s="670"/>
      <c r="AW64" s="700"/>
      <c r="AX64" s="13"/>
      <c r="AY64" s="349"/>
      <c r="AZ64" s="349"/>
      <c r="BA64" s="349"/>
      <c r="BB64" s="675">
        <f t="shared" si="5"/>
        <v>0</v>
      </c>
      <c r="BD64" s="342"/>
      <c r="BE64" s="342"/>
      <c r="BF64" s="342"/>
      <c r="BG64" s="342"/>
      <c r="BH64" s="342"/>
      <c r="BI64" s="703"/>
      <c r="BJ64" s="342"/>
      <c r="BK64" s="221"/>
      <c r="BL64" s="342"/>
      <c r="BM64" s="342"/>
      <c r="BN64" s="342"/>
      <c r="BO64" s="342"/>
      <c r="BP64" s="342"/>
      <c r="BQ64" s="349"/>
      <c r="BS64" s="342"/>
      <c r="BT64" s="342"/>
      <c r="BU64" s="342"/>
      <c r="BV64" s="342"/>
      <c r="BW64" s="219"/>
      <c r="BX64" s="13"/>
      <c r="BY64" s="342"/>
      <c r="BZ64" s="342"/>
      <c r="CA64" s="342"/>
      <c r="CB64" s="342"/>
      <c r="CC64" s="342"/>
      <c r="CD64" s="342"/>
      <c r="CE64" s="342"/>
      <c r="CF64" s="342"/>
      <c r="CH64" s="342"/>
      <c r="CI64" s="342"/>
      <c r="CJ64" s="342"/>
      <c r="CK64" s="342"/>
      <c r="CL64" s="342"/>
      <c r="CM64" s="13"/>
      <c r="CN64" s="342"/>
      <c r="CO64" s="342"/>
      <c r="CP64" s="342"/>
      <c r="CQ64" s="342"/>
      <c r="CR64" s="342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J64" s="671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Z64" s="671"/>
    </row>
    <row r="65" spans="1:130" ht="15.75">
      <c r="A65" s="226">
        <v>58</v>
      </c>
      <c r="B65" s="582" t="s">
        <v>531</v>
      </c>
      <c r="C65" s="584"/>
      <c r="D65" s="584"/>
      <c r="E65" s="584">
        <v>398</v>
      </c>
      <c r="F65" s="717" t="s">
        <v>144</v>
      </c>
      <c r="G65" s="346">
        <v>36</v>
      </c>
      <c r="H65" s="346">
        <v>13.268000000000001</v>
      </c>
      <c r="I65" s="346"/>
      <c r="J65" s="587"/>
      <c r="K65" s="587"/>
      <c r="L65" s="587"/>
      <c r="M65" s="610">
        <v>1987387.18</v>
      </c>
      <c r="N65" s="606">
        <v>49684.68</v>
      </c>
      <c r="O65" s="13">
        <f t="shared" ref="O65:O66" si="38">+N65</f>
        <v>49684.68</v>
      </c>
      <c r="P65" s="749"/>
      <c r="Q65" s="749"/>
      <c r="R65" s="749"/>
      <c r="S65" s="349">
        <f t="shared" si="0"/>
        <v>2086757</v>
      </c>
      <c r="T65" s="616"/>
      <c r="U65" s="346"/>
      <c r="V65" s="620"/>
      <c r="W65" s="621"/>
      <c r="X65" s="609"/>
      <c r="Y65" s="13" t="s">
        <v>138</v>
      </c>
      <c r="Z65" s="349"/>
      <c r="AA65" s="13"/>
      <c r="AB65" s="219">
        <f t="shared" si="10"/>
        <v>0</v>
      </c>
      <c r="AC65" s="349"/>
      <c r="AD65" s="349"/>
      <c r="AE65" s="349"/>
      <c r="AF65" s="349">
        <f t="shared" si="28"/>
        <v>0</v>
      </c>
      <c r="AG65" s="13"/>
      <c r="AH65" s="13"/>
      <c r="AI65" s="13">
        <f t="shared" si="3"/>
        <v>0</v>
      </c>
      <c r="AJ65" s="626"/>
      <c r="AK65" s="626">
        <f t="shared" si="4"/>
        <v>0</v>
      </c>
      <c r="AL65" s="628"/>
      <c r="AM65" s="628">
        <v>57</v>
      </c>
      <c r="AN65" s="629"/>
      <c r="AO65" s="618"/>
      <c r="AP65" s="342"/>
      <c r="AQ65" s="13"/>
      <c r="AR65" s="676" t="s">
        <v>143</v>
      </c>
      <c r="AS65" s="13"/>
      <c r="AT65" s="219"/>
      <c r="AU65" s="219"/>
      <c r="AV65" s="670"/>
      <c r="AW65" s="230"/>
      <c r="AX65" s="13"/>
      <c r="AY65" s="229"/>
      <c r="AZ65" s="229"/>
      <c r="BA65" s="13"/>
      <c r="BB65" s="675">
        <f t="shared" si="5"/>
        <v>0</v>
      </c>
      <c r="BD65" s="342"/>
      <c r="BE65" s="342"/>
      <c r="BF65" s="342"/>
      <c r="BG65" s="342"/>
      <c r="BH65" s="342"/>
      <c r="BI65" s="703"/>
      <c r="BJ65" s="342"/>
      <c r="BK65" s="221">
        <f t="shared" si="36"/>
        <v>0</v>
      </c>
      <c r="BL65" s="342"/>
      <c r="BM65" s="342"/>
      <c r="BN65" s="342"/>
      <c r="BO65" s="342"/>
      <c r="BP65" s="342"/>
      <c r="BQ65" s="349">
        <f t="shared" si="37"/>
        <v>0</v>
      </c>
      <c r="BS65" s="342"/>
      <c r="BT65" s="342"/>
      <c r="BU65" s="342"/>
      <c r="BV65" s="342"/>
      <c r="BW65" s="219"/>
      <c r="BX65" s="13">
        <v>200</v>
      </c>
      <c r="BY65" s="342"/>
      <c r="BZ65" s="342"/>
      <c r="CA65" s="342"/>
      <c r="CB65" s="342"/>
      <c r="CC65" s="342">
        <f t="shared" si="29"/>
        <v>0</v>
      </c>
      <c r="CD65" s="342"/>
      <c r="CE65" s="342"/>
      <c r="CF65" s="342"/>
      <c r="CH65" s="342"/>
      <c r="CI65" s="342"/>
      <c r="CJ65" s="342"/>
      <c r="CK65" s="342"/>
      <c r="CL65" s="342"/>
      <c r="CM65" s="13">
        <v>600</v>
      </c>
      <c r="CN65" s="342"/>
      <c r="CO65" s="342"/>
      <c r="CP65" s="342"/>
      <c r="CQ65" s="342"/>
      <c r="CR65" s="342">
        <f t="shared" si="6"/>
        <v>0</v>
      </c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J65" s="671">
        <f t="shared" si="7"/>
        <v>0</v>
      </c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Z65" s="671">
        <f>SUM(DT65:DX65)</f>
        <v>0</v>
      </c>
    </row>
    <row r="66" spans="1:130" ht="15.75">
      <c r="A66" s="226"/>
      <c r="B66" s="592" t="s">
        <v>536</v>
      </c>
      <c r="C66" s="718"/>
      <c r="D66" s="718"/>
      <c r="E66" s="718">
        <v>401</v>
      </c>
      <c r="F66" s="717" t="s">
        <v>144</v>
      </c>
      <c r="G66" s="346">
        <v>23</v>
      </c>
      <c r="H66" s="346">
        <v>8.4770000000000003</v>
      </c>
      <c r="I66" s="346"/>
      <c r="J66" s="587"/>
      <c r="K66" s="587"/>
      <c r="L66" s="587"/>
      <c r="M66" s="610">
        <v>1269752.8799999999</v>
      </c>
      <c r="N66" s="606">
        <v>31743.82</v>
      </c>
      <c r="O66" s="13">
        <f t="shared" si="38"/>
        <v>31743.82</v>
      </c>
      <c r="P66" s="749"/>
      <c r="Q66" s="749"/>
      <c r="R66" s="749"/>
      <c r="S66" s="349">
        <f t="shared" si="0"/>
        <v>1333241</v>
      </c>
      <c r="T66" s="616"/>
      <c r="U66" s="346"/>
      <c r="V66" s="620"/>
      <c r="W66" s="621"/>
      <c r="X66" s="609"/>
      <c r="Y66" s="13"/>
      <c r="Z66" s="349"/>
      <c r="AA66" s="13"/>
      <c r="AB66" s="219"/>
      <c r="AC66" s="349"/>
      <c r="AD66" s="349"/>
      <c r="AE66" s="349"/>
      <c r="AF66" s="349">
        <f t="shared" si="28"/>
        <v>0</v>
      </c>
      <c r="AG66" s="13"/>
      <c r="AH66" s="13"/>
      <c r="AI66" s="13">
        <f t="shared" si="3"/>
        <v>0</v>
      </c>
      <c r="AJ66" s="626"/>
      <c r="AK66" s="626">
        <f t="shared" si="4"/>
        <v>0</v>
      </c>
      <c r="AL66" s="628"/>
      <c r="AM66" s="628"/>
      <c r="AN66" s="629"/>
      <c r="AO66" s="618"/>
      <c r="AP66" s="342"/>
      <c r="AQ66" s="13"/>
      <c r="AR66" s="676"/>
      <c r="AS66" s="13"/>
      <c r="AT66" s="219"/>
      <c r="AU66" s="219"/>
      <c r="AV66" s="670"/>
      <c r="AW66" s="230"/>
      <c r="AX66" s="13"/>
      <c r="AY66" s="626"/>
      <c r="AZ66" s="626"/>
      <c r="BA66" s="13"/>
      <c r="BB66" s="675"/>
      <c r="BD66" s="342"/>
      <c r="BE66" s="342"/>
      <c r="BF66" s="342"/>
      <c r="BG66" s="342"/>
      <c r="BH66" s="342"/>
      <c r="BI66" s="703"/>
      <c r="BJ66" s="342"/>
      <c r="BK66" s="221"/>
      <c r="BL66" s="342"/>
      <c r="BM66" s="342"/>
      <c r="BN66" s="342"/>
      <c r="BO66" s="342"/>
      <c r="BP66" s="342"/>
      <c r="BQ66" s="349"/>
      <c r="BS66" s="342"/>
      <c r="BT66" s="342"/>
      <c r="BU66" s="342"/>
      <c r="BV66" s="342"/>
      <c r="BW66" s="219"/>
      <c r="BX66" s="13"/>
      <c r="BY66" s="342"/>
      <c r="BZ66" s="342"/>
      <c r="CA66" s="342"/>
      <c r="CB66" s="342"/>
      <c r="CC66" s="342"/>
      <c r="CD66" s="342"/>
      <c r="CE66" s="342"/>
      <c r="CF66" s="342"/>
      <c r="CH66" s="342"/>
      <c r="CI66" s="342"/>
      <c r="CJ66" s="342"/>
      <c r="CK66" s="342"/>
      <c r="CL66" s="342"/>
      <c r="CM66" s="13"/>
      <c r="CN66" s="342"/>
      <c r="CO66" s="342"/>
      <c r="CP66" s="342"/>
      <c r="CQ66" s="342"/>
      <c r="CR66" s="342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J66" s="671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Z66" s="671"/>
    </row>
    <row r="67" spans="1:130" ht="15.75">
      <c r="A67" s="226"/>
      <c r="B67" s="719" t="s">
        <v>534</v>
      </c>
      <c r="C67" s="718"/>
      <c r="D67" s="718"/>
      <c r="E67" s="718">
        <v>410</v>
      </c>
      <c r="F67" s="717" t="s">
        <v>144</v>
      </c>
      <c r="G67" s="346">
        <v>7</v>
      </c>
      <c r="H67" s="346">
        <v>2.58</v>
      </c>
      <c r="I67" s="346"/>
      <c r="J67" s="587"/>
      <c r="K67" s="587"/>
      <c r="L67" s="587"/>
      <c r="M67" s="610">
        <v>386453.04</v>
      </c>
      <c r="N67" s="606">
        <v>9661.33</v>
      </c>
      <c r="O67" s="13">
        <f>+N67</f>
        <v>9661.33</v>
      </c>
      <c r="P67" s="749"/>
      <c r="Q67" s="749"/>
      <c r="R67" s="749"/>
      <c r="S67" s="349">
        <f t="shared" si="0"/>
        <v>405776</v>
      </c>
      <c r="T67" s="616"/>
      <c r="U67" s="346"/>
      <c r="V67" s="620"/>
      <c r="W67" s="621"/>
      <c r="X67" s="609"/>
      <c r="Y67" s="13"/>
      <c r="Z67" s="349"/>
      <c r="AA67" s="13"/>
      <c r="AB67" s="219"/>
      <c r="AC67" s="349"/>
      <c r="AD67" s="349"/>
      <c r="AE67" s="349"/>
      <c r="AF67" s="349">
        <f t="shared" si="28"/>
        <v>0</v>
      </c>
      <c r="AG67" s="13"/>
      <c r="AH67" s="13"/>
      <c r="AI67" s="13">
        <f t="shared" si="3"/>
        <v>0</v>
      </c>
      <c r="AJ67" s="626"/>
      <c r="AK67" s="626">
        <f t="shared" si="4"/>
        <v>0</v>
      </c>
      <c r="AL67" s="628"/>
      <c r="AM67" s="628"/>
      <c r="AN67" s="629"/>
      <c r="AO67" s="618"/>
      <c r="AP67" s="342"/>
      <c r="AQ67" s="13"/>
      <c r="AR67" s="676"/>
      <c r="AS67" s="13"/>
      <c r="AT67" s="219"/>
      <c r="AU67" s="219"/>
      <c r="AV67" s="670"/>
      <c r="AW67" s="230"/>
      <c r="AX67" s="13"/>
      <c r="AY67" s="626"/>
      <c r="AZ67" s="626"/>
      <c r="BA67" s="13"/>
      <c r="BB67" s="675"/>
      <c r="BD67" s="342"/>
      <c r="BE67" s="342"/>
      <c r="BF67" s="342"/>
      <c r="BG67" s="342"/>
      <c r="BH67" s="342"/>
      <c r="BI67" s="703"/>
      <c r="BJ67" s="342"/>
      <c r="BK67" s="221"/>
      <c r="BL67" s="342"/>
      <c r="BM67" s="342"/>
      <c r="BN67" s="342"/>
      <c r="BO67" s="342"/>
      <c r="BP67" s="342"/>
      <c r="BQ67" s="349"/>
      <c r="BS67" s="342"/>
      <c r="BT67" s="342"/>
      <c r="BU67" s="342"/>
      <c r="BV67" s="342"/>
      <c r="BW67" s="219"/>
      <c r="BX67" s="13"/>
      <c r="BY67" s="342"/>
      <c r="BZ67" s="342"/>
      <c r="CA67" s="342"/>
      <c r="CB67" s="342"/>
      <c r="CC67" s="342"/>
      <c r="CD67" s="342"/>
      <c r="CE67" s="342"/>
      <c r="CF67" s="342"/>
      <c r="CH67" s="342"/>
      <c r="CI67" s="342"/>
      <c r="CJ67" s="342"/>
      <c r="CK67" s="342"/>
      <c r="CL67" s="342"/>
      <c r="CM67" s="13"/>
      <c r="CN67" s="342"/>
      <c r="CO67" s="342"/>
      <c r="CP67" s="342"/>
      <c r="CQ67" s="342"/>
      <c r="CR67" s="342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J67" s="671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Z67" s="671"/>
    </row>
    <row r="68" spans="1:130" ht="15.75">
      <c r="A68" s="229">
        <v>59</v>
      </c>
      <c r="C68" s="346"/>
      <c r="D68" s="346"/>
      <c r="E68" s="346"/>
      <c r="F68" s="717" t="s">
        <v>144</v>
      </c>
      <c r="G68" s="346"/>
      <c r="H68" s="346"/>
      <c r="I68" s="346"/>
      <c r="J68" s="587"/>
      <c r="K68" s="587"/>
      <c r="L68" s="587"/>
      <c r="M68" s="750"/>
      <c r="N68" s="606"/>
      <c r="O68" s="13"/>
      <c r="P68" s="346"/>
      <c r="Q68" s="346"/>
      <c r="R68" s="346"/>
      <c r="S68" s="349">
        <f t="shared" si="0"/>
        <v>0</v>
      </c>
      <c r="T68" s="616"/>
      <c r="U68" s="346"/>
      <c r="V68" s="620"/>
      <c r="W68" s="621"/>
      <c r="X68" s="609"/>
      <c r="Y68" s="13" t="s">
        <v>138</v>
      </c>
      <c r="Z68" s="349"/>
      <c r="AA68" s="13"/>
      <c r="AB68" s="219">
        <f t="shared" si="10"/>
        <v>0</v>
      </c>
      <c r="AC68" s="349"/>
      <c r="AD68" s="349"/>
      <c r="AE68" s="349"/>
      <c r="AF68" s="349">
        <f t="shared" si="28"/>
        <v>0</v>
      </c>
      <c r="AG68" s="13"/>
      <c r="AH68" s="13"/>
      <c r="AI68" s="13">
        <f t="shared" si="3"/>
        <v>0</v>
      </c>
      <c r="AJ68" s="626"/>
      <c r="AK68" s="626">
        <f t="shared" si="4"/>
        <v>0</v>
      </c>
      <c r="AL68" s="628"/>
      <c r="AM68" s="627">
        <v>58</v>
      </c>
      <c r="AN68" s="580"/>
      <c r="AO68" s="13"/>
      <c r="AP68" s="13"/>
      <c r="AQ68" s="13"/>
      <c r="AR68" s="676" t="s">
        <v>143</v>
      </c>
      <c r="AS68" s="3"/>
      <c r="AT68" s="3"/>
      <c r="AU68" s="219"/>
      <c r="AV68" s="600"/>
      <c r="AW68" s="230"/>
      <c r="AX68" s="13">
        <f t="shared" ref="AX68:AX93" si="39">+AW68</f>
        <v>0</v>
      </c>
      <c r="AY68" s="506"/>
      <c r="AZ68" s="506"/>
      <c r="BA68" s="349"/>
      <c r="BB68" s="675">
        <f t="shared" si="5"/>
        <v>0</v>
      </c>
      <c r="BD68" s="342"/>
      <c r="BE68" s="342"/>
      <c r="BF68" s="342"/>
      <c r="BG68" s="342"/>
      <c r="BH68" s="342"/>
      <c r="BI68" s="703"/>
      <c r="BJ68" s="342"/>
      <c r="BK68" s="221">
        <f t="shared" si="36"/>
        <v>0</v>
      </c>
      <c r="BL68" s="342"/>
      <c r="BM68" s="342"/>
      <c r="BN68" s="342"/>
      <c r="BO68" s="342"/>
      <c r="BP68" s="342"/>
      <c r="BQ68" s="349">
        <f t="shared" si="37"/>
        <v>0</v>
      </c>
      <c r="BS68" s="342"/>
      <c r="BT68" s="342"/>
      <c r="BU68" s="342"/>
      <c r="BV68" s="342"/>
      <c r="BW68" s="219"/>
      <c r="BX68" s="13">
        <v>200</v>
      </c>
      <c r="BY68" s="342"/>
      <c r="BZ68" s="342"/>
      <c r="CA68" s="342"/>
      <c r="CB68" s="342"/>
      <c r="CC68" s="342">
        <f t="shared" si="29"/>
        <v>0</v>
      </c>
      <c r="CD68" s="342"/>
      <c r="CE68" s="342"/>
      <c r="CF68" s="342"/>
      <c r="CH68" s="342"/>
      <c r="CI68" s="342"/>
      <c r="CJ68" s="342"/>
      <c r="CK68" s="342"/>
      <c r="CL68" s="342"/>
      <c r="CM68" s="13">
        <v>600</v>
      </c>
      <c r="CN68" s="342"/>
      <c r="CO68" s="342"/>
      <c r="CP68" s="342"/>
      <c r="CQ68" s="342"/>
      <c r="CR68" s="342">
        <f t="shared" si="6"/>
        <v>0</v>
      </c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J68" s="671">
        <f t="shared" si="7"/>
        <v>0</v>
      </c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Z68" s="671">
        <f>SUM(DT68:DX68)</f>
        <v>0</v>
      </c>
    </row>
    <row r="69" spans="1:130" ht="15.75">
      <c r="A69" s="226">
        <v>60</v>
      </c>
      <c r="B69" s="720"/>
      <c r="C69" s="721"/>
      <c r="D69" s="609"/>
      <c r="E69" s="349"/>
      <c r="F69" s="717" t="s">
        <v>144</v>
      </c>
      <c r="G69" s="346"/>
      <c r="H69" s="346"/>
      <c r="I69" s="346"/>
      <c r="J69" s="587"/>
      <c r="K69" s="587"/>
      <c r="L69" s="587"/>
      <c r="M69" s="610"/>
      <c r="N69" s="606"/>
      <c r="O69" s="13"/>
      <c r="P69" s="346"/>
      <c r="Q69" s="346"/>
      <c r="R69" s="346"/>
      <c r="S69" s="349">
        <f t="shared" si="0"/>
        <v>0</v>
      </c>
      <c r="T69" s="616"/>
      <c r="U69" s="346"/>
      <c r="V69" s="620"/>
      <c r="W69" s="346"/>
      <c r="X69" s="346"/>
      <c r="Y69" s="13" t="s">
        <v>138</v>
      </c>
      <c r="Z69" s="349"/>
      <c r="AA69" s="13"/>
      <c r="AB69" s="219">
        <f t="shared" si="10"/>
        <v>0</v>
      </c>
      <c r="AC69" s="349"/>
      <c r="AD69" s="349"/>
      <c r="AE69" s="349"/>
      <c r="AF69" s="349">
        <f t="shared" si="28"/>
        <v>0</v>
      </c>
      <c r="AG69" s="13"/>
      <c r="AH69" s="13"/>
      <c r="AI69" s="13">
        <f t="shared" si="3"/>
        <v>0</v>
      </c>
      <c r="AJ69" s="626"/>
      <c r="AK69" s="626">
        <f t="shared" si="4"/>
        <v>0</v>
      </c>
      <c r="AL69" s="628"/>
      <c r="AM69" s="628">
        <v>59</v>
      </c>
      <c r="AN69" s="629"/>
      <c r="AO69" s="618"/>
      <c r="AP69" s="342"/>
      <c r="AQ69" s="13"/>
      <c r="AR69" s="676" t="s">
        <v>143</v>
      </c>
      <c r="AS69" s="11"/>
      <c r="AT69" s="654"/>
      <c r="AU69" s="654"/>
      <c r="AV69" s="651"/>
      <c r="AW69" s="681"/>
      <c r="AX69" s="13"/>
      <c r="AY69" s="698"/>
      <c r="AZ69" s="698"/>
      <c r="BA69" s="683"/>
      <c r="BB69" s="675">
        <f t="shared" si="5"/>
        <v>0</v>
      </c>
      <c r="BD69" s="342"/>
      <c r="BE69" s="342"/>
      <c r="BF69" s="342"/>
      <c r="BG69" s="342"/>
      <c r="BH69" s="342"/>
      <c r="BI69" s="703"/>
      <c r="BJ69" s="342"/>
      <c r="BK69" s="221">
        <f t="shared" si="36"/>
        <v>0</v>
      </c>
      <c r="BL69" s="342"/>
      <c r="BM69" s="342"/>
      <c r="BN69" s="342"/>
      <c r="BO69" s="342"/>
      <c r="BP69" s="342"/>
      <c r="BQ69" s="349">
        <f t="shared" si="37"/>
        <v>0</v>
      </c>
      <c r="BS69" s="342"/>
      <c r="BT69" s="342"/>
      <c r="BU69" s="342"/>
      <c r="BV69" s="342"/>
      <c r="BW69" s="219"/>
      <c r="BX69" s="13">
        <v>200</v>
      </c>
      <c r="BY69" s="342"/>
      <c r="BZ69" s="342"/>
      <c r="CA69" s="342"/>
      <c r="CB69" s="342"/>
      <c r="CC69" s="342">
        <f t="shared" si="29"/>
        <v>0</v>
      </c>
      <c r="CD69" s="342"/>
      <c r="CE69" s="342"/>
      <c r="CF69" s="342"/>
      <c r="CH69" s="342"/>
      <c r="CI69" s="342"/>
      <c r="CJ69" s="342"/>
      <c r="CK69" s="342"/>
      <c r="CL69" s="342"/>
      <c r="CM69" s="13">
        <v>600</v>
      </c>
      <c r="CN69" s="342"/>
      <c r="CO69" s="342"/>
      <c r="CP69" s="342"/>
      <c r="CQ69" s="342"/>
      <c r="CR69" s="342">
        <f t="shared" si="6"/>
        <v>0</v>
      </c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J69" s="671">
        <f t="shared" si="7"/>
        <v>0</v>
      </c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Z69" s="671">
        <f>SUM(DT69:DX69)</f>
        <v>0</v>
      </c>
    </row>
    <row r="70" spans="1:130" ht="15.75">
      <c r="A70" s="229">
        <v>61</v>
      </c>
      <c r="B70" s="980" t="s">
        <v>10</v>
      </c>
      <c r="C70" s="981"/>
      <c r="D70" s="981"/>
      <c r="E70" s="981"/>
      <c r="F70" s="982"/>
      <c r="G70" s="588">
        <f>SUM(G64:G69)</f>
        <v>73</v>
      </c>
      <c r="H70" s="588">
        <f>SUM(H64:H69)</f>
        <v>26.905000000000001</v>
      </c>
      <c r="I70" s="588"/>
      <c r="J70" s="602"/>
      <c r="K70" s="602"/>
      <c r="L70" s="602"/>
      <c r="M70" s="604">
        <f>SUM(M64:M69)</f>
        <v>4027538.38</v>
      </c>
      <c r="N70" s="606"/>
      <c r="O70" s="13"/>
      <c r="P70" s="346"/>
      <c r="Q70" s="346"/>
      <c r="R70" s="346"/>
      <c r="S70" s="349">
        <f t="shared" si="0"/>
        <v>4027538</v>
      </c>
      <c r="T70" s="616"/>
      <c r="U70" s="346"/>
      <c r="V70" s="621"/>
      <c r="W70" s="721"/>
      <c r="X70" s="609"/>
      <c r="Y70" s="13" t="s">
        <v>138</v>
      </c>
      <c r="Z70" s="349"/>
      <c r="AA70" s="349"/>
      <c r="AB70" s="219">
        <f t="shared" si="10"/>
        <v>0</v>
      </c>
      <c r="AC70" s="349"/>
      <c r="AD70" s="349"/>
      <c r="AE70" s="349"/>
      <c r="AF70" s="349">
        <f t="shared" si="28"/>
        <v>0</v>
      </c>
      <c r="AG70" s="13"/>
      <c r="AH70" s="13"/>
      <c r="AI70" s="13">
        <f t="shared" si="3"/>
        <v>0</v>
      </c>
      <c r="AJ70" s="626"/>
      <c r="AK70" s="626">
        <f t="shared" si="4"/>
        <v>0</v>
      </c>
      <c r="AL70" s="628"/>
      <c r="AM70" s="627">
        <v>60</v>
      </c>
      <c r="AN70" s="629"/>
      <c r="AO70" s="618"/>
      <c r="AP70" s="342"/>
      <c r="AQ70" s="13"/>
      <c r="AR70" s="676" t="s">
        <v>143</v>
      </c>
      <c r="AS70" s="11"/>
      <c r="AT70" s="11"/>
      <c r="AU70" s="219"/>
      <c r="AV70" s="651"/>
      <c r="AW70" s="681"/>
      <c r="AX70" s="13"/>
      <c r="AY70" s="349"/>
      <c r="AZ70" s="349"/>
      <c r="BA70" s="349"/>
      <c r="BB70" s="675">
        <f t="shared" si="5"/>
        <v>0</v>
      </c>
      <c r="BD70" s="342"/>
      <c r="BE70" s="342"/>
      <c r="BF70" s="342"/>
      <c r="BG70" s="342"/>
      <c r="BH70" s="342"/>
      <c r="BI70" s="703"/>
      <c r="BJ70" s="342"/>
      <c r="BK70" s="221">
        <f t="shared" si="36"/>
        <v>0</v>
      </c>
      <c r="BL70" s="342"/>
      <c r="BM70" s="342"/>
      <c r="BN70" s="342"/>
      <c r="BO70" s="342"/>
      <c r="BP70" s="342"/>
      <c r="BQ70" s="349">
        <f t="shared" si="37"/>
        <v>0</v>
      </c>
      <c r="BS70" s="342"/>
      <c r="BT70" s="342"/>
      <c r="BU70" s="342"/>
      <c r="BV70" s="342"/>
      <c r="BW70" s="219"/>
      <c r="BX70" s="13">
        <v>200</v>
      </c>
      <c r="BY70" s="342"/>
      <c r="BZ70" s="342"/>
      <c r="CA70" s="342"/>
      <c r="CB70" s="342"/>
      <c r="CC70" s="342">
        <f t="shared" si="29"/>
        <v>0</v>
      </c>
      <c r="CD70" s="342"/>
      <c r="CE70" s="342"/>
      <c r="CF70" s="342"/>
      <c r="CH70" s="342"/>
      <c r="CI70" s="342"/>
      <c r="CJ70" s="342"/>
      <c r="CK70" s="342"/>
      <c r="CL70" s="342"/>
      <c r="CM70" s="13">
        <v>600</v>
      </c>
      <c r="CN70" s="342"/>
      <c r="CO70" s="342"/>
      <c r="CP70" s="342"/>
      <c r="CQ70" s="342"/>
      <c r="CR70" s="342">
        <f t="shared" si="6"/>
        <v>0</v>
      </c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J70" s="671">
        <f t="shared" si="7"/>
        <v>0</v>
      </c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Z70" s="671">
        <f>SUM(DT70:DX70)</f>
        <v>0</v>
      </c>
    </row>
    <row r="71" spans="1:130" ht="15.75">
      <c r="A71" s="226">
        <v>62</v>
      </c>
      <c r="B71" s="722"/>
      <c r="C71" s="723"/>
      <c r="D71" s="723"/>
      <c r="E71" s="723"/>
      <c r="F71" s="724" t="s">
        <v>145</v>
      </c>
      <c r="G71" s="725"/>
      <c r="H71" s="725"/>
      <c r="I71" s="584"/>
      <c r="J71" s="751"/>
      <c r="K71" s="751"/>
      <c r="L71" s="585"/>
      <c r="M71" s="752"/>
      <c r="N71" s="753"/>
      <c r="O71" s="13"/>
      <c r="P71" s="727"/>
      <c r="Q71" s="346"/>
      <c r="R71" s="346"/>
      <c r="S71" s="349">
        <f t="shared" si="0"/>
        <v>0</v>
      </c>
      <c r="T71" s="616"/>
      <c r="U71" s="346"/>
      <c r="V71" s="621"/>
      <c r="W71" s="721"/>
      <c r="X71" s="609"/>
      <c r="Y71" s="13"/>
      <c r="Z71" s="349"/>
      <c r="AA71" s="349"/>
      <c r="AB71" s="219"/>
      <c r="AC71" s="349"/>
      <c r="AD71" s="349"/>
      <c r="AE71" s="349"/>
      <c r="AF71" s="349">
        <f t="shared" si="28"/>
        <v>0</v>
      </c>
      <c r="AG71" s="13"/>
      <c r="AH71" s="13"/>
      <c r="AI71" s="13">
        <f t="shared" si="3"/>
        <v>0</v>
      </c>
      <c r="AJ71" s="626"/>
      <c r="AK71" s="626">
        <f t="shared" si="4"/>
        <v>0</v>
      </c>
      <c r="AL71" s="628"/>
      <c r="AM71" s="628"/>
      <c r="AN71" s="983" t="s">
        <v>10</v>
      </c>
      <c r="AO71" s="984"/>
      <c r="AP71" s="984"/>
      <c r="AQ71" s="984"/>
      <c r="AR71" s="984"/>
      <c r="AS71" s="672">
        <f>SUM(AS63:AS70)</f>
        <v>106</v>
      </c>
      <c r="AT71" s="672">
        <f>SUM(AT63:AT70)</f>
        <v>5.484</v>
      </c>
      <c r="AU71" s="672">
        <f>SUM(AU63:AU70)</f>
        <v>0</v>
      </c>
      <c r="AV71" s="809">
        <f>SUM(AV63:AV70)</f>
        <v>720087.59</v>
      </c>
      <c r="AW71" s="681"/>
      <c r="AX71" s="13"/>
      <c r="AY71" s="349"/>
      <c r="AZ71" s="349"/>
      <c r="BA71" s="349"/>
      <c r="BB71" s="675">
        <f t="shared" si="5"/>
        <v>720088</v>
      </c>
      <c r="BD71" s="684"/>
      <c r="BE71" s="684"/>
      <c r="BF71" s="684"/>
      <c r="BG71" s="684"/>
      <c r="BH71" s="684"/>
      <c r="BI71" s="704"/>
      <c r="BJ71" s="684"/>
      <c r="BK71" s="221"/>
      <c r="BL71" s="684"/>
      <c r="BM71" s="684"/>
      <c r="BN71" s="684"/>
      <c r="BO71" s="684"/>
      <c r="BP71" s="342"/>
      <c r="BQ71" s="349"/>
      <c r="BS71" s="684"/>
      <c r="BT71" s="684"/>
      <c r="BU71" s="684"/>
      <c r="BV71" s="684"/>
      <c r="BW71" s="219"/>
      <c r="BX71" s="13"/>
      <c r="BY71" s="342"/>
      <c r="BZ71" s="342"/>
      <c r="CA71" s="342"/>
      <c r="CB71" s="342"/>
      <c r="CC71" s="342"/>
      <c r="CD71" s="684"/>
      <c r="CE71" s="684"/>
      <c r="CF71" s="684"/>
      <c r="CH71" s="684"/>
      <c r="CI71" s="684"/>
      <c r="CJ71" s="684"/>
      <c r="CK71" s="684"/>
      <c r="CL71" s="684"/>
      <c r="CM71" s="13"/>
      <c r="CN71" s="342"/>
      <c r="CO71" s="342"/>
      <c r="CP71" s="342"/>
      <c r="CQ71" s="342"/>
      <c r="CR71" s="342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J71" s="671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Z71" s="671"/>
    </row>
    <row r="72" spans="1:130" ht="18.75">
      <c r="A72" s="229">
        <v>63</v>
      </c>
      <c r="B72" s="720"/>
      <c r="C72" s="609"/>
      <c r="D72" s="609"/>
      <c r="E72" s="726"/>
      <c r="F72" s="724" t="s">
        <v>145</v>
      </c>
      <c r="G72" s="727"/>
      <c r="H72" s="727"/>
      <c r="I72" s="346"/>
      <c r="J72" s="731"/>
      <c r="K72" s="731"/>
      <c r="L72" s="587"/>
      <c r="M72" s="754"/>
      <c r="N72" s="753"/>
      <c r="O72" s="13"/>
      <c r="P72" s="727"/>
      <c r="Q72" s="346"/>
      <c r="R72" s="346"/>
      <c r="S72" s="349">
        <f t="shared" si="0"/>
        <v>0</v>
      </c>
      <c r="T72" s="616"/>
      <c r="U72" s="346"/>
      <c r="V72" s="621"/>
      <c r="W72" s="721"/>
      <c r="X72" s="609"/>
      <c r="Y72" s="13"/>
      <c r="Z72" s="349"/>
      <c r="AA72" s="349"/>
      <c r="AB72" s="219"/>
      <c r="AC72" s="349"/>
      <c r="AD72" s="349"/>
      <c r="AE72" s="349"/>
      <c r="AF72" s="349">
        <f t="shared" ref="AF72:AF93" si="40">SUM(AC72:AE72)</f>
        <v>0</v>
      </c>
      <c r="AG72" s="13"/>
      <c r="AH72" s="13"/>
      <c r="AI72" s="13"/>
      <c r="AJ72" s="626"/>
      <c r="AK72" s="626">
        <f t="shared" ref="AK72:AK93" si="41">ROUND(SUM(AF72:AJ72),0)</f>
        <v>0</v>
      </c>
      <c r="AL72" s="628"/>
      <c r="AM72" s="627">
        <v>61</v>
      </c>
      <c r="AN72" s="799"/>
      <c r="AO72" s="652"/>
      <c r="AP72" s="11"/>
      <c r="AQ72" s="13"/>
      <c r="AR72" s="810" t="s">
        <v>146</v>
      </c>
      <c r="AS72" s="1"/>
      <c r="AT72" s="2"/>
      <c r="AU72" s="219"/>
      <c r="AV72" s="342"/>
      <c r="AW72" s="681"/>
      <c r="AX72" s="13"/>
      <c r="AY72" s="349"/>
      <c r="AZ72" s="349"/>
      <c r="BA72" s="349"/>
      <c r="BB72" s="675">
        <f t="shared" si="5"/>
        <v>0</v>
      </c>
      <c r="BD72" s="684"/>
      <c r="BE72" s="684"/>
      <c r="BF72" s="684"/>
      <c r="BG72" s="684"/>
      <c r="BH72" s="684"/>
      <c r="BI72" s="704"/>
      <c r="BJ72" s="684"/>
      <c r="BK72" s="221"/>
      <c r="BL72" s="684"/>
      <c r="BM72" s="684"/>
      <c r="BN72" s="684"/>
      <c r="BO72" s="684"/>
      <c r="BP72" s="342"/>
      <c r="BQ72" s="349"/>
      <c r="BS72" s="684"/>
      <c r="BT72" s="684"/>
      <c r="BU72" s="684"/>
      <c r="BV72" s="684"/>
      <c r="BW72" s="219"/>
      <c r="BX72" s="13"/>
      <c r="BY72" s="342"/>
      <c r="BZ72" s="342"/>
      <c r="CA72" s="342"/>
      <c r="CB72" s="342"/>
      <c r="CC72" s="342"/>
      <c r="CD72" s="684"/>
      <c r="CE72" s="684"/>
      <c r="CF72" s="684"/>
      <c r="CH72" s="684"/>
      <c r="CI72" s="684"/>
      <c r="CJ72" s="684"/>
      <c r="CK72" s="684"/>
      <c r="CL72" s="684"/>
      <c r="CM72" s="13"/>
      <c r="CN72" s="342"/>
      <c r="CO72" s="342"/>
      <c r="CP72" s="342"/>
      <c r="CQ72" s="342"/>
      <c r="CR72" s="342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J72" s="671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Z72" s="671"/>
    </row>
    <row r="73" spans="1:130" ht="15.75">
      <c r="A73" s="226">
        <v>64</v>
      </c>
      <c r="B73" s="592"/>
      <c r="C73" s="609"/>
      <c r="D73" s="609"/>
      <c r="E73" s="727"/>
      <c r="F73" s="724" t="s">
        <v>145</v>
      </c>
      <c r="G73" s="727"/>
      <c r="H73" s="727"/>
      <c r="I73" s="346"/>
      <c r="J73" s="731"/>
      <c r="K73" s="731"/>
      <c r="L73" s="587"/>
      <c r="M73" s="755"/>
      <c r="N73" s="753"/>
      <c r="O73" s="13"/>
      <c r="P73" s="727"/>
      <c r="Q73" s="346"/>
      <c r="R73" s="346"/>
      <c r="S73" s="349">
        <f t="shared" si="0"/>
        <v>0</v>
      </c>
      <c r="T73" s="616"/>
      <c r="U73" s="346"/>
      <c r="V73" s="621"/>
      <c r="W73" s="727"/>
      <c r="X73" s="727"/>
      <c r="Y73" s="13" t="s">
        <v>138</v>
      </c>
      <c r="Z73" s="349"/>
      <c r="AA73" s="349"/>
      <c r="AB73" s="219">
        <f t="shared" si="10"/>
        <v>0</v>
      </c>
      <c r="AC73" s="349"/>
      <c r="AD73" s="349"/>
      <c r="AE73" s="349"/>
      <c r="AF73" s="349">
        <f t="shared" si="40"/>
        <v>0</v>
      </c>
      <c r="AG73" s="13"/>
      <c r="AH73" s="13"/>
      <c r="AI73" s="13"/>
      <c r="AJ73" s="626"/>
      <c r="AK73" s="626">
        <f t="shared" si="41"/>
        <v>0</v>
      </c>
      <c r="AL73" s="628"/>
      <c r="AM73" s="628">
        <v>62</v>
      </c>
      <c r="AN73" s="799"/>
      <c r="AO73" s="652"/>
      <c r="AP73" s="11"/>
      <c r="AQ73" s="13"/>
      <c r="AR73" s="810" t="s">
        <v>146</v>
      </c>
      <c r="AS73" s="11"/>
      <c r="AT73" s="654"/>
      <c r="AU73" s="219"/>
      <c r="AV73" s="342"/>
      <c r="AW73" s="681"/>
      <c r="AX73" s="13"/>
      <c r="AY73" s="349"/>
      <c r="AZ73" s="349"/>
      <c r="BA73" s="349"/>
      <c r="BB73" s="675">
        <f t="shared" si="5"/>
        <v>0</v>
      </c>
      <c r="BD73" s="684"/>
      <c r="BE73" s="684"/>
      <c r="BF73" s="684"/>
      <c r="BG73" s="684"/>
      <c r="BH73" s="684"/>
      <c r="BI73" s="704"/>
      <c r="BJ73" s="684"/>
      <c r="BK73" s="221">
        <f t="shared" si="36"/>
        <v>0</v>
      </c>
      <c r="BL73" s="684"/>
      <c r="BM73" s="684"/>
      <c r="BN73" s="684"/>
      <c r="BO73" s="684"/>
      <c r="BP73" s="342"/>
      <c r="BQ73" s="349">
        <f t="shared" si="37"/>
        <v>0</v>
      </c>
      <c r="BS73" s="684"/>
      <c r="BT73" s="684"/>
      <c r="BU73" s="684"/>
      <c r="BV73" s="684"/>
      <c r="BW73" s="219"/>
      <c r="BX73" s="13">
        <v>200</v>
      </c>
      <c r="BY73" s="342"/>
      <c r="BZ73" s="342"/>
      <c r="CA73" s="342"/>
      <c r="CB73" s="342"/>
      <c r="CC73" s="342">
        <f t="shared" si="29"/>
        <v>0</v>
      </c>
      <c r="CD73" s="684"/>
      <c r="CE73" s="684"/>
      <c r="CF73" s="684"/>
      <c r="CH73" s="684"/>
      <c r="CI73" s="684"/>
      <c r="CJ73" s="684"/>
      <c r="CK73" s="684"/>
      <c r="CL73" s="684"/>
      <c r="CM73" s="13">
        <v>750</v>
      </c>
      <c r="CN73" s="342"/>
      <c r="CO73" s="342"/>
      <c r="CP73" s="342"/>
      <c r="CQ73" s="342"/>
      <c r="CR73" s="342">
        <f t="shared" si="6"/>
        <v>0</v>
      </c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J73" s="671">
        <f t="shared" si="7"/>
        <v>0</v>
      </c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Z73" s="671">
        <f>SUM(DT73:DX73)</f>
        <v>0</v>
      </c>
    </row>
    <row r="74" spans="1:130" ht="15.75">
      <c r="A74" s="229">
        <v>65</v>
      </c>
      <c r="B74" s="592"/>
      <c r="C74" s="609"/>
      <c r="D74" s="609"/>
      <c r="E74" s="727"/>
      <c r="F74" s="724" t="s">
        <v>145</v>
      </c>
      <c r="G74" s="727"/>
      <c r="H74" s="727"/>
      <c r="I74" s="346"/>
      <c r="J74" s="731"/>
      <c r="K74" s="731"/>
      <c r="L74" s="587"/>
      <c r="M74" s="755"/>
      <c r="N74" s="753"/>
      <c r="O74" s="13"/>
      <c r="P74" s="727"/>
      <c r="Q74" s="346"/>
      <c r="R74" s="346"/>
      <c r="S74" s="349">
        <f t="shared" si="0"/>
        <v>0</v>
      </c>
      <c r="T74" s="616"/>
      <c r="U74" s="346"/>
      <c r="V74" s="621"/>
      <c r="W74" s="727"/>
      <c r="X74" s="727"/>
      <c r="Y74" s="13"/>
      <c r="Z74" s="349"/>
      <c r="AA74" s="349"/>
      <c r="AB74" s="219"/>
      <c r="AC74" s="349"/>
      <c r="AD74" s="349"/>
      <c r="AE74" s="349"/>
      <c r="AF74" s="349">
        <f t="shared" si="40"/>
        <v>0</v>
      </c>
      <c r="AG74" s="13"/>
      <c r="AH74" s="13"/>
      <c r="AI74" s="13"/>
      <c r="AJ74" s="626"/>
      <c r="AK74" s="626">
        <f t="shared" si="41"/>
        <v>0</v>
      </c>
      <c r="AL74" s="628"/>
      <c r="AM74" s="627">
        <v>63</v>
      </c>
      <c r="AN74" s="632"/>
      <c r="AO74" s="618"/>
      <c r="AP74" s="342"/>
      <c r="AQ74" s="13"/>
      <c r="AR74" s="810" t="s">
        <v>146</v>
      </c>
      <c r="AS74" s="11"/>
      <c r="AT74" s="654"/>
      <c r="AU74" s="219"/>
      <c r="AV74" s="342"/>
      <c r="AW74" s="681"/>
      <c r="AX74" s="13"/>
      <c r="AY74" s="349"/>
      <c r="AZ74" s="349"/>
      <c r="BA74" s="349"/>
      <c r="BB74" s="675">
        <f t="shared" si="5"/>
        <v>0</v>
      </c>
      <c r="BD74" s="684"/>
      <c r="BE74" s="684"/>
      <c r="BF74" s="684"/>
      <c r="BG74" s="684"/>
      <c r="BH74" s="684"/>
      <c r="BI74" s="704"/>
      <c r="BJ74" s="684"/>
      <c r="BK74" s="221"/>
      <c r="BL74" s="684"/>
      <c r="BM74" s="684"/>
      <c r="BN74" s="684"/>
      <c r="BO74" s="684"/>
      <c r="BP74" s="342"/>
      <c r="BQ74" s="349"/>
      <c r="BS74" s="684"/>
      <c r="BT74" s="684"/>
      <c r="BU74" s="684"/>
      <c r="BV74" s="684"/>
      <c r="BW74" s="219"/>
      <c r="BX74" s="13"/>
      <c r="BY74" s="342"/>
      <c r="BZ74" s="342"/>
      <c r="CA74" s="342"/>
      <c r="CB74" s="342"/>
      <c r="CC74" s="342"/>
      <c r="CD74" s="684"/>
      <c r="CE74" s="684"/>
      <c r="CF74" s="684"/>
      <c r="CH74" s="684"/>
      <c r="CI74" s="684"/>
      <c r="CJ74" s="684"/>
      <c r="CK74" s="684"/>
      <c r="CL74" s="684"/>
      <c r="CM74" s="13"/>
      <c r="CN74" s="342"/>
      <c r="CO74" s="342"/>
      <c r="CP74" s="342"/>
      <c r="CQ74" s="342"/>
      <c r="CR74" s="342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J74" s="671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Z74" s="671"/>
    </row>
    <row r="75" spans="1:130" ht="15.75">
      <c r="A75" s="226">
        <v>66</v>
      </c>
      <c r="B75" s="966" t="s">
        <v>10</v>
      </c>
      <c r="C75" s="967"/>
      <c r="D75" s="967"/>
      <c r="E75" s="967"/>
      <c r="F75" s="968"/>
      <c r="G75" s="588">
        <f>SUM(G71:G74)</f>
        <v>0</v>
      </c>
      <c r="H75" s="588">
        <f>SUM(H71:H74)</f>
        <v>0</v>
      </c>
      <c r="I75" s="588"/>
      <c r="J75" s="602"/>
      <c r="K75" s="602"/>
      <c r="L75" s="602"/>
      <c r="M75" s="604">
        <f>SUM(M71:M74)</f>
        <v>0</v>
      </c>
      <c r="N75" s="753"/>
      <c r="O75" s="13"/>
      <c r="P75" s="727"/>
      <c r="Q75" s="346"/>
      <c r="R75" s="346"/>
      <c r="S75" s="349">
        <f t="shared" si="0"/>
        <v>0</v>
      </c>
      <c r="T75" s="616"/>
      <c r="U75" s="346"/>
      <c r="V75" s="621"/>
      <c r="W75" s="727"/>
      <c r="X75" s="727"/>
      <c r="Y75" s="13"/>
      <c r="Z75" s="349"/>
      <c r="AA75" s="349"/>
      <c r="AB75" s="219"/>
      <c r="AC75" s="349"/>
      <c r="AD75" s="349"/>
      <c r="AE75" s="349"/>
      <c r="AF75" s="349">
        <f t="shared" si="40"/>
        <v>0</v>
      </c>
      <c r="AG75" s="13"/>
      <c r="AH75" s="13"/>
      <c r="AI75" s="13"/>
      <c r="AJ75" s="626"/>
      <c r="AK75" s="626">
        <f t="shared" si="41"/>
        <v>0</v>
      </c>
      <c r="AL75" s="628"/>
      <c r="AM75" s="628">
        <v>64</v>
      </c>
      <c r="AN75" s="632"/>
      <c r="AO75" s="618"/>
      <c r="AP75" s="342"/>
      <c r="AQ75" s="13"/>
      <c r="AR75" s="810" t="s">
        <v>146</v>
      </c>
      <c r="AS75" s="3"/>
      <c r="AT75" s="3"/>
      <c r="AU75" s="219"/>
      <c r="AV75" s="342"/>
      <c r="AW75" s="681"/>
      <c r="AX75" s="13"/>
      <c r="AY75" s="349"/>
      <c r="AZ75" s="349"/>
      <c r="BA75" s="349"/>
      <c r="BB75" s="675">
        <f t="shared" si="5"/>
        <v>0</v>
      </c>
      <c r="BD75" s="684"/>
      <c r="BE75" s="684"/>
      <c r="BF75" s="684"/>
      <c r="BG75" s="684"/>
      <c r="BH75" s="684"/>
      <c r="BI75" s="704"/>
      <c r="BJ75" s="684"/>
      <c r="BK75" s="221"/>
      <c r="BL75" s="684"/>
      <c r="BM75" s="684"/>
      <c r="BN75" s="684"/>
      <c r="BO75" s="684"/>
      <c r="BP75" s="342"/>
      <c r="BQ75" s="349"/>
      <c r="BS75" s="684"/>
      <c r="BT75" s="684"/>
      <c r="BU75" s="684"/>
      <c r="BV75" s="684"/>
      <c r="BW75" s="219"/>
      <c r="BX75" s="13"/>
      <c r="BY75" s="342"/>
      <c r="BZ75" s="342"/>
      <c r="CA75" s="342"/>
      <c r="CB75" s="342"/>
      <c r="CC75" s="342"/>
      <c r="CD75" s="684"/>
      <c r="CE75" s="684"/>
      <c r="CF75" s="684"/>
      <c r="CH75" s="684"/>
      <c r="CI75" s="684"/>
      <c r="CJ75" s="684"/>
      <c r="CK75" s="684"/>
      <c r="CL75" s="684"/>
      <c r="CM75" s="13"/>
      <c r="CN75" s="342"/>
      <c r="CO75" s="342"/>
      <c r="CP75" s="342"/>
      <c r="CQ75" s="342"/>
      <c r="CR75" s="342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J75" s="671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Z75" s="671"/>
    </row>
    <row r="76" spans="1:130" ht="15.75">
      <c r="A76" s="229">
        <v>67</v>
      </c>
      <c r="B76" s="582"/>
      <c r="C76" s="723"/>
      <c r="D76" s="723"/>
      <c r="E76" s="725"/>
      <c r="F76" s="728" t="s">
        <v>147</v>
      </c>
      <c r="G76" s="725"/>
      <c r="H76" s="725"/>
      <c r="I76" s="584"/>
      <c r="J76" s="751"/>
      <c r="K76" s="751"/>
      <c r="L76" s="585"/>
      <c r="M76" s="756"/>
      <c r="N76" s="753"/>
      <c r="O76" s="13"/>
      <c r="P76" s="727"/>
      <c r="Q76" s="346"/>
      <c r="R76" s="346"/>
      <c r="S76" s="349">
        <f t="shared" si="0"/>
        <v>0</v>
      </c>
      <c r="T76" s="616"/>
      <c r="U76" s="346"/>
      <c r="V76" s="621"/>
      <c r="W76" s="727"/>
      <c r="X76" s="727"/>
      <c r="Y76" s="13"/>
      <c r="Z76" s="349"/>
      <c r="AA76" s="349"/>
      <c r="AB76" s="219"/>
      <c r="AC76" s="349"/>
      <c r="AD76" s="349"/>
      <c r="AE76" s="349"/>
      <c r="AF76" s="349">
        <f t="shared" si="40"/>
        <v>0</v>
      </c>
      <c r="AG76" s="13"/>
      <c r="AH76" s="13"/>
      <c r="AI76" s="13"/>
      <c r="AJ76" s="626"/>
      <c r="AK76" s="626">
        <f t="shared" si="41"/>
        <v>0</v>
      </c>
      <c r="AL76" s="628"/>
      <c r="AM76" s="627">
        <v>65</v>
      </c>
      <c r="AN76" s="632"/>
      <c r="AO76" s="618"/>
      <c r="AP76" s="342"/>
      <c r="AQ76" s="13"/>
      <c r="AR76" s="810" t="s">
        <v>146</v>
      </c>
      <c r="AS76" s="11"/>
      <c r="AT76" s="654"/>
      <c r="AU76" s="219"/>
      <c r="AV76" s="342"/>
      <c r="AW76" s="681"/>
      <c r="AX76" s="13"/>
      <c r="AY76" s="349"/>
      <c r="AZ76" s="349"/>
      <c r="BA76" s="349"/>
      <c r="BB76" s="675">
        <f t="shared" si="5"/>
        <v>0</v>
      </c>
      <c r="BD76" s="684"/>
      <c r="BE76" s="684"/>
      <c r="BF76" s="684"/>
      <c r="BG76" s="684"/>
      <c r="BH76" s="684"/>
      <c r="BI76" s="704"/>
      <c r="BJ76" s="684"/>
      <c r="BK76" s="221"/>
      <c r="BL76" s="684"/>
      <c r="BM76" s="684"/>
      <c r="BN76" s="684"/>
      <c r="BO76" s="684"/>
      <c r="BP76" s="342"/>
      <c r="BQ76" s="349"/>
      <c r="BS76" s="684"/>
      <c r="BT76" s="684"/>
      <c r="BU76" s="684"/>
      <c r="BV76" s="684"/>
      <c r="BW76" s="219"/>
      <c r="BX76" s="13"/>
      <c r="BY76" s="342"/>
      <c r="BZ76" s="342"/>
      <c r="CA76" s="342"/>
      <c r="CB76" s="342"/>
      <c r="CC76" s="342"/>
      <c r="CD76" s="684"/>
      <c r="CE76" s="684"/>
      <c r="CF76" s="684"/>
      <c r="CH76" s="684"/>
      <c r="CI76" s="684"/>
      <c r="CJ76" s="684"/>
      <c r="CK76" s="684"/>
      <c r="CL76" s="684"/>
      <c r="CM76" s="13"/>
      <c r="CN76" s="342"/>
      <c r="CO76" s="342"/>
      <c r="CP76" s="342"/>
      <c r="CQ76" s="342"/>
      <c r="CR76" s="342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J76" s="671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Z76" s="671"/>
    </row>
    <row r="77" spans="1:130" ht="15.75">
      <c r="A77" s="226">
        <v>68</v>
      </c>
      <c r="B77" s="592"/>
      <c r="C77" s="609"/>
      <c r="D77" s="609"/>
      <c r="E77" s="727"/>
      <c r="F77" s="729" t="s">
        <v>147</v>
      </c>
      <c r="G77" s="727"/>
      <c r="H77" s="727"/>
      <c r="I77" s="346"/>
      <c r="J77" s="731"/>
      <c r="K77" s="731"/>
      <c r="L77" s="587"/>
      <c r="M77" s="755"/>
      <c r="N77" s="753"/>
      <c r="O77" s="13"/>
      <c r="P77" s="727"/>
      <c r="Q77" s="346"/>
      <c r="R77" s="346"/>
      <c r="S77" s="349">
        <f t="shared" si="0"/>
        <v>0</v>
      </c>
      <c r="T77" s="616"/>
      <c r="U77" s="346"/>
      <c r="V77" s="621"/>
      <c r="W77" s="727"/>
      <c r="X77" s="727"/>
      <c r="Y77" s="13"/>
      <c r="Z77" s="349"/>
      <c r="AA77" s="349"/>
      <c r="AB77" s="219"/>
      <c r="AC77" s="349"/>
      <c r="AD77" s="349"/>
      <c r="AE77" s="349"/>
      <c r="AF77" s="349">
        <f t="shared" si="40"/>
        <v>0</v>
      </c>
      <c r="AG77" s="13"/>
      <c r="AH77" s="13"/>
      <c r="AI77" s="13"/>
      <c r="AJ77" s="626"/>
      <c r="AK77" s="626">
        <f t="shared" si="41"/>
        <v>0</v>
      </c>
      <c r="AL77" s="628"/>
      <c r="AM77" s="628"/>
      <c r="AN77" s="969" t="s">
        <v>10</v>
      </c>
      <c r="AO77" s="970"/>
      <c r="AP77" s="970"/>
      <c r="AQ77" s="970"/>
      <c r="AR77" s="971"/>
      <c r="AS77" s="657">
        <f>SUM(AS72:AS76)</f>
        <v>0</v>
      </c>
      <c r="AT77" s="657">
        <f>SUM(AT72:AT76)</f>
        <v>0</v>
      </c>
      <c r="AU77" s="657">
        <f>SUM(AU72:AU76)</f>
        <v>0</v>
      </c>
      <c r="AV77" s="657">
        <f>SUM(AV72:AV76)</f>
        <v>0</v>
      </c>
      <c r="AW77" s="681"/>
      <c r="AX77" s="13"/>
      <c r="AY77" s="349"/>
      <c r="AZ77" s="349"/>
      <c r="BA77" s="349"/>
      <c r="BB77" s="675">
        <f t="shared" si="5"/>
        <v>0</v>
      </c>
      <c r="BD77" s="684"/>
      <c r="BE77" s="684"/>
      <c r="BF77" s="684"/>
      <c r="BG77" s="684"/>
      <c r="BH77" s="684"/>
      <c r="BI77" s="704"/>
      <c r="BJ77" s="684"/>
      <c r="BK77" s="221"/>
      <c r="BL77" s="684"/>
      <c r="BM77" s="684"/>
      <c r="BN77" s="684"/>
      <c r="BO77" s="684"/>
      <c r="BP77" s="342"/>
      <c r="BQ77" s="349"/>
      <c r="BS77" s="684"/>
      <c r="BT77" s="684"/>
      <c r="BU77" s="684"/>
      <c r="BV77" s="684"/>
      <c r="BW77" s="219"/>
      <c r="BX77" s="13"/>
      <c r="BY77" s="342"/>
      <c r="BZ77" s="342"/>
      <c r="CA77" s="342"/>
      <c r="CB77" s="342"/>
      <c r="CC77" s="342"/>
      <c r="CD77" s="684"/>
      <c r="CE77" s="684"/>
      <c r="CF77" s="684"/>
      <c r="CH77" s="684"/>
      <c r="CI77" s="684"/>
      <c r="CJ77" s="684"/>
      <c r="CK77" s="684"/>
      <c r="CL77" s="684"/>
      <c r="CM77" s="13"/>
      <c r="CN77" s="342"/>
      <c r="CO77" s="342"/>
      <c r="CP77" s="342"/>
      <c r="CQ77" s="342"/>
      <c r="CR77" s="342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J77" s="671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Z77" s="671"/>
    </row>
    <row r="78" spans="1:130" ht="45">
      <c r="A78" s="229">
        <v>69</v>
      </c>
      <c r="B78" s="592"/>
      <c r="C78" s="609"/>
      <c r="D78" s="727"/>
      <c r="E78" s="727"/>
      <c r="F78" s="729" t="s">
        <v>147</v>
      </c>
      <c r="G78" s="727"/>
      <c r="H78" s="727"/>
      <c r="I78" s="346"/>
      <c r="J78" s="731"/>
      <c r="K78" s="731"/>
      <c r="L78" s="587"/>
      <c r="M78" s="755"/>
      <c r="N78" s="753"/>
      <c r="O78" s="13"/>
      <c r="P78" s="727"/>
      <c r="Q78" s="346"/>
      <c r="R78" s="346"/>
      <c r="S78" s="349">
        <f t="shared" si="0"/>
        <v>0</v>
      </c>
      <c r="T78" s="616"/>
      <c r="U78" s="591"/>
      <c r="V78" s="886"/>
      <c r="W78" s="734"/>
      <c r="X78" s="734"/>
      <c r="Y78" s="887" t="s">
        <v>512</v>
      </c>
      <c r="Z78" s="591"/>
      <c r="AA78" s="591"/>
      <c r="AB78" s="888">
        <f>+Z78*383.5/1000</f>
        <v>0</v>
      </c>
      <c r="AC78" s="349"/>
      <c r="AD78" s="349"/>
      <c r="AE78" s="349"/>
      <c r="AF78" s="349">
        <f t="shared" si="40"/>
        <v>0</v>
      </c>
      <c r="AG78" s="13"/>
      <c r="AH78" s="13"/>
      <c r="AI78" s="13"/>
      <c r="AJ78" s="626"/>
      <c r="AK78" s="626">
        <f t="shared" si="41"/>
        <v>0</v>
      </c>
      <c r="AL78" s="628"/>
      <c r="AM78" s="627"/>
      <c r="AN78" s="800"/>
      <c r="AO78" s="811"/>
      <c r="AP78" s="811"/>
      <c r="AQ78" s="811"/>
      <c r="AR78" s="812" t="s">
        <v>148</v>
      </c>
      <c r="AS78" s="813">
        <f>+AS77+AS71+AS62+AS56+AS45+AS40+AS29+AS18</f>
        <v>444</v>
      </c>
      <c r="AT78" s="813">
        <f>+AT77+AT71+AT62+AT56+AT45+AT40+AT29+AT18</f>
        <v>22.408000000000001</v>
      </c>
      <c r="AU78" s="813">
        <f>+AU77+AU71+AU62+AU56+AU45+AU40+AU29+AU18</f>
        <v>0</v>
      </c>
      <c r="AV78" s="813">
        <f>+AV77+AV71+AV62+AV56+AV45+AV40+AV29+AV18</f>
        <v>2911215.26</v>
      </c>
      <c r="AW78" s="681"/>
      <c r="AX78" s="13">
        <f t="shared" si="39"/>
        <v>0</v>
      </c>
      <c r="AY78" s="349"/>
      <c r="AZ78" s="349"/>
      <c r="BA78" s="349"/>
      <c r="BB78" s="675">
        <f t="shared" si="5"/>
        <v>2911215</v>
      </c>
      <c r="BD78" s="684"/>
      <c r="BE78" s="684"/>
      <c r="BF78" s="684"/>
      <c r="BG78" s="684"/>
      <c r="BH78" s="684"/>
      <c r="BI78" s="704"/>
      <c r="BJ78" s="684"/>
      <c r="BK78" s="221">
        <f t="shared" si="36"/>
        <v>0</v>
      </c>
      <c r="BL78" s="684"/>
      <c r="BM78" s="684"/>
      <c r="BN78" s="684"/>
      <c r="BO78" s="684"/>
      <c r="BP78" s="342"/>
      <c r="BQ78" s="349">
        <f t="shared" si="37"/>
        <v>0</v>
      </c>
      <c r="BS78" s="684"/>
      <c r="BT78" s="684"/>
      <c r="BU78" s="684"/>
      <c r="BV78" s="684"/>
      <c r="BW78" s="219"/>
      <c r="BX78" s="13">
        <v>200</v>
      </c>
      <c r="BY78" s="342"/>
      <c r="BZ78" s="342"/>
      <c r="CA78" s="342"/>
      <c r="CB78" s="342"/>
      <c r="CC78" s="342">
        <f t="shared" si="29"/>
        <v>0</v>
      </c>
      <c r="CD78" s="684"/>
      <c r="CE78" s="684"/>
      <c r="CF78" s="684"/>
      <c r="CH78" s="684"/>
      <c r="CI78" s="684"/>
      <c r="CJ78" s="684"/>
      <c r="CK78" s="684"/>
      <c r="CL78" s="684"/>
      <c r="CM78" s="13">
        <v>750</v>
      </c>
      <c r="CN78" s="342"/>
      <c r="CO78" s="342"/>
      <c r="CP78" s="342"/>
      <c r="CQ78" s="342"/>
      <c r="CR78" s="342">
        <f t="shared" si="6"/>
        <v>0</v>
      </c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J78" s="671">
        <f t="shared" si="7"/>
        <v>0</v>
      </c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Z78" s="671">
        <f t="shared" ref="DZ78:DZ92" si="42">SUM(DT78:DX78)</f>
        <v>0</v>
      </c>
    </row>
    <row r="79" spans="1:130" ht="45">
      <c r="A79" s="226">
        <v>70</v>
      </c>
      <c r="B79" s="124"/>
      <c r="C79" s="126"/>
      <c r="D79" s="126"/>
      <c r="E79" s="727"/>
      <c r="F79" s="729" t="s">
        <v>147</v>
      </c>
      <c r="G79" s="727"/>
      <c r="H79" s="727"/>
      <c r="I79" s="346"/>
      <c r="J79" s="731"/>
      <c r="K79" s="731"/>
      <c r="L79" s="587"/>
      <c r="M79" s="755"/>
      <c r="N79" s="753"/>
      <c r="O79" s="13"/>
      <c r="P79" s="727"/>
      <c r="Q79" s="346"/>
      <c r="R79" s="346"/>
      <c r="S79" s="349">
        <f t="shared" si="0"/>
        <v>0</v>
      </c>
      <c r="T79" s="616"/>
      <c r="U79" s="591"/>
      <c r="V79" s="886"/>
      <c r="W79" s="734"/>
      <c r="X79" s="734"/>
      <c r="Y79" s="887" t="s">
        <v>512</v>
      </c>
      <c r="Z79" s="591"/>
      <c r="AA79" s="591"/>
      <c r="AB79" s="888">
        <f t="shared" ref="AB79:AB93" si="43">+Z79*383.5/1000</f>
        <v>0</v>
      </c>
      <c r="AC79" s="349"/>
      <c r="AD79" s="349"/>
      <c r="AE79" s="349"/>
      <c r="AF79" s="349">
        <f t="shared" si="40"/>
        <v>0</v>
      </c>
      <c r="AG79" s="13"/>
      <c r="AH79" s="13"/>
      <c r="AI79" s="13"/>
      <c r="AJ79" s="626"/>
      <c r="AK79" s="626">
        <f t="shared" si="41"/>
        <v>0</v>
      </c>
      <c r="AL79" s="628"/>
      <c r="AM79" s="628">
        <v>66</v>
      </c>
      <c r="AN79" s="801"/>
      <c r="AO79" s="639"/>
      <c r="AP79" s="639"/>
      <c r="AQ79" s="639"/>
      <c r="AR79" s="578" t="s">
        <v>149</v>
      </c>
      <c r="AS79" s="814"/>
      <c r="AT79" s="814"/>
      <c r="AU79" s="814"/>
      <c r="AV79" s="669"/>
      <c r="AW79" s="681"/>
      <c r="AX79" s="13">
        <f t="shared" si="39"/>
        <v>0</v>
      </c>
      <c r="AY79" s="349"/>
      <c r="AZ79" s="349"/>
      <c r="BA79" s="349"/>
      <c r="BB79" s="701">
        <f t="shared" ref="BB79:BB93" si="44">SUM(AV79:BA79)</f>
        <v>0</v>
      </c>
      <c r="BD79" s="684"/>
      <c r="BE79" s="684"/>
      <c r="BF79" s="684"/>
      <c r="BG79" s="684"/>
      <c r="BH79" s="684"/>
      <c r="BI79" s="704"/>
      <c r="BJ79" s="684"/>
      <c r="BK79" s="221">
        <f t="shared" si="36"/>
        <v>0</v>
      </c>
      <c r="BL79" s="684"/>
      <c r="BM79" s="684"/>
      <c r="BN79" s="684"/>
      <c r="BO79" s="684"/>
      <c r="BP79" s="342"/>
      <c r="BQ79" s="349">
        <f t="shared" si="37"/>
        <v>0</v>
      </c>
      <c r="BS79" s="684"/>
      <c r="BT79" s="684"/>
      <c r="BU79" s="684"/>
      <c r="BV79" s="684"/>
      <c r="BW79" s="219"/>
      <c r="BX79" s="13">
        <v>200</v>
      </c>
      <c r="BY79" s="342"/>
      <c r="BZ79" s="342"/>
      <c r="CA79" s="342"/>
      <c r="CB79" s="342"/>
      <c r="CC79" s="342">
        <f t="shared" si="29"/>
        <v>0</v>
      </c>
      <c r="CD79" s="684"/>
      <c r="CE79" s="684"/>
      <c r="CF79" s="684"/>
      <c r="CH79" s="684"/>
      <c r="CI79" s="684"/>
      <c r="CJ79" s="684"/>
      <c r="CK79" s="684"/>
      <c r="CL79" s="684"/>
      <c r="CM79" s="13">
        <v>750</v>
      </c>
      <c r="CN79" s="342"/>
      <c r="CO79" s="342"/>
      <c r="CP79" s="342"/>
      <c r="CQ79" s="342"/>
      <c r="CR79" s="342">
        <f t="shared" si="6"/>
        <v>0</v>
      </c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J79" s="671">
        <f t="shared" si="7"/>
        <v>0</v>
      </c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Z79" s="671">
        <f t="shared" si="42"/>
        <v>0</v>
      </c>
    </row>
    <row r="80" spans="1:130" ht="45">
      <c r="A80" s="229">
        <v>71</v>
      </c>
      <c r="B80" s="590"/>
      <c r="C80" s="349"/>
      <c r="D80" s="349"/>
      <c r="E80" s="727"/>
      <c r="F80" s="729" t="s">
        <v>147</v>
      </c>
      <c r="G80" s="727"/>
      <c r="H80" s="727"/>
      <c r="I80" s="346"/>
      <c r="J80" s="731"/>
      <c r="K80" s="731"/>
      <c r="L80" s="587"/>
      <c r="M80" s="755"/>
      <c r="N80" s="753"/>
      <c r="O80" s="13"/>
      <c r="P80" s="727"/>
      <c r="Q80" s="346"/>
      <c r="R80" s="346"/>
      <c r="S80" s="349">
        <f t="shared" si="0"/>
        <v>0</v>
      </c>
      <c r="T80" s="616"/>
      <c r="U80" s="591"/>
      <c r="V80" s="734"/>
      <c r="W80" s="734"/>
      <c r="X80" s="734"/>
      <c r="Y80" s="887" t="s">
        <v>512</v>
      </c>
      <c r="Z80" s="591"/>
      <c r="AA80" s="591"/>
      <c r="AB80" s="888">
        <f t="shared" si="43"/>
        <v>0</v>
      </c>
      <c r="AC80" s="727"/>
      <c r="AD80" s="727"/>
      <c r="AE80" s="727"/>
      <c r="AF80" s="349">
        <f t="shared" si="40"/>
        <v>0</v>
      </c>
      <c r="AG80" s="727"/>
      <c r="AH80" s="727"/>
      <c r="AI80" s="727"/>
      <c r="AJ80" s="621"/>
      <c r="AK80" s="626">
        <f t="shared" si="41"/>
        <v>0</v>
      </c>
      <c r="AL80" s="628"/>
      <c r="AM80" s="628">
        <v>67</v>
      </c>
      <c r="AN80" s="11"/>
      <c r="AO80" s="11"/>
      <c r="AP80" s="11"/>
      <c r="AQ80" s="11"/>
      <c r="AR80" s="13" t="s">
        <v>149</v>
      </c>
      <c r="AS80" s="11"/>
      <c r="AT80" s="11"/>
      <c r="AU80" s="11"/>
      <c r="AV80" s="656"/>
      <c r="AW80" s="681"/>
      <c r="AX80" s="13">
        <f t="shared" si="39"/>
        <v>0</v>
      </c>
      <c r="AY80" s="349"/>
      <c r="AZ80" s="349"/>
      <c r="BA80" s="349"/>
      <c r="BB80" s="701">
        <f t="shared" si="44"/>
        <v>0</v>
      </c>
      <c r="BD80" s="684"/>
      <c r="BE80" s="684"/>
      <c r="BF80" s="684"/>
      <c r="BG80" s="684"/>
      <c r="BH80" s="684"/>
      <c r="BI80" s="704"/>
      <c r="BJ80" s="684"/>
      <c r="BK80" s="221">
        <f t="shared" si="36"/>
        <v>0</v>
      </c>
      <c r="BL80" s="684"/>
      <c r="BM80" s="684"/>
      <c r="BN80" s="684"/>
      <c r="BO80" s="684"/>
      <c r="BP80" s="342"/>
      <c r="BQ80" s="349">
        <f t="shared" si="37"/>
        <v>0</v>
      </c>
      <c r="BS80" s="684"/>
      <c r="BT80" s="684"/>
      <c r="BU80" s="684"/>
      <c r="BV80" s="684"/>
      <c r="BW80" s="219"/>
      <c r="BX80" s="13">
        <v>200</v>
      </c>
      <c r="BY80" s="342"/>
      <c r="BZ80" s="342"/>
      <c r="CA80" s="342"/>
      <c r="CB80" s="342"/>
      <c r="CC80" s="342">
        <f t="shared" si="29"/>
        <v>0</v>
      </c>
      <c r="CD80" s="684"/>
      <c r="CE80" s="684"/>
      <c r="CF80" s="684"/>
      <c r="CH80" s="684"/>
      <c r="CI80" s="684"/>
      <c r="CJ80" s="684"/>
      <c r="CK80" s="684"/>
      <c r="CL80" s="684"/>
      <c r="CM80" s="13">
        <v>750</v>
      </c>
      <c r="CN80" s="342"/>
      <c r="CO80" s="342"/>
      <c r="CP80" s="342"/>
      <c r="CQ80" s="342"/>
      <c r="CR80" s="342">
        <f t="shared" si="6"/>
        <v>0</v>
      </c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J80" s="671">
        <f t="shared" si="7"/>
        <v>0</v>
      </c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Z80" s="671">
        <f t="shared" si="42"/>
        <v>0</v>
      </c>
    </row>
    <row r="81" spans="1:130" ht="45">
      <c r="A81" s="226">
        <v>72</v>
      </c>
      <c r="B81" s="963" t="s">
        <v>10</v>
      </c>
      <c r="C81" s="964"/>
      <c r="D81" s="964"/>
      <c r="E81" s="964"/>
      <c r="F81" s="965"/>
      <c r="G81" s="588">
        <f>SUM(G76:G80)</f>
        <v>0</v>
      </c>
      <c r="H81" s="588">
        <f>SUM(H76:H80)</f>
        <v>0</v>
      </c>
      <c r="I81" s="588"/>
      <c r="J81" s="757"/>
      <c r="K81" s="757"/>
      <c r="L81" s="602"/>
      <c r="M81" s="604">
        <f>SUM(M76:M80)</f>
        <v>0</v>
      </c>
      <c r="N81" s="758"/>
      <c r="O81" s="13"/>
      <c r="P81" s="727"/>
      <c r="Q81" s="346"/>
      <c r="R81" s="346"/>
      <c r="S81" s="349">
        <f t="shared" si="0"/>
        <v>0</v>
      </c>
      <c r="T81" s="616"/>
      <c r="U81" s="591"/>
      <c r="V81" s="734"/>
      <c r="W81" s="734"/>
      <c r="X81" s="734"/>
      <c r="Y81" s="887" t="s">
        <v>512</v>
      </c>
      <c r="Z81" s="734"/>
      <c r="AA81" s="734"/>
      <c r="AB81" s="888">
        <f t="shared" si="43"/>
        <v>0</v>
      </c>
      <c r="AC81" s="727"/>
      <c r="AD81" s="727"/>
      <c r="AE81" s="727"/>
      <c r="AF81" s="349">
        <f t="shared" si="40"/>
        <v>0</v>
      </c>
      <c r="AG81" s="727"/>
      <c r="AH81" s="727"/>
      <c r="AI81" s="727"/>
      <c r="AJ81" s="621"/>
      <c r="AK81" s="626">
        <f t="shared" si="41"/>
        <v>0</v>
      </c>
      <c r="AL81" s="628"/>
      <c r="AM81" s="628">
        <v>68</v>
      </c>
      <c r="AN81" s="802"/>
      <c r="AO81" s="126"/>
      <c r="AP81" s="342"/>
      <c r="AQ81" s="342"/>
      <c r="AR81" s="13" t="s">
        <v>149</v>
      </c>
      <c r="AS81" s="11"/>
      <c r="AT81" s="654"/>
      <c r="AU81" s="219"/>
      <c r="AV81" s="651"/>
      <c r="AW81" s="681"/>
      <c r="AX81" s="13">
        <f t="shared" si="39"/>
        <v>0</v>
      </c>
      <c r="AY81" s="349"/>
      <c r="AZ81" s="349"/>
      <c r="BA81" s="349"/>
      <c r="BB81" s="701">
        <f t="shared" si="44"/>
        <v>0</v>
      </c>
      <c r="BD81" s="684"/>
      <c r="BE81" s="684"/>
      <c r="BF81" s="684"/>
      <c r="BG81" s="684"/>
      <c r="BH81" s="684"/>
      <c r="BI81" s="704"/>
      <c r="BJ81" s="684"/>
      <c r="BK81" s="221">
        <f t="shared" si="36"/>
        <v>0</v>
      </c>
      <c r="BL81" s="684"/>
      <c r="BM81" s="684"/>
      <c r="BN81" s="684"/>
      <c r="BO81" s="684"/>
      <c r="BP81" s="342"/>
      <c r="BQ81" s="349">
        <f t="shared" si="37"/>
        <v>0</v>
      </c>
      <c r="BS81" s="684"/>
      <c r="BT81" s="684"/>
      <c r="BU81" s="684"/>
      <c r="BV81" s="684"/>
      <c r="BW81" s="219"/>
      <c r="BX81" s="342"/>
      <c r="BY81" s="342"/>
      <c r="BZ81" s="342"/>
      <c r="CA81" s="342"/>
      <c r="CB81" s="342"/>
      <c r="CC81" s="342"/>
      <c r="CD81" s="684"/>
      <c r="CE81" s="684"/>
      <c r="CF81" s="684"/>
      <c r="CH81" s="684"/>
      <c r="CI81" s="684"/>
      <c r="CJ81" s="684"/>
      <c r="CK81" s="684"/>
      <c r="CL81" s="684"/>
      <c r="CM81" s="13">
        <v>750</v>
      </c>
      <c r="CN81" s="342"/>
      <c r="CO81" s="342"/>
      <c r="CP81" s="342"/>
      <c r="CQ81" s="342"/>
      <c r="CR81" s="342">
        <f t="shared" si="6"/>
        <v>0</v>
      </c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J81" s="671">
        <f t="shared" si="7"/>
        <v>0</v>
      </c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Z81" s="671">
        <f t="shared" si="42"/>
        <v>0</v>
      </c>
    </row>
    <row r="82" spans="1:130" ht="45">
      <c r="A82" s="13">
        <v>73</v>
      </c>
      <c r="B82" s="609"/>
      <c r="C82" s="721"/>
      <c r="D82" s="609"/>
      <c r="E82" s="721"/>
      <c r="F82" s="730"/>
      <c r="G82" s="721"/>
      <c r="H82" s="721"/>
      <c r="I82" s="718"/>
      <c r="J82" s="759"/>
      <c r="K82" s="760"/>
      <c r="L82" s="759"/>
      <c r="M82" s="761"/>
      <c r="N82" s="727"/>
      <c r="O82" s="13"/>
      <c r="P82" s="727"/>
      <c r="Q82" s="346"/>
      <c r="R82" s="346"/>
      <c r="S82" s="349">
        <f t="shared" si="0"/>
        <v>0</v>
      </c>
      <c r="T82" s="616"/>
      <c r="U82" s="591"/>
      <c r="V82" s="734"/>
      <c r="W82" s="734"/>
      <c r="X82" s="734"/>
      <c r="Y82" s="887" t="s">
        <v>512</v>
      </c>
      <c r="Z82" s="734"/>
      <c r="AA82" s="734"/>
      <c r="AB82" s="888">
        <f t="shared" si="43"/>
        <v>0</v>
      </c>
      <c r="AC82" s="727"/>
      <c r="AD82" s="727"/>
      <c r="AE82" s="727"/>
      <c r="AF82" s="349">
        <f t="shared" si="40"/>
        <v>0</v>
      </c>
      <c r="AG82" s="727"/>
      <c r="AH82" s="727"/>
      <c r="AI82" s="727"/>
      <c r="AJ82" s="621"/>
      <c r="AK82" s="626">
        <f t="shared" si="41"/>
        <v>0</v>
      </c>
      <c r="AL82" s="628"/>
      <c r="AM82" s="628">
        <v>69</v>
      </c>
      <c r="AN82" s="802"/>
      <c r="AO82" s="342"/>
      <c r="AP82" s="342"/>
      <c r="AQ82" s="342"/>
      <c r="AR82" s="13" t="s">
        <v>149</v>
      </c>
      <c r="AS82" s="11"/>
      <c r="AT82" s="654"/>
      <c r="AU82" s="219"/>
      <c r="AV82" s="651"/>
      <c r="AW82" s="681"/>
      <c r="AX82" s="13">
        <f t="shared" si="39"/>
        <v>0</v>
      </c>
      <c r="AY82" s="349"/>
      <c r="AZ82" s="349"/>
      <c r="BA82" s="349"/>
      <c r="BB82" s="701">
        <f t="shared" si="44"/>
        <v>0</v>
      </c>
      <c r="BD82" s="684"/>
      <c r="BE82" s="684"/>
      <c r="BF82" s="684"/>
      <c r="BG82" s="684"/>
      <c r="BH82" s="684"/>
      <c r="BI82" s="704"/>
      <c r="BJ82" s="684"/>
      <c r="BK82" s="221">
        <f t="shared" si="36"/>
        <v>0</v>
      </c>
      <c r="BL82" s="684"/>
      <c r="BM82" s="684"/>
      <c r="BN82" s="684"/>
      <c r="BO82" s="684"/>
      <c r="BP82" s="342"/>
      <c r="BQ82" s="349">
        <f t="shared" si="37"/>
        <v>0</v>
      </c>
      <c r="BS82" s="684"/>
      <c r="BT82" s="684"/>
      <c r="BU82" s="684"/>
      <c r="BV82" s="684"/>
      <c r="BW82" s="219"/>
      <c r="BX82" s="342"/>
      <c r="BY82" s="342"/>
      <c r="BZ82" s="342"/>
      <c r="CA82" s="342"/>
      <c r="CB82" s="342"/>
      <c r="CC82" s="342"/>
      <c r="CD82" s="684"/>
      <c r="CE82" s="684"/>
      <c r="CF82" s="684"/>
      <c r="CH82" s="684"/>
      <c r="CI82" s="684"/>
      <c r="CJ82" s="684"/>
      <c r="CK82" s="684"/>
      <c r="CL82" s="684"/>
      <c r="CM82" s="13">
        <v>750</v>
      </c>
      <c r="CN82" s="342"/>
      <c r="CO82" s="342"/>
      <c r="CP82" s="342"/>
      <c r="CQ82" s="342"/>
      <c r="CR82" s="342">
        <f t="shared" si="6"/>
        <v>0</v>
      </c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J82" s="671">
        <f t="shared" si="7"/>
        <v>0</v>
      </c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Z82" s="671">
        <f t="shared" si="42"/>
        <v>0</v>
      </c>
    </row>
    <row r="83" spans="1:130" ht="45">
      <c r="A83" s="216">
        <v>74</v>
      </c>
      <c r="B83" s="346"/>
      <c r="C83" s="727"/>
      <c r="D83" s="727"/>
      <c r="E83" s="727"/>
      <c r="F83" s="727"/>
      <c r="G83" s="727"/>
      <c r="H83" s="727"/>
      <c r="I83" s="346"/>
      <c r="J83" s="587"/>
      <c r="K83" s="731"/>
      <c r="L83" s="587"/>
      <c r="M83" s="727"/>
      <c r="N83" s="727"/>
      <c r="O83" s="13"/>
      <c r="P83" s="727"/>
      <c r="Q83" s="346"/>
      <c r="R83" s="346"/>
      <c r="S83" s="349">
        <f t="shared" si="0"/>
        <v>0</v>
      </c>
      <c r="T83" s="616"/>
      <c r="U83" s="591"/>
      <c r="V83" s="734"/>
      <c r="W83" s="734"/>
      <c r="X83" s="734"/>
      <c r="Y83" s="887" t="s">
        <v>512</v>
      </c>
      <c r="Z83" s="734"/>
      <c r="AA83" s="734"/>
      <c r="AB83" s="888">
        <f t="shared" si="43"/>
        <v>0</v>
      </c>
      <c r="AC83" s="727"/>
      <c r="AD83" s="727"/>
      <c r="AE83" s="727"/>
      <c r="AF83" s="349">
        <f t="shared" si="40"/>
        <v>0</v>
      </c>
      <c r="AG83" s="727"/>
      <c r="AH83" s="727"/>
      <c r="AI83" s="727"/>
      <c r="AJ83" s="621"/>
      <c r="AK83" s="626">
        <f t="shared" si="41"/>
        <v>0</v>
      </c>
      <c r="AL83" s="628"/>
      <c r="AM83" s="628">
        <v>70</v>
      </c>
      <c r="AN83" s="802"/>
      <c r="AO83" s="342"/>
      <c r="AP83" s="342"/>
      <c r="AQ83" s="342"/>
      <c r="AR83" s="13" t="s">
        <v>149</v>
      </c>
      <c r="AS83" s="11"/>
      <c r="AT83" s="654"/>
      <c r="AU83" s="219"/>
      <c r="AV83" s="651"/>
      <c r="AW83" s="681"/>
      <c r="AX83" s="13">
        <f t="shared" si="39"/>
        <v>0</v>
      </c>
      <c r="AY83" s="349"/>
      <c r="AZ83" s="349"/>
      <c r="BA83" s="349"/>
      <c r="BB83" s="701">
        <f t="shared" si="44"/>
        <v>0</v>
      </c>
      <c r="BD83" s="684"/>
      <c r="BE83" s="684"/>
      <c r="BF83" s="684"/>
      <c r="BG83" s="684"/>
      <c r="BH83" s="684"/>
      <c r="BI83" s="704"/>
      <c r="BJ83" s="684"/>
      <c r="BK83" s="221">
        <f t="shared" si="36"/>
        <v>0</v>
      </c>
      <c r="BL83" s="684"/>
      <c r="BM83" s="684"/>
      <c r="BN83" s="684"/>
      <c r="BO83" s="684"/>
      <c r="BP83" s="342"/>
      <c r="BQ83" s="349">
        <f t="shared" si="37"/>
        <v>0</v>
      </c>
      <c r="BS83" s="684"/>
      <c r="BT83" s="684"/>
      <c r="BU83" s="684"/>
      <c r="BV83" s="684"/>
      <c r="BW83" s="825"/>
      <c r="BX83" s="342"/>
      <c r="BY83" s="342"/>
      <c r="BZ83" s="342"/>
      <c r="CA83" s="342"/>
      <c r="CB83" s="342"/>
      <c r="CC83" s="342"/>
      <c r="CD83" s="684"/>
      <c r="CE83" s="684"/>
      <c r="CF83" s="684"/>
      <c r="CH83" s="684"/>
      <c r="CI83" s="684"/>
      <c r="CJ83" s="684"/>
      <c r="CK83" s="684"/>
      <c r="CL83" s="684"/>
      <c r="CM83" s="13">
        <v>750</v>
      </c>
      <c r="CN83" s="342"/>
      <c r="CO83" s="342"/>
      <c r="CP83" s="342"/>
      <c r="CQ83" s="342"/>
      <c r="CR83" s="342">
        <f t="shared" si="6"/>
        <v>0</v>
      </c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J83" s="671">
        <f t="shared" si="7"/>
        <v>0</v>
      </c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Z83" s="671">
        <f t="shared" si="42"/>
        <v>0</v>
      </c>
    </row>
    <row r="84" spans="1:130" ht="45">
      <c r="A84" s="13">
        <v>75</v>
      </c>
      <c r="B84" s="346"/>
      <c r="C84" s="727"/>
      <c r="D84" s="727"/>
      <c r="E84" s="727"/>
      <c r="F84" s="727"/>
      <c r="G84" s="727"/>
      <c r="H84" s="727"/>
      <c r="I84" s="346"/>
      <c r="J84" s="587"/>
      <c r="K84" s="731"/>
      <c r="L84" s="587"/>
      <c r="M84" s="727"/>
      <c r="N84" s="727"/>
      <c r="O84" s="13"/>
      <c r="P84" s="727"/>
      <c r="Q84" s="346"/>
      <c r="R84" s="346"/>
      <c r="S84" s="349">
        <f t="shared" si="0"/>
        <v>0</v>
      </c>
      <c r="T84" s="616"/>
      <c r="U84" s="591"/>
      <c r="V84" s="734"/>
      <c r="W84" s="734"/>
      <c r="X84" s="734"/>
      <c r="Y84" s="887" t="s">
        <v>512</v>
      </c>
      <c r="Z84" s="734"/>
      <c r="AA84" s="734"/>
      <c r="AB84" s="888">
        <f t="shared" si="43"/>
        <v>0</v>
      </c>
      <c r="AC84" s="727"/>
      <c r="AD84" s="727"/>
      <c r="AE84" s="727"/>
      <c r="AF84" s="349">
        <f t="shared" si="40"/>
        <v>0</v>
      </c>
      <c r="AG84" s="727"/>
      <c r="AH84" s="727"/>
      <c r="AI84" s="727"/>
      <c r="AJ84" s="621"/>
      <c r="AK84" s="626">
        <f t="shared" si="41"/>
        <v>0</v>
      </c>
      <c r="AL84" s="628"/>
      <c r="AM84" s="628">
        <v>71</v>
      </c>
      <c r="AN84" s="803"/>
      <c r="AO84" s="684"/>
      <c r="AP84" s="684"/>
      <c r="AQ84" s="684"/>
      <c r="AR84" s="13" t="s">
        <v>149</v>
      </c>
      <c r="AS84" s="126"/>
      <c r="AT84" s="126"/>
      <c r="AU84" s="126"/>
      <c r="AV84" s="651"/>
      <c r="AW84" s="681"/>
      <c r="AX84" s="13">
        <f t="shared" si="39"/>
        <v>0</v>
      </c>
      <c r="AY84" s="695"/>
      <c r="AZ84" s="695"/>
      <c r="BA84" s="342"/>
      <c r="BB84" s="701">
        <f t="shared" si="44"/>
        <v>0</v>
      </c>
      <c r="BD84" s="684"/>
      <c r="BE84" s="684"/>
      <c r="BF84" s="684"/>
      <c r="BG84" s="684"/>
      <c r="BH84" s="684"/>
      <c r="BI84" s="704"/>
      <c r="BJ84" s="684"/>
      <c r="BK84" s="221">
        <f t="shared" si="36"/>
        <v>0</v>
      </c>
      <c r="BL84" s="684"/>
      <c r="BM84" s="684"/>
      <c r="BN84" s="684"/>
      <c r="BO84" s="684"/>
      <c r="BP84" s="342"/>
      <c r="BQ84" s="349">
        <f t="shared" si="37"/>
        <v>0</v>
      </c>
      <c r="BS84" s="684"/>
      <c r="BT84" s="684"/>
      <c r="BU84" s="684"/>
      <c r="BV84" s="684"/>
      <c r="BW84" s="825"/>
      <c r="BX84" s="342"/>
      <c r="BY84" s="342"/>
      <c r="BZ84" s="342"/>
      <c r="CA84" s="342"/>
      <c r="CB84" s="342"/>
      <c r="CC84" s="342"/>
      <c r="CD84" s="684"/>
      <c r="CE84" s="684"/>
      <c r="CF84" s="684"/>
      <c r="CH84" s="684"/>
      <c r="CI84" s="684"/>
      <c r="CJ84" s="684"/>
      <c r="CK84" s="684"/>
      <c r="CL84" s="684"/>
      <c r="CM84" s="13">
        <v>750</v>
      </c>
      <c r="CN84" s="342"/>
      <c r="CO84" s="342"/>
      <c r="CP84" s="342"/>
      <c r="CQ84" s="342"/>
      <c r="CR84" s="342">
        <f t="shared" si="6"/>
        <v>0</v>
      </c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J84" s="671">
        <f t="shared" si="7"/>
        <v>0</v>
      </c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Z84" s="671">
        <f t="shared" si="42"/>
        <v>0</v>
      </c>
    </row>
    <row r="85" spans="1:130" ht="45">
      <c r="A85" s="216">
        <v>76</v>
      </c>
      <c r="E85" s="729"/>
      <c r="F85" s="729"/>
      <c r="G85" s="727"/>
      <c r="H85" s="731"/>
      <c r="I85" s="346"/>
      <c r="J85" s="587"/>
      <c r="K85" s="731"/>
      <c r="L85" s="587"/>
      <c r="M85" s="727"/>
      <c r="N85" s="727"/>
      <c r="O85" s="13"/>
      <c r="P85" s="727"/>
      <c r="Q85" s="346"/>
      <c r="R85" s="346"/>
      <c r="S85" s="349">
        <f t="shared" si="0"/>
        <v>0</v>
      </c>
      <c r="T85" s="616"/>
      <c r="U85" s="591"/>
      <c r="V85" s="734"/>
      <c r="W85" s="734"/>
      <c r="X85" s="734"/>
      <c r="Y85" s="887" t="s">
        <v>512</v>
      </c>
      <c r="Z85" s="734"/>
      <c r="AA85" s="734"/>
      <c r="AB85" s="888">
        <f t="shared" si="43"/>
        <v>0</v>
      </c>
      <c r="AC85" s="727"/>
      <c r="AD85" s="727"/>
      <c r="AE85" s="727"/>
      <c r="AF85" s="349">
        <f t="shared" si="40"/>
        <v>0</v>
      </c>
      <c r="AG85" s="727"/>
      <c r="AH85" s="727"/>
      <c r="AI85" s="727"/>
      <c r="AJ85" s="621"/>
      <c r="AK85" s="626">
        <f t="shared" si="41"/>
        <v>0</v>
      </c>
      <c r="AL85" s="628"/>
      <c r="AM85" s="628">
        <v>72</v>
      </c>
      <c r="AN85" s="803"/>
      <c r="AO85" s="684"/>
      <c r="AP85" s="684"/>
      <c r="AQ85" s="684"/>
      <c r="AR85" s="13" t="s">
        <v>149</v>
      </c>
      <c r="AS85" s="672"/>
      <c r="AT85" s="11"/>
      <c r="AU85" s="11"/>
      <c r="AV85" s="651"/>
      <c r="AW85" s="681"/>
      <c r="AX85" s="13">
        <f t="shared" si="39"/>
        <v>0</v>
      </c>
      <c r="AY85" s="695"/>
      <c r="AZ85" s="695"/>
      <c r="BA85" s="342"/>
      <c r="BB85" s="701">
        <f t="shared" si="44"/>
        <v>0</v>
      </c>
      <c r="BD85" s="684"/>
      <c r="BE85" s="684"/>
      <c r="BF85" s="684"/>
      <c r="BG85" s="684"/>
      <c r="BH85" s="684"/>
      <c r="BI85" s="704"/>
      <c r="BJ85" s="684"/>
      <c r="BK85" s="221">
        <f t="shared" si="36"/>
        <v>0</v>
      </c>
      <c r="BL85" s="684"/>
      <c r="BM85" s="684"/>
      <c r="BN85" s="684"/>
      <c r="BO85" s="684"/>
      <c r="BP85" s="342"/>
      <c r="BQ85" s="349">
        <f t="shared" si="37"/>
        <v>0</v>
      </c>
      <c r="BS85" s="684"/>
      <c r="BT85" s="684"/>
      <c r="BU85" s="684"/>
      <c r="BV85" s="684"/>
      <c r="BW85" s="825"/>
      <c r="BX85" s="342"/>
      <c r="BY85" s="342"/>
      <c r="BZ85" s="342"/>
      <c r="CA85" s="342"/>
      <c r="CB85" s="342"/>
      <c r="CC85" s="342"/>
      <c r="CD85" s="684"/>
      <c r="CE85" s="684"/>
      <c r="CF85" s="684"/>
      <c r="CH85" s="684"/>
      <c r="CI85" s="684"/>
      <c r="CJ85" s="684"/>
      <c r="CK85" s="684"/>
      <c r="CL85" s="684"/>
      <c r="CM85" s="13">
        <v>750</v>
      </c>
      <c r="CN85" s="342"/>
      <c r="CO85" s="342"/>
      <c r="CP85" s="342"/>
      <c r="CQ85" s="342"/>
      <c r="CR85" s="342">
        <f t="shared" si="6"/>
        <v>0</v>
      </c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J85" s="671">
        <f t="shared" si="7"/>
        <v>0</v>
      </c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Z85" s="671">
        <f t="shared" si="42"/>
        <v>0</v>
      </c>
    </row>
    <row r="86" spans="1:130" ht="45">
      <c r="A86" s="13">
        <v>77</v>
      </c>
      <c r="B86" s="346"/>
      <c r="C86" s="727"/>
      <c r="D86" s="727"/>
      <c r="E86" s="727"/>
      <c r="F86" s="729"/>
      <c r="G86" s="727"/>
      <c r="H86" s="727"/>
      <c r="I86" s="346"/>
      <c r="J86" s="587"/>
      <c r="K86" s="731"/>
      <c r="L86" s="587"/>
      <c r="M86" s="727"/>
      <c r="N86" s="727"/>
      <c r="O86" s="13"/>
      <c r="P86" s="727"/>
      <c r="Q86" s="346"/>
      <c r="R86" s="346"/>
      <c r="S86" s="349">
        <f t="shared" si="0"/>
        <v>0</v>
      </c>
      <c r="T86" s="616"/>
      <c r="U86" s="591"/>
      <c r="V86" s="734"/>
      <c r="W86" s="734"/>
      <c r="X86" s="734"/>
      <c r="Y86" s="887" t="s">
        <v>512</v>
      </c>
      <c r="Z86" s="734"/>
      <c r="AA86" s="734"/>
      <c r="AB86" s="888">
        <f t="shared" si="43"/>
        <v>0</v>
      </c>
      <c r="AC86" s="727"/>
      <c r="AD86" s="727"/>
      <c r="AE86" s="727"/>
      <c r="AF86" s="349">
        <f t="shared" si="40"/>
        <v>0</v>
      </c>
      <c r="AG86" s="727"/>
      <c r="AH86" s="727"/>
      <c r="AI86" s="727"/>
      <c r="AJ86" s="621"/>
      <c r="AK86" s="626">
        <f t="shared" si="41"/>
        <v>0</v>
      </c>
      <c r="AL86" s="628"/>
      <c r="AM86" s="628"/>
      <c r="AN86" s="972" t="s">
        <v>10</v>
      </c>
      <c r="AO86" s="973"/>
      <c r="AP86" s="973"/>
      <c r="AQ86" s="973"/>
      <c r="AR86" s="974"/>
      <c r="AS86" s="657">
        <f>SUM(AS79:AS85)</f>
        <v>0</v>
      </c>
      <c r="AT86" s="657">
        <f>SUM(AT79:AT85)</f>
        <v>0</v>
      </c>
      <c r="AU86" s="657">
        <f>SUM(AU79:AU85)</f>
        <v>0</v>
      </c>
      <c r="AV86" s="657">
        <f>SUM(AV79:AV85)</f>
        <v>0</v>
      </c>
      <c r="AW86" s="681"/>
      <c r="AX86" s="13">
        <f t="shared" si="39"/>
        <v>0</v>
      </c>
      <c r="AY86" s="695"/>
      <c r="AZ86" s="695"/>
      <c r="BA86" s="342"/>
      <c r="BB86" s="701">
        <f t="shared" si="44"/>
        <v>0</v>
      </c>
      <c r="BD86" s="684"/>
      <c r="BE86" s="684"/>
      <c r="BF86" s="684"/>
      <c r="BG86" s="684"/>
      <c r="BH86" s="684"/>
      <c r="BI86" s="704"/>
      <c r="BJ86" s="684"/>
      <c r="BK86" s="221">
        <f t="shared" si="36"/>
        <v>0</v>
      </c>
      <c r="BL86" s="684"/>
      <c r="BM86" s="684"/>
      <c r="BN86" s="684"/>
      <c r="BO86" s="684"/>
      <c r="BP86" s="342"/>
      <c r="BQ86" s="349">
        <f t="shared" si="37"/>
        <v>0</v>
      </c>
      <c r="BS86" s="684"/>
      <c r="BT86" s="684"/>
      <c r="BU86" s="684"/>
      <c r="BV86" s="684"/>
      <c r="BW86" s="825"/>
      <c r="BX86" s="342"/>
      <c r="BY86" s="342"/>
      <c r="BZ86" s="342"/>
      <c r="CA86" s="342"/>
      <c r="CB86" s="342"/>
      <c r="CC86" s="342"/>
      <c r="CD86" s="684"/>
      <c r="CE86" s="684"/>
      <c r="CF86" s="684"/>
      <c r="CH86" s="684"/>
      <c r="CI86" s="684"/>
      <c r="CJ86" s="684"/>
      <c r="CK86" s="684"/>
      <c r="CL86" s="684"/>
      <c r="CM86" s="13">
        <v>750</v>
      </c>
      <c r="CN86" s="342"/>
      <c r="CO86" s="342"/>
      <c r="CP86" s="342"/>
      <c r="CQ86" s="342"/>
      <c r="CR86" s="342">
        <f t="shared" si="6"/>
        <v>0</v>
      </c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J86" s="671">
        <f t="shared" si="7"/>
        <v>0</v>
      </c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Z86" s="671">
        <f t="shared" si="42"/>
        <v>0</v>
      </c>
    </row>
    <row r="87" spans="1:130" ht="45">
      <c r="A87" s="216">
        <v>78</v>
      </c>
      <c r="B87" s="346"/>
      <c r="C87" s="727"/>
      <c r="D87" s="727"/>
      <c r="E87" s="727"/>
      <c r="F87" s="729"/>
      <c r="G87" s="727"/>
      <c r="H87" s="727"/>
      <c r="I87" s="346"/>
      <c r="J87" s="731"/>
      <c r="K87" s="731"/>
      <c r="L87" s="587"/>
      <c r="M87" s="727"/>
      <c r="N87" s="727"/>
      <c r="O87" s="13"/>
      <c r="P87" s="727"/>
      <c r="Q87" s="346"/>
      <c r="R87" s="346"/>
      <c r="S87" s="349">
        <f t="shared" si="0"/>
        <v>0</v>
      </c>
      <c r="T87" s="616"/>
      <c r="U87" s="591"/>
      <c r="V87" s="734"/>
      <c r="W87" s="734"/>
      <c r="X87" s="734"/>
      <c r="Y87" s="887" t="s">
        <v>512</v>
      </c>
      <c r="Z87" s="734"/>
      <c r="AA87" s="734"/>
      <c r="AB87" s="888">
        <f t="shared" si="43"/>
        <v>0</v>
      </c>
      <c r="AC87" s="727"/>
      <c r="AD87" s="727"/>
      <c r="AE87" s="727"/>
      <c r="AF87" s="349">
        <f t="shared" si="40"/>
        <v>0</v>
      </c>
      <c r="AG87" s="727"/>
      <c r="AH87" s="727"/>
      <c r="AI87" s="727"/>
      <c r="AJ87" s="621"/>
      <c r="AK87" s="626">
        <f t="shared" si="41"/>
        <v>0</v>
      </c>
      <c r="AL87" s="628"/>
      <c r="AM87" s="628">
        <v>73</v>
      </c>
      <c r="AN87" s="804"/>
      <c r="AO87" s="804"/>
      <c r="AP87" s="804"/>
      <c r="AQ87" s="804"/>
      <c r="AR87" s="804" t="s">
        <v>150</v>
      </c>
      <c r="AS87" s="12"/>
      <c r="AT87" s="689"/>
      <c r="AU87" s="689"/>
      <c r="AV87" s="699"/>
      <c r="AW87" s="342"/>
      <c r="AX87" s="13">
        <f t="shared" si="39"/>
        <v>0</v>
      </c>
      <c r="AY87" s="695"/>
      <c r="AZ87" s="695"/>
      <c r="BA87" s="342"/>
      <c r="BB87" s="701">
        <f t="shared" si="44"/>
        <v>0</v>
      </c>
      <c r="BD87" s="684"/>
      <c r="BE87" s="684"/>
      <c r="BF87" s="684"/>
      <c r="BG87" s="684"/>
      <c r="BH87" s="684"/>
      <c r="BI87" s="704"/>
      <c r="BJ87" s="684"/>
      <c r="BK87" s="221">
        <f t="shared" si="36"/>
        <v>0</v>
      </c>
      <c r="BL87" s="727"/>
      <c r="BM87" s="727"/>
      <c r="BN87" s="727"/>
      <c r="BO87" s="727"/>
      <c r="BP87" s="346"/>
      <c r="BQ87" s="349">
        <f t="shared" si="37"/>
        <v>0</v>
      </c>
      <c r="BS87" s="684"/>
      <c r="BT87" s="684"/>
      <c r="BU87" s="684"/>
      <c r="BV87" s="684"/>
      <c r="BW87" s="825"/>
      <c r="BX87" s="342">
        <v>200</v>
      </c>
      <c r="BY87" s="342"/>
      <c r="BZ87" s="342"/>
      <c r="CA87" s="342"/>
      <c r="CB87" s="342"/>
      <c r="CC87" s="342">
        <f t="shared" si="29"/>
        <v>0</v>
      </c>
      <c r="CD87" s="684"/>
      <c r="CE87" s="684"/>
      <c r="CF87" s="684"/>
      <c r="CH87" s="684"/>
      <c r="CI87" s="684"/>
      <c r="CJ87" s="684"/>
      <c r="CK87" s="684"/>
      <c r="CL87" s="684"/>
      <c r="CM87" s="13">
        <v>750</v>
      </c>
      <c r="CN87" s="342"/>
      <c r="CO87" s="342"/>
      <c r="CP87" s="342"/>
      <c r="CQ87" s="342"/>
      <c r="CR87" s="342">
        <f t="shared" si="6"/>
        <v>0</v>
      </c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J87" s="671">
        <f t="shared" si="7"/>
        <v>0</v>
      </c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Z87" s="671">
        <f t="shared" si="42"/>
        <v>0</v>
      </c>
    </row>
    <row r="88" spans="1:130" ht="45">
      <c r="A88" s="13">
        <v>79</v>
      </c>
      <c r="B88" s="966" t="s">
        <v>10</v>
      </c>
      <c r="C88" s="967"/>
      <c r="D88" s="967"/>
      <c r="E88" s="967"/>
      <c r="F88" s="968"/>
      <c r="G88" s="727"/>
      <c r="H88" s="727">
        <f>SUM(H82:H87)</f>
        <v>0</v>
      </c>
      <c r="I88" s="346"/>
      <c r="J88" s="587"/>
      <c r="K88" s="731"/>
      <c r="L88" s="587"/>
      <c r="M88" s="762">
        <f>SUM(M82:M87)</f>
        <v>0</v>
      </c>
      <c r="N88" s="727"/>
      <c r="O88" s="13"/>
      <c r="P88" s="727"/>
      <c r="Q88" s="346"/>
      <c r="R88" s="346"/>
      <c r="S88" s="349">
        <f t="shared" si="0"/>
        <v>0</v>
      </c>
      <c r="T88" s="616"/>
      <c r="U88" s="591"/>
      <c r="V88" s="734"/>
      <c r="W88" s="734"/>
      <c r="X88" s="734"/>
      <c r="Y88" s="887" t="s">
        <v>512</v>
      </c>
      <c r="Z88" s="734"/>
      <c r="AA88" s="734"/>
      <c r="AB88" s="888">
        <f t="shared" si="43"/>
        <v>0</v>
      </c>
      <c r="AC88" s="727"/>
      <c r="AD88" s="727"/>
      <c r="AE88" s="727"/>
      <c r="AF88" s="349">
        <f t="shared" si="40"/>
        <v>0</v>
      </c>
      <c r="AG88" s="727"/>
      <c r="AH88" s="727"/>
      <c r="AI88" s="727"/>
      <c r="AJ88" s="621"/>
      <c r="AK88" s="626">
        <f t="shared" si="41"/>
        <v>0</v>
      </c>
      <c r="AL88" s="628"/>
      <c r="AM88" s="628">
        <v>74</v>
      </c>
      <c r="AN88" s="684"/>
      <c r="AO88" s="684"/>
      <c r="AP88" s="684"/>
      <c r="AQ88" s="684"/>
      <c r="AR88" s="804" t="s">
        <v>150</v>
      </c>
      <c r="AS88" s="672"/>
      <c r="AT88" s="11"/>
      <c r="AU88" s="11"/>
      <c r="AV88" s="342"/>
      <c r="AW88" s="342"/>
      <c r="AX88" s="13">
        <f t="shared" si="39"/>
        <v>0</v>
      </c>
      <c r="AY88" s="695"/>
      <c r="AZ88" s="695"/>
      <c r="BA88" s="342"/>
      <c r="BB88" s="701">
        <f t="shared" si="44"/>
        <v>0</v>
      </c>
      <c r="BD88" s="684"/>
      <c r="BE88" s="684"/>
      <c r="BF88" s="684"/>
      <c r="BG88" s="684"/>
      <c r="BH88" s="684"/>
      <c r="BI88" s="704"/>
      <c r="BJ88" s="684"/>
      <c r="BK88" s="221">
        <f t="shared" si="36"/>
        <v>0</v>
      </c>
      <c r="BL88" s="727"/>
      <c r="BM88" s="727"/>
      <c r="BN88" s="727"/>
      <c r="BO88" s="727"/>
      <c r="BP88" s="346"/>
      <c r="BQ88" s="349">
        <f t="shared" si="37"/>
        <v>0</v>
      </c>
      <c r="BS88" s="684"/>
      <c r="BT88" s="684"/>
      <c r="BU88" s="684"/>
      <c r="BV88" s="684"/>
      <c r="BW88" s="825"/>
      <c r="BX88" s="342"/>
      <c r="BY88" s="342"/>
      <c r="BZ88" s="342"/>
      <c r="CA88" s="342"/>
      <c r="CB88" s="342"/>
      <c r="CC88" s="342"/>
      <c r="CD88" s="684"/>
      <c r="CE88" s="684"/>
      <c r="CF88" s="684"/>
      <c r="CH88" s="684"/>
      <c r="CI88" s="684"/>
      <c r="CJ88" s="684"/>
      <c r="CK88" s="684"/>
      <c r="CL88" s="684"/>
      <c r="CM88" s="13">
        <v>750</v>
      </c>
      <c r="CN88" s="342"/>
      <c r="CO88" s="342"/>
      <c r="CP88" s="342"/>
      <c r="CQ88" s="342"/>
      <c r="CR88" s="342">
        <f t="shared" si="6"/>
        <v>0</v>
      </c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J88" s="671">
        <f t="shared" si="7"/>
        <v>0</v>
      </c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Z88" s="671">
        <f t="shared" si="42"/>
        <v>0</v>
      </c>
    </row>
    <row r="89" spans="1:130" ht="45">
      <c r="A89" s="216">
        <v>80</v>
      </c>
      <c r="B89" s="586"/>
      <c r="C89" s="732"/>
      <c r="D89" s="732"/>
      <c r="E89" s="732"/>
      <c r="F89" s="732" t="s">
        <v>151</v>
      </c>
      <c r="G89" s="732"/>
      <c r="H89" s="733"/>
      <c r="I89" s="586"/>
      <c r="J89" s="763"/>
      <c r="K89" s="733"/>
      <c r="L89" s="587"/>
      <c r="M89" s="727"/>
      <c r="N89" s="764"/>
      <c r="O89" s="701"/>
      <c r="P89" s="727"/>
      <c r="Q89" s="346"/>
      <c r="R89" s="346"/>
      <c r="S89" s="349">
        <f t="shared" si="0"/>
        <v>0</v>
      </c>
      <c r="T89" s="616"/>
      <c r="U89" s="591"/>
      <c r="V89" s="734"/>
      <c r="W89" s="734"/>
      <c r="X89" s="734"/>
      <c r="Y89" s="887" t="s">
        <v>512</v>
      </c>
      <c r="Z89" s="734"/>
      <c r="AA89" s="734"/>
      <c r="AB89" s="888">
        <f t="shared" si="43"/>
        <v>0</v>
      </c>
      <c r="AC89" s="727"/>
      <c r="AD89" s="727"/>
      <c r="AE89" s="727"/>
      <c r="AF89" s="349">
        <f t="shared" si="40"/>
        <v>0</v>
      </c>
      <c r="AG89" s="727"/>
      <c r="AH89" s="727"/>
      <c r="AI89" s="727"/>
      <c r="AJ89" s="621"/>
      <c r="AK89" s="626">
        <f t="shared" si="41"/>
        <v>0</v>
      </c>
      <c r="AL89" s="628"/>
      <c r="AM89" s="628">
        <v>75</v>
      </c>
      <c r="AN89" s="684"/>
      <c r="AO89" s="684"/>
      <c r="AP89" s="684"/>
      <c r="AQ89" s="684"/>
      <c r="AR89" s="804" t="s">
        <v>150</v>
      </c>
      <c r="AS89" s="672"/>
      <c r="AT89" s="11"/>
      <c r="AU89" s="11"/>
      <c r="AV89" s="342"/>
      <c r="AW89" s="342"/>
      <c r="AX89" s="13">
        <f t="shared" si="39"/>
        <v>0</v>
      </c>
      <c r="AY89" s="695"/>
      <c r="AZ89" s="695"/>
      <c r="BA89" s="342"/>
      <c r="BB89" s="701">
        <f t="shared" si="44"/>
        <v>0</v>
      </c>
      <c r="BD89" s="684"/>
      <c r="BE89" s="684"/>
      <c r="BF89" s="684"/>
      <c r="BG89" s="684"/>
      <c r="BH89" s="684"/>
      <c r="BI89" s="704"/>
      <c r="BJ89" s="684"/>
      <c r="BK89" s="221">
        <f t="shared" si="36"/>
        <v>0</v>
      </c>
      <c r="BL89" s="727"/>
      <c r="BM89" s="727"/>
      <c r="BN89" s="727"/>
      <c r="BO89" s="727"/>
      <c r="BP89" s="346"/>
      <c r="BQ89" s="349">
        <f t="shared" si="37"/>
        <v>0</v>
      </c>
      <c r="BS89" s="684"/>
      <c r="BT89" s="684"/>
      <c r="BU89" s="684"/>
      <c r="BV89" s="684"/>
      <c r="BW89" s="825"/>
      <c r="BX89" s="342"/>
      <c r="BY89" s="342"/>
      <c r="BZ89" s="342"/>
      <c r="CA89" s="342"/>
      <c r="CB89" s="342"/>
      <c r="CC89" s="342"/>
      <c r="CD89" s="684"/>
      <c r="CE89" s="684"/>
      <c r="CF89" s="684"/>
      <c r="CH89" s="684"/>
      <c r="CI89" s="684"/>
      <c r="CJ89" s="684"/>
      <c r="CK89" s="684"/>
      <c r="CL89" s="684"/>
      <c r="CM89" s="13">
        <v>750</v>
      </c>
      <c r="CN89" s="342"/>
      <c r="CO89" s="342"/>
      <c r="CP89" s="342"/>
      <c r="CQ89" s="342"/>
      <c r="CR89" s="342">
        <f t="shared" si="6"/>
        <v>0</v>
      </c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J89" s="671">
        <f t="shared" si="7"/>
        <v>0</v>
      </c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Z89" s="671">
        <f t="shared" si="42"/>
        <v>0</v>
      </c>
    </row>
    <row r="90" spans="1:130" ht="45">
      <c r="A90" s="13">
        <v>81</v>
      </c>
      <c r="B90" s="346"/>
      <c r="C90" s="727"/>
      <c r="D90" s="727"/>
      <c r="E90" s="734"/>
      <c r="F90" s="732"/>
      <c r="G90" s="727"/>
      <c r="H90" s="727"/>
      <c r="I90" s="346"/>
      <c r="J90" s="587"/>
      <c r="K90" s="731"/>
      <c r="L90" s="587"/>
      <c r="M90" s="727"/>
      <c r="N90" s="727"/>
      <c r="O90" s="13"/>
      <c r="P90" s="727"/>
      <c r="Q90" s="346"/>
      <c r="R90" s="346"/>
      <c r="S90" s="349">
        <f t="shared" si="0"/>
        <v>0</v>
      </c>
      <c r="T90" s="616"/>
      <c r="U90" s="591"/>
      <c r="V90" s="734"/>
      <c r="W90" s="734"/>
      <c r="X90" s="734"/>
      <c r="Y90" s="887" t="s">
        <v>512</v>
      </c>
      <c r="Z90" s="734"/>
      <c r="AA90" s="734"/>
      <c r="AB90" s="888">
        <f t="shared" si="43"/>
        <v>0</v>
      </c>
      <c r="AC90" s="727"/>
      <c r="AD90" s="727"/>
      <c r="AE90" s="727"/>
      <c r="AF90" s="349">
        <f t="shared" si="40"/>
        <v>0</v>
      </c>
      <c r="AG90" s="727"/>
      <c r="AH90" s="727"/>
      <c r="AI90" s="727"/>
      <c r="AJ90" s="621"/>
      <c r="AK90" s="626">
        <f t="shared" si="41"/>
        <v>0</v>
      </c>
      <c r="AL90" s="628"/>
      <c r="AM90" s="628">
        <v>76</v>
      </c>
      <c r="AN90" s="684"/>
      <c r="AO90" s="684"/>
      <c r="AP90" s="684"/>
      <c r="AQ90" s="684"/>
      <c r="AR90" s="804" t="s">
        <v>150</v>
      </c>
      <c r="AS90" s="672"/>
      <c r="AT90" s="11"/>
      <c r="AU90" s="11"/>
      <c r="AV90" s="342"/>
      <c r="AW90" s="342"/>
      <c r="AX90" s="13">
        <f t="shared" si="39"/>
        <v>0</v>
      </c>
      <c r="AY90" s="695"/>
      <c r="AZ90" s="695"/>
      <c r="BA90" s="342"/>
      <c r="BB90" s="701">
        <f t="shared" si="44"/>
        <v>0</v>
      </c>
      <c r="BD90" s="684"/>
      <c r="BE90" s="684"/>
      <c r="BF90" s="684"/>
      <c r="BG90" s="684"/>
      <c r="BH90" s="684"/>
      <c r="BI90" s="704"/>
      <c r="BJ90" s="684"/>
      <c r="BK90" s="221">
        <f t="shared" si="36"/>
        <v>0</v>
      </c>
      <c r="BL90" s="727"/>
      <c r="BM90" s="727"/>
      <c r="BN90" s="727"/>
      <c r="BO90" s="727"/>
      <c r="BP90" s="346"/>
      <c r="BQ90" s="349">
        <f t="shared" si="37"/>
        <v>0</v>
      </c>
      <c r="BS90" s="684"/>
      <c r="BT90" s="684"/>
      <c r="BU90" s="684"/>
      <c r="BV90" s="684"/>
      <c r="BW90" s="825"/>
      <c r="BX90" s="342"/>
      <c r="BY90" s="342"/>
      <c r="BZ90" s="342"/>
      <c r="CA90" s="342"/>
      <c r="CB90" s="342"/>
      <c r="CC90" s="342"/>
      <c r="CD90" s="684"/>
      <c r="CE90" s="684"/>
      <c r="CF90" s="684"/>
      <c r="CH90" s="684"/>
      <c r="CI90" s="684"/>
      <c r="CJ90" s="684"/>
      <c r="CK90" s="684"/>
      <c r="CL90" s="684"/>
      <c r="CM90" s="13">
        <v>750</v>
      </c>
      <c r="CN90" s="342"/>
      <c r="CO90" s="342"/>
      <c r="CP90" s="342"/>
      <c r="CQ90" s="342"/>
      <c r="CR90" s="342">
        <f t="shared" si="6"/>
        <v>0</v>
      </c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J90" s="671">
        <f t="shared" si="7"/>
        <v>0</v>
      </c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Z90" s="671">
        <f t="shared" si="42"/>
        <v>0</v>
      </c>
    </row>
    <row r="91" spans="1:130" ht="15.75">
      <c r="A91" s="216">
        <v>82</v>
      </c>
      <c r="B91" s="346"/>
      <c r="C91" s="727"/>
      <c r="D91" s="727"/>
      <c r="E91" s="727"/>
      <c r="F91" s="727"/>
      <c r="G91" s="727"/>
      <c r="H91" s="727"/>
      <c r="I91" s="346"/>
      <c r="J91" s="587"/>
      <c r="K91" s="731"/>
      <c r="L91" s="587"/>
      <c r="M91" s="727"/>
      <c r="N91" s="727"/>
      <c r="O91" s="13"/>
      <c r="P91" s="727"/>
      <c r="Q91" s="346"/>
      <c r="R91" s="346"/>
      <c r="S91" s="349">
        <f t="shared" si="0"/>
        <v>0</v>
      </c>
      <c r="T91" s="616"/>
      <c r="U91" s="591"/>
      <c r="V91" s="734"/>
      <c r="W91" s="734"/>
      <c r="X91" s="734"/>
      <c r="Y91" s="734"/>
      <c r="Z91" s="734"/>
      <c r="AA91" s="734"/>
      <c r="AB91" s="888">
        <f t="shared" si="43"/>
        <v>0</v>
      </c>
      <c r="AC91" s="727"/>
      <c r="AD91" s="727"/>
      <c r="AE91" s="727"/>
      <c r="AF91" s="349">
        <f t="shared" si="40"/>
        <v>0</v>
      </c>
      <c r="AG91" s="727"/>
      <c r="AH91" s="727"/>
      <c r="AI91" s="727"/>
      <c r="AJ91" s="621"/>
      <c r="AK91" s="626">
        <f t="shared" si="41"/>
        <v>0</v>
      </c>
      <c r="AL91" s="628"/>
      <c r="AM91" s="628">
        <v>77</v>
      </c>
      <c r="AN91" s="684"/>
      <c r="AO91" s="684"/>
      <c r="AP91" s="684"/>
      <c r="AQ91" s="684"/>
      <c r="AR91" s="804" t="s">
        <v>150</v>
      </c>
      <c r="AS91" s="672"/>
      <c r="AT91" s="11"/>
      <c r="AU91" s="11"/>
      <c r="AV91" s="342"/>
      <c r="AW91" s="342"/>
      <c r="AX91" s="13">
        <f t="shared" si="39"/>
        <v>0</v>
      </c>
      <c r="AY91" s="695"/>
      <c r="AZ91" s="695"/>
      <c r="BA91" s="342"/>
      <c r="BB91" s="701">
        <f t="shared" si="44"/>
        <v>0</v>
      </c>
      <c r="BD91" s="684"/>
      <c r="BE91" s="684"/>
      <c r="BF91" s="684"/>
      <c r="BG91" s="684"/>
      <c r="BH91" s="684"/>
      <c r="BI91" s="704"/>
      <c r="BJ91" s="684"/>
      <c r="BK91" s="221">
        <f t="shared" si="36"/>
        <v>0</v>
      </c>
      <c r="BL91" s="727"/>
      <c r="BM91" s="727"/>
      <c r="BN91" s="727"/>
      <c r="BO91" s="727"/>
      <c r="BP91" s="346"/>
      <c r="BQ91" s="349">
        <f t="shared" si="37"/>
        <v>0</v>
      </c>
      <c r="BS91" s="684"/>
      <c r="BT91" s="684"/>
      <c r="BU91" s="684"/>
      <c r="BV91" s="684"/>
      <c r="BW91" s="825"/>
      <c r="BX91" s="342"/>
      <c r="BY91" s="342"/>
      <c r="BZ91" s="342"/>
      <c r="CA91" s="342"/>
      <c r="CB91" s="342"/>
      <c r="CC91" s="342"/>
      <c r="CD91" s="684"/>
      <c r="CE91" s="684"/>
      <c r="CF91" s="684"/>
      <c r="CH91" s="684"/>
      <c r="CI91" s="684"/>
      <c r="CJ91" s="684"/>
      <c r="CK91" s="684"/>
      <c r="CL91" s="684"/>
      <c r="CM91" s="13">
        <v>750</v>
      </c>
      <c r="CN91" s="342"/>
      <c r="CO91" s="342"/>
      <c r="CP91" s="342"/>
      <c r="CQ91" s="342"/>
      <c r="CR91" s="342">
        <f t="shared" si="6"/>
        <v>0</v>
      </c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J91" s="671">
        <f t="shared" si="7"/>
        <v>0</v>
      </c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Z91" s="671">
        <f t="shared" si="42"/>
        <v>0</v>
      </c>
    </row>
    <row r="92" spans="1:130" ht="15.75">
      <c r="A92" s="13">
        <v>83</v>
      </c>
      <c r="B92" s="346"/>
      <c r="C92" s="727"/>
      <c r="D92" s="727"/>
      <c r="E92" s="727"/>
      <c r="F92" s="727"/>
      <c r="G92" s="727"/>
      <c r="H92" s="727"/>
      <c r="I92" s="346"/>
      <c r="J92" s="587"/>
      <c r="K92" s="731"/>
      <c r="L92" s="587"/>
      <c r="M92" s="727"/>
      <c r="N92" s="727"/>
      <c r="O92" s="13"/>
      <c r="P92" s="727"/>
      <c r="Q92" s="346"/>
      <c r="R92" s="346"/>
      <c r="S92" s="349">
        <f t="shared" si="0"/>
        <v>0</v>
      </c>
      <c r="T92" s="616"/>
      <c r="U92" s="591"/>
      <c r="V92" s="734"/>
      <c r="W92" s="734"/>
      <c r="X92" s="734"/>
      <c r="Y92" s="734"/>
      <c r="Z92" s="734"/>
      <c r="AA92" s="734"/>
      <c r="AB92" s="888">
        <f t="shared" si="43"/>
        <v>0</v>
      </c>
      <c r="AC92" s="727"/>
      <c r="AD92" s="727"/>
      <c r="AE92" s="727"/>
      <c r="AF92" s="349">
        <f t="shared" si="40"/>
        <v>0</v>
      </c>
      <c r="AG92" s="727"/>
      <c r="AH92" s="727"/>
      <c r="AI92" s="727"/>
      <c r="AJ92" s="621"/>
      <c r="AK92" s="626">
        <f t="shared" si="41"/>
        <v>0</v>
      </c>
      <c r="AL92" s="628"/>
      <c r="AM92" s="628"/>
      <c r="AN92" s="960" t="s">
        <v>10</v>
      </c>
      <c r="AO92" s="961"/>
      <c r="AP92" s="961"/>
      <c r="AQ92" s="961"/>
      <c r="AR92" s="962"/>
      <c r="AS92" s="672">
        <f>SUM(AS87:AS91)</f>
        <v>0</v>
      </c>
      <c r="AT92" s="672">
        <f>SUM(AT87:AT91)</f>
        <v>0</v>
      </c>
      <c r="AU92" s="672">
        <f>SUM(AU87:AU91)</f>
        <v>0</v>
      </c>
      <c r="AV92" s="672">
        <f>SUM(AV87:AV91)</f>
        <v>0</v>
      </c>
      <c r="AW92" s="342"/>
      <c r="AX92" s="13">
        <f t="shared" si="39"/>
        <v>0</v>
      </c>
      <c r="AY92" s="695"/>
      <c r="AZ92" s="695"/>
      <c r="BA92" s="342"/>
      <c r="BB92" s="701">
        <f t="shared" si="44"/>
        <v>0</v>
      </c>
      <c r="BD92" s="684"/>
      <c r="BE92" s="684"/>
      <c r="BF92" s="684"/>
      <c r="BG92" s="684"/>
      <c r="BH92" s="684"/>
      <c r="BI92" s="704"/>
      <c r="BJ92" s="684"/>
      <c r="BK92" s="221">
        <f t="shared" si="36"/>
        <v>0</v>
      </c>
      <c r="BL92" s="727"/>
      <c r="BM92" s="727"/>
      <c r="BN92" s="727"/>
      <c r="BO92" s="727"/>
      <c r="BP92" s="346"/>
      <c r="BQ92" s="349">
        <f t="shared" si="37"/>
        <v>0</v>
      </c>
      <c r="BS92" s="684"/>
      <c r="BT92" s="684"/>
      <c r="BU92" s="684"/>
      <c r="BV92" s="684"/>
      <c r="BW92" s="825"/>
      <c r="BX92" s="342"/>
      <c r="BY92" s="342"/>
      <c r="BZ92" s="342"/>
      <c r="CA92" s="342"/>
      <c r="CB92" s="342"/>
      <c r="CC92" s="342"/>
      <c r="CD92" s="684"/>
      <c r="CE92" s="684"/>
      <c r="CF92" s="684"/>
      <c r="CH92" s="684"/>
      <c r="CI92" s="684"/>
      <c r="CJ92" s="684"/>
      <c r="CK92" s="684"/>
      <c r="CL92" s="684"/>
      <c r="CM92" s="13">
        <v>750</v>
      </c>
      <c r="CN92" s="342"/>
      <c r="CO92" s="342"/>
      <c r="CP92" s="342"/>
      <c r="CQ92" s="342"/>
      <c r="CR92" s="342">
        <f t="shared" si="6"/>
        <v>0</v>
      </c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J92" s="671">
        <f t="shared" si="7"/>
        <v>0</v>
      </c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Z92" s="671">
        <f t="shared" si="42"/>
        <v>0</v>
      </c>
    </row>
    <row r="93" spans="1:130" s="223" customFormat="1" ht="21">
      <c r="A93" s="216">
        <v>84</v>
      </c>
      <c r="B93" s="963" t="s">
        <v>10</v>
      </c>
      <c r="C93" s="964"/>
      <c r="D93" s="964"/>
      <c r="E93" s="964"/>
      <c r="F93" s="965"/>
      <c r="H93" s="735">
        <f>SUM(H89:H92)</f>
        <v>0</v>
      </c>
      <c r="I93" s="346"/>
      <c r="J93" s="731"/>
      <c r="K93" s="731"/>
      <c r="L93" s="587"/>
      <c r="M93" s="765">
        <f>SUM(M89:M92)</f>
        <v>0</v>
      </c>
      <c r="O93" s="13"/>
      <c r="Q93" s="3"/>
      <c r="R93" s="3"/>
      <c r="S93" s="349">
        <f t="shared" si="0"/>
        <v>0</v>
      </c>
      <c r="T93" s="787"/>
      <c r="U93" s="591"/>
      <c r="V93" s="734"/>
      <c r="W93" s="734"/>
      <c r="X93" s="820"/>
      <c r="Y93" s="820"/>
      <c r="Z93" s="820"/>
      <c r="AA93" s="820"/>
      <c r="AB93" s="888">
        <f t="shared" si="43"/>
        <v>0</v>
      </c>
      <c r="AF93" s="349">
        <f t="shared" si="40"/>
        <v>0</v>
      </c>
      <c r="AI93" s="305"/>
      <c r="AJ93" s="805"/>
      <c r="AK93" s="626">
        <f t="shared" si="41"/>
        <v>0</v>
      </c>
      <c r="AL93" s="237"/>
      <c r="AM93" s="237"/>
      <c r="AR93" s="815" t="s">
        <v>152</v>
      </c>
      <c r="AS93" s="816">
        <f>+AS92+AS86</f>
        <v>0</v>
      </c>
      <c r="AT93" s="816">
        <f>+AT92+AT86</f>
        <v>0</v>
      </c>
      <c r="AU93" s="816">
        <f>+AU92+AU86</f>
        <v>0</v>
      </c>
      <c r="AV93" s="816">
        <f>+AV92+AV86</f>
        <v>0</v>
      </c>
      <c r="AX93" s="13">
        <f t="shared" si="39"/>
        <v>0</v>
      </c>
      <c r="AY93" s="818"/>
      <c r="AZ93" s="818"/>
      <c r="BA93" s="3"/>
      <c r="BB93" s="701">
        <f t="shared" si="44"/>
        <v>0</v>
      </c>
      <c r="BC93" s="787"/>
      <c r="BI93" s="820"/>
      <c r="BK93" s="233"/>
      <c r="BP93" s="3"/>
      <c r="BQ93" s="349">
        <f t="shared" si="37"/>
        <v>0</v>
      </c>
      <c r="BR93" s="823"/>
      <c r="BW93" s="826"/>
      <c r="BX93" s="342">
        <v>200</v>
      </c>
      <c r="BY93" s="342"/>
      <c r="BZ93" s="342"/>
      <c r="CA93" s="342"/>
      <c r="CB93" s="342"/>
      <c r="CC93" s="342">
        <f t="shared" si="29"/>
        <v>0</v>
      </c>
      <c r="CG93" s="237"/>
      <c r="CM93" s="13">
        <v>750</v>
      </c>
      <c r="CN93" s="342"/>
      <c r="CO93" s="342"/>
      <c r="CP93" s="342"/>
      <c r="CQ93" s="342"/>
      <c r="CR93" s="342">
        <f t="shared" si="6"/>
        <v>0</v>
      </c>
      <c r="CV93" s="237"/>
      <c r="DI93" s="818"/>
      <c r="DJ93" s="3"/>
      <c r="DK93" s="787"/>
      <c r="DL93" s="237"/>
      <c r="DY93" s="818"/>
      <c r="DZ93" s="3"/>
    </row>
    <row r="94" spans="1:130" s="573" customFormat="1" ht="27" customHeight="1">
      <c r="A94" s="959" t="s">
        <v>10</v>
      </c>
      <c r="B94" s="959"/>
      <c r="C94" s="959"/>
      <c r="D94" s="959"/>
      <c r="E94" s="959"/>
      <c r="F94" s="959"/>
      <c r="G94" s="736">
        <f>+G81+G75+G70+G63+G57+G52+G32+G18+G12</f>
        <v>289</v>
      </c>
      <c r="H94" s="737">
        <f>+H93+H88+H81+H75+H70+H63+H57+H52+H32+H18+H12</f>
        <v>109.23100000000001</v>
      </c>
      <c r="I94" s="766"/>
      <c r="J94" s="767">
        <f>SUM(J8:J93)</f>
        <v>0</v>
      </c>
      <c r="K94" s="768"/>
      <c r="L94" s="768"/>
      <c r="M94" s="769">
        <f>+M93+M88+M81+M75+M70+M63+M57+M52+M32+M18+M12</f>
        <v>15940002.74</v>
      </c>
      <c r="N94" s="770">
        <f t="shared" ref="N94:S94" si="45">SUM(N7:N93)</f>
        <v>398500.08</v>
      </c>
      <c r="O94" s="770">
        <f t="shared" si="45"/>
        <v>398500.08</v>
      </c>
      <c r="P94" s="770">
        <f t="shared" si="45"/>
        <v>0</v>
      </c>
      <c r="Q94" s="770">
        <f t="shared" si="45"/>
        <v>0</v>
      </c>
      <c r="R94" s="770">
        <f t="shared" si="45"/>
        <v>0</v>
      </c>
      <c r="S94" s="788">
        <f t="shared" si="45"/>
        <v>32677006</v>
      </c>
      <c r="T94" s="789"/>
      <c r="U94" s="959" t="s">
        <v>10</v>
      </c>
      <c r="V94" s="959"/>
      <c r="W94" s="959"/>
      <c r="X94" s="959"/>
      <c r="Y94" s="959"/>
      <c r="Z94" s="736">
        <f>SUM(Z7:Z93)</f>
        <v>957</v>
      </c>
      <c r="AA94" s="736"/>
      <c r="AB94" s="796">
        <f t="shared" ref="AB94:AK94" si="46">SUM(AB7:AB93)</f>
        <v>277.52999999999997</v>
      </c>
      <c r="AC94" s="797">
        <f t="shared" si="46"/>
        <v>36488713.050000004</v>
      </c>
      <c r="AD94" s="797">
        <f t="shared" si="46"/>
        <v>239250</v>
      </c>
      <c r="AE94" s="797">
        <f t="shared" si="46"/>
        <v>98582.400000000023</v>
      </c>
      <c r="AF94" s="797">
        <f t="shared" si="46"/>
        <v>36826545.449999996</v>
      </c>
      <c r="AG94" s="797">
        <f t="shared" si="46"/>
        <v>0</v>
      </c>
      <c r="AH94" s="797">
        <f t="shared" si="46"/>
        <v>0</v>
      </c>
      <c r="AI94" s="797">
        <f t="shared" si="46"/>
        <v>1841327.2725</v>
      </c>
      <c r="AJ94" s="797">
        <f t="shared" si="46"/>
        <v>0</v>
      </c>
      <c r="AK94" s="797">
        <f t="shared" si="46"/>
        <v>38667871</v>
      </c>
      <c r="AL94" s="806"/>
      <c r="AM94" s="806"/>
      <c r="AN94" s="959" t="s">
        <v>10</v>
      </c>
      <c r="AO94" s="959"/>
      <c r="AP94" s="959"/>
      <c r="AQ94" s="959"/>
      <c r="AR94" s="959"/>
      <c r="AS94" s="736">
        <f>+AS93+AS78</f>
        <v>444</v>
      </c>
      <c r="AT94" s="737">
        <f>+AT93+AT78</f>
        <v>22.408000000000001</v>
      </c>
      <c r="AU94" s="736">
        <f>+AU93+AU78</f>
        <v>0</v>
      </c>
      <c r="AV94" s="817">
        <f>+AV93+AV78</f>
        <v>2911215.26</v>
      </c>
      <c r="AW94" s="819">
        <f t="shared" ref="AW94:BB94" si="47">SUM(AW7:AW93)</f>
        <v>72780.37999999999</v>
      </c>
      <c r="AX94" s="819">
        <f t="shared" si="47"/>
        <v>72780.37999999999</v>
      </c>
      <c r="AY94" s="819">
        <f t="shared" si="47"/>
        <v>0</v>
      </c>
      <c r="AZ94" s="819">
        <f t="shared" si="47"/>
        <v>0</v>
      </c>
      <c r="BA94" s="819">
        <f t="shared" si="47"/>
        <v>0</v>
      </c>
      <c r="BB94" s="819">
        <f t="shared" si="47"/>
        <v>7852087</v>
      </c>
      <c r="BC94" s="806"/>
      <c r="BD94" s="959" t="s">
        <v>10</v>
      </c>
      <c r="BE94" s="959"/>
      <c r="BF94" s="959"/>
      <c r="BG94" s="959"/>
      <c r="BH94" s="959"/>
      <c r="BI94" s="821">
        <f>SUM(BI7:BI93)</f>
        <v>67</v>
      </c>
      <c r="BJ94" s="736"/>
      <c r="BK94" s="822">
        <f t="shared" ref="BK94:BQ94" si="48">SUM(BK7:BK93)</f>
        <v>2.7E-2</v>
      </c>
      <c r="BL94" s="819">
        <f t="shared" si="48"/>
        <v>9045</v>
      </c>
      <c r="BM94" s="819">
        <f t="shared" si="48"/>
        <v>226.13</v>
      </c>
      <c r="BN94" s="819">
        <f t="shared" si="48"/>
        <v>226.13</v>
      </c>
      <c r="BO94" s="819">
        <f t="shared" si="48"/>
        <v>0</v>
      </c>
      <c r="BP94" s="819">
        <f t="shared" si="48"/>
        <v>0</v>
      </c>
      <c r="BQ94" s="819">
        <f t="shared" si="48"/>
        <v>9497.2599999999984</v>
      </c>
      <c r="BR94" s="824"/>
      <c r="BS94" s="959" t="s">
        <v>10</v>
      </c>
      <c r="BT94" s="959"/>
      <c r="BU94" s="959"/>
      <c r="BV94" s="736">
        <f>SUM(BV8:BV93)</f>
        <v>0</v>
      </c>
      <c r="BW94" s="827">
        <f>SUM(BW7:BW93)</f>
        <v>19.86</v>
      </c>
      <c r="BX94" s="828"/>
      <c r="BY94" s="828"/>
      <c r="BZ94" s="828"/>
      <c r="CA94" s="828"/>
      <c r="CB94" s="828"/>
      <c r="CC94" s="819">
        <f>SUM(CC7:CC93)</f>
        <v>5068</v>
      </c>
      <c r="CD94" s="828">
        <f>SUM(CD8:CD93)</f>
        <v>0</v>
      </c>
      <c r="CE94" s="828">
        <f>SUM(CE8:CE93)</f>
        <v>0</v>
      </c>
      <c r="CF94" s="828">
        <f>SUM(CF8:CF93)</f>
        <v>0</v>
      </c>
      <c r="CG94" s="806"/>
      <c r="CH94" s="959" t="s">
        <v>10</v>
      </c>
      <c r="CI94" s="959"/>
      <c r="CJ94" s="959"/>
      <c r="CK94" s="736">
        <f>SUM(CK8:CK93)</f>
        <v>0</v>
      </c>
      <c r="CL94" s="827">
        <f>SUM(CL7:CL93)</f>
        <v>12.48</v>
      </c>
      <c r="CM94" s="828"/>
      <c r="CN94" s="827">
        <f>SUM(CN7:CN93)</f>
        <v>0</v>
      </c>
      <c r="CO94" s="827"/>
      <c r="CP94" s="828"/>
      <c r="CQ94" s="828"/>
      <c r="CR94" s="817">
        <f>SUM(CR7:CR93)</f>
        <v>8488</v>
      </c>
      <c r="CV94" s="806"/>
      <c r="CW94" s="959" t="s">
        <v>10</v>
      </c>
      <c r="CX94" s="959"/>
      <c r="CY94" s="959"/>
      <c r="CZ94" s="959"/>
      <c r="DA94" s="959"/>
      <c r="DB94" s="736">
        <f>SUM(DB8:DB93)</f>
        <v>0</v>
      </c>
      <c r="DC94" s="737">
        <f>SUM(DC7:DC93)</f>
        <v>0</v>
      </c>
      <c r="DD94" s="828">
        <f>SUM(DD7:DD93)</f>
        <v>0</v>
      </c>
      <c r="DE94" s="828"/>
      <c r="DF94" s="828">
        <f>SUM(DF7:DF93)</f>
        <v>0</v>
      </c>
      <c r="DG94" s="828">
        <f>SUM(DG7:DG93)</f>
        <v>0</v>
      </c>
      <c r="DH94" s="828">
        <f>SUM(DH7:DH93)</f>
        <v>0</v>
      </c>
      <c r="DI94" s="828">
        <f>SUM(DI7:DI93)</f>
        <v>0</v>
      </c>
      <c r="DJ94" s="828">
        <f>SUM(DJ7:DJ93)</f>
        <v>0</v>
      </c>
      <c r="DK94" s="806"/>
      <c r="DL94" s="806"/>
      <c r="DM94" s="959" t="s">
        <v>10</v>
      </c>
      <c r="DN94" s="959"/>
      <c r="DO94" s="959"/>
      <c r="DP94" s="959"/>
      <c r="DQ94" s="959"/>
      <c r="DR94" s="736">
        <f>SUM(DR8:DR93)</f>
        <v>0</v>
      </c>
      <c r="DS94" s="737">
        <f>SUM(DS7:DS93)</f>
        <v>0</v>
      </c>
      <c r="DT94" s="828">
        <f>SUM(DT7:DT93)</f>
        <v>0</v>
      </c>
      <c r="DU94" s="828"/>
      <c r="DV94" s="828">
        <f>SUM(DV7:DV93)</f>
        <v>0</v>
      </c>
      <c r="DW94" s="828">
        <f>SUM(DW7:DW93)</f>
        <v>0</v>
      </c>
      <c r="DX94" s="828">
        <f>SUM(DX7:DX93)</f>
        <v>0</v>
      </c>
      <c r="DY94" s="828">
        <f>SUM(DY7:DY93)</f>
        <v>0</v>
      </c>
      <c r="DZ94" s="828">
        <f>SUM(DZ7:DZ93)</f>
        <v>0</v>
      </c>
    </row>
    <row r="95" spans="1:130">
      <c r="F95" s="951" t="s">
        <v>153</v>
      </c>
      <c r="G95" s="951"/>
      <c r="H95" s="951"/>
      <c r="I95" s="951"/>
      <c r="J95" s="951"/>
      <c r="K95" s="951"/>
      <c r="L95" s="951"/>
      <c r="M95" s="951"/>
      <c r="N95" s="951"/>
      <c r="O95" s="951"/>
      <c r="P95" s="951"/>
      <c r="Q95" s="738"/>
      <c r="R95" s="738"/>
      <c r="S95" s="357"/>
      <c r="AI95" s="807"/>
      <c r="AJ95" s="807"/>
      <c r="AK95" s="807"/>
    </row>
    <row r="96" spans="1:130" ht="18.75">
      <c r="E96" s="626"/>
      <c r="F96" s="952" t="s">
        <v>154</v>
      </c>
      <c r="G96" s="953"/>
      <c r="H96" s="739">
        <f>+BK94</f>
        <v>2.7E-2</v>
      </c>
      <c r="I96" s="357"/>
      <c r="J96" s="771" t="s">
        <v>3</v>
      </c>
      <c r="K96" s="771"/>
      <c r="L96" s="771"/>
      <c r="M96" s="772">
        <f>+M94</f>
        <v>15940002.74</v>
      </c>
      <c r="N96" s="772">
        <f>+N94</f>
        <v>398500.08</v>
      </c>
      <c r="O96" s="772">
        <f>+O94</f>
        <v>398500.08</v>
      </c>
      <c r="P96" s="772">
        <f>+P94</f>
        <v>0</v>
      </c>
      <c r="Q96" s="772">
        <f>+Q94</f>
        <v>0</v>
      </c>
      <c r="R96" s="775"/>
      <c r="S96" s="775"/>
      <c r="AC96" s="798"/>
      <c r="AD96" s="798"/>
      <c r="AE96" s="798"/>
      <c r="AF96" s="798"/>
      <c r="AG96" s="234"/>
      <c r="AH96" s="808"/>
      <c r="AI96" s="234"/>
      <c r="AJ96" s="234"/>
      <c r="AK96" s="234"/>
      <c r="CH96" s="954" t="s">
        <v>155</v>
      </c>
      <c r="CI96" s="954"/>
      <c r="CJ96" s="829"/>
      <c r="CK96" s="829"/>
      <c r="CL96" s="830">
        <f>CL94+CN94</f>
        <v>12.48</v>
      </c>
    </row>
    <row r="97" spans="5:37" customFormat="1" ht="18.75">
      <c r="E97" s="357"/>
      <c r="F97" s="955" t="s">
        <v>156</v>
      </c>
      <c r="G97" s="956"/>
      <c r="H97" s="740">
        <f>+DC94</f>
        <v>0</v>
      </c>
      <c r="I97" s="357"/>
      <c r="J97" s="773"/>
      <c r="K97" s="773"/>
      <c r="L97" s="773"/>
      <c r="M97" s="774"/>
      <c r="N97" s="775"/>
      <c r="O97" s="774"/>
      <c r="P97" s="774"/>
      <c r="Q97" s="774"/>
      <c r="R97" s="774"/>
      <c r="S97" s="774"/>
      <c r="T97" s="234"/>
      <c r="AI97" s="807"/>
      <c r="AJ97" s="807"/>
      <c r="AK97" s="807"/>
    </row>
    <row r="98" spans="5:37" customFormat="1" ht="18.75">
      <c r="E98" s="357"/>
      <c r="F98" s="957" t="s">
        <v>157</v>
      </c>
      <c r="G98" s="958"/>
      <c r="H98" s="741">
        <f>SUM(H94:H97)</f>
        <v>109.25800000000001</v>
      </c>
      <c r="I98" s="357"/>
      <c r="J98" s="776" t="s">
        <v>154</v>
      </c>
      <c r="K98" s="776"/>
      <c r="L98" s="776"/>
      <c r="M98" s="772">
        <f>+BL94</f>
        <v>9045</v>
      </c>
      <c r="N98" s="772">
        <f>+BM94</f>
        <v>226.13</v>
      </c>
      <c r="O98" s="772">
        <f>+BN94</f>
        <v>226.13</v>
      </c>
      <c r="P98" s="772">
        <f>+BO94</f>
        <v>0</v>
      </c>
      <c r="Q98" s="772">
        <f>+BP94</f>
        <v>0</v>
      </c>
      <c r="R98" s="775"/>
      <c r="T98" s="234"/>
    </row>
    <row r="99" spans="5:37" customFormat="1">
      <c r="E99" s="357"/>
      <c r="F99" s="742"/>
      <c r="I99" s="357"/>
      <c r="J99" s="626"/>
      <c r="K99" s="626"/>
      <c r="L99" s="626"/>
      <c r="M99" s="356"/>
      <c r="N99" s="356"/>
      <c r="O99" s="356"/>
      <c r="P99" s="356"/>
      <c r="Q99" s="356"/>
      <c r="R99" s="356"/>
      <c r="T99" s="234"/>
    </row>
    <row r="100" spans="5:37" customFormat="1" ht="18.75">
      <c r="E100" s="357"/>
      <c r="F100" s="945" t="s">
        <v>158</v>
      </c>
      <c r="G100" s="946"/>
      <c r="H100" s="947"/>
      <c r="I100" s="357" t="s">
        <v>159</v>
      </c>
      <c r="J100" s="777" t="s">
        <v>160</v>
      </c>
      <c r="K100" s="777"/>
      <c r="L100" s="777"/>
      <c r="M100" s="778">
        <f>SUM(M96+M98)</f>
        <v>15949047.74</v>
      </c>
      <c r="N100" s="778">
        <f>SUM(N96+N98)</f>
        <v>398726.21</v>
      </c>
      <c r="O100" s="778">
        <f>SUM(O96+O98)</f>
        <v>398726.21</v>
      </c>
      <c r="P100" s="778">
        <f>SUM(P96+P98)</f>
        <v>0</v>
      </c>
      <c r="Q100" s="778">
        <f>SUM(Q96+Q98)</f>
        <v>0</v>
      </c>
      <c r="R100" s="790"/>
      <c r="S100" s="791"/>
      <c r="T100" s="234"/>
    </row>
    <row r="101" spans="5:37" customFormat="1">
      <c r="E101" s="357"/>
      <c r="F101" s="742"/>
      <c r="I101" s="357"/>
      <c r="J101" s="626"/>
      <c r="K101" s="626"/>
      <c r="L101" s="626"/>
      <c r="M101" s="356"/>
      <c r="N101" s="356"/>
      <c r="O101" s="356"/>
      <c r="P101" s="356"/>
      <c r="Q101" s="356"/>
      <c r="R101" s="356"/>
      <c r="S101" s="356"/>
      <c r="T101" s="234"/>
    </row>
    <row r="102" spans="5:37" customFormat="1" ht="18.75">
      <c r="E102" s="357"/>
      <c r="F102" s="743" t="s">
        <v>161</v>
      </c>
      <c r="G102" s="744">
        <f>+Z94</f>
        <v>957</v>
      </c>
      <c r="H102" s="745">
        <f>+AB94</f>
        <v>277.52999999999997</v>
      </c>
      <c r="I102" s="357" t="s">
        <v>159</v>
      </c>
      <c r="J102" s="779" t="s">
        <v>5</v>
      </c>
      <c r="K102" s="779"/>
      <c r="L102" s="779"/>
      <c r="M102" s="780">
        <f>+AF94</f>
        <v>36826545.449999996</v>
      </c>
      <c r="N102" s="780">
        <f>+AG94</f>
        <v>0</v>
      </c>
      <c r="O102" s="780">
        <f>+AH94</f>
        <v>0</v>
      </c>
      <c r="P102" s="780">
        <f>+AI94</f>
        <v>1841327.2725</v>
      </c>
      <c r="Q102" s="780">
        <f>+AJ94</f>
        <v>0</v>
      </c>
      <c r="R102" s="792"/>
      <c r="S102" s="791"/>
      <c r="T102" s="234"/>
    </row>
    <row r="103" spans="5:37" customFormat="1">
      <c r="E103" s="356"/>
      <c r="F103" s="742"/>
      <c r="I103" s="357"/>
      <c r="J103" s="357"/>
      <c r="K103" s="357"/>
      <c r="L103" s="357"/>
      <c r="M103" s="356"/>
      <c r="N103" s="356"/>
      <c r="O103" s="356"/>
      <c r="P103" s="356"/>
      <c r="Q103" s="356"/>
      <c r="R103" s="356"/>
      <c r="S103" s="356"/>
      <c r="T103" s="234"/>
    </row>
    <row r="104" spans="5:37" customFormat="1" ht="18.75">
      <c r="E104" s="357"/>
      <c r="F104" s="743" t="s">
        <v>7</v>
      </c>
      <c r="G104" s="746"/>
      <c r="H104" s="745">
        <f>+AT94</f>
        <v>22.408000000000001</v>
      </c>
      <c r="I104" s="357" t="s">
        <v>159</v>
      </c>
      <c r="J104" s="781" t="s">
        <v>73</v>
      </c>
      <c r="K104" s="781"/>
      <c r="L104" s="781"/>
      <c r="M104" s="782">
        <f>+AV94</f>
        <v>2911215.26</v>
      </c>
      <c r="N104" s="782">
        <f>+AW94</f>
        <v>72780.37999999999</v>
      </c>
      <c r="O104" s="782">
        <f>+AX94</f>
        <v>72780.37999999999</v>
      </c>
      <c r="P104" s="782">
        <f>+AY94</f>
        <v>0</v>
      </c>
      <c r="Q104" s="782">
        <f>+BA94</f>
        <v>0</v>
      </c>
      <c r="R104" s="793">
        <f>+AZ94</f>
        <v>0</v>
      </c>
      <c r="S104" s="794"/>
      <c r="T104" s="234"/>
    </row>
    <row r="105" spans="5:37" customFormat="1">
      <c r="E105" s="747"/>
      <c r="F105" s="748"/>
      <c r="I105" s="357"/>
      <c r="J105" s="357"/>
      <c r="K105" s="357"/>
      <c r="L105" s="357"/>
      <c r="M105" s="356"/>
      <c r="N105" s="742"/>
      <c r="O105" s="742"/>
      <c r="P105" s="742"/>
      <c r="Q105" s="742"/>
      <c r="R105" s="742"/>
      <c r="S105" s="742"/>
      <c r="T105" s="234"/>
    </row>
    <row r="106" spans="5:37" customFormat="1" ht="18.75">
      <c r="F106" s="948" t="s">
        <v>156</v>
      </c>
      <c r="G106" s="949"/>
      <c r="H106" s="950"/>
      <c r="I106" s="357" t="s">
        <v>159</v>
      </c>
      <c r="J106" s="783" t="s">
        <v>77</v>
      </c>
      <c r="K106" s="783"/>
      <c r="L106" s="783"/>
      <c r="M106" s="772">
        <f>+DD94</f>
        <v>0</v>
      </c>
      <c r="N106" s="772"/>
      <c r="O106" s="772"/>
      <c r="P106" s="772"/>
      <c r="Q106" s="772">
        <f>+DH94</f>
        <v>0</v>
      </c>
      <c r="R106" s="775"/>
      <c r="S106" s="775"/>
      <c r="T106" s="234"/>
    </row>
    <row r="107" spans="5:37" customFormat="1">
      <c r="E107" s="747"/>
      <c r="F107" s="748"/>
      <c r="I107" s="357"/>
      <c r="J107" s="357"/>
      <c r="K107" s="357"/>
      <c r="L107" s="357"/>
      <c r="M107" s="356"/>
      <c r="N107" s="742"/>
      <c r="O107" s="742"/>
      <c r="P107" s="742"/>
      <c r="Q107" s="742"/>
      <c r="R107" s="742"/>
      <c r="S107" s="742"/>
      <c r="T107" s="234"/>
    </row>
    <row r="108" spans="5:37" customFormat="1" ht="21">
      <c r="E108" s="356"/>
      <c r="F108" s="356"/>
      <c r="I108" t="s">
        <v>159</v>
      </c>
      <c r="J108" s="784" t="s">
        <v>101</v>
      </c>
      <c r="K108" s="784"/>
      <c r="L108" s="784"/>
      <c r="M108" s="785">
        <f>SUM(M100+M102+M104+M106)/100000</f>
        <v>556.86808450000001</v>
      </c>
      <c r="N108" s="786">
        <f>SUM(N100+N102+N104+N106)</f>
        <v>471506.59</v>
      </c>
      <c r="O108" s="786">
        <f>SUM(O100+O102+O104+O106)</f>
        <v>471506.59</v>
      </c>
      <c r="P108" s="786">
        <f>SUM(P100+P102+P104+P106)</f>
        <v>1841327.2725</v>
      </c>
      <c r="Q108" s="786">
        <f>SUM(Q100+Q102+Q104+Q106)</f>
        <v>0</v>
      </c>
      <c r="R108" s="786">
        <f>SUM(R100+R102+R104+R106)</f>
        <v>0</v>
      </c>
      <c r="S108" s="795"/>
      <c r="T108" s="234"/>
    </row>
    <row r="109" spans="5:37" customFormat="1">
      <c r="E109" s="356"/>
      <c r="T109" s="234"/>
    </row>
    <row r="110" spans="5:37" customFormat="1">
      <c r="E110" s="747"/>
      <c r="F110" s="742"/>
      <c r="T110" s="234"/>
    </row>
    <row r="111" spans="5:37" customFormat="1">
      <c r="E111" s="357"/>
      <c r="F111" s="357"/>
      <c r="T111" s="234"/>
    </row>
    <row r="112" spans="5:37" customFormat="1">
      <c r="E112" s="357"/>
      <c r="F112" s="742"/>
      <c r="T112" s="234"/>
    </row>
    <row r="113" spans="5:6" customFormat="1">
      <c r="E113" s="357"/>
      <c r="F113" s="357"/>
    </row>
  </sheetData>
  <sheetProtection algorithmName="SHA-512" hashValue="lY6VpinnehQI8kmZgw8uoOfSOd8JA5/wpYQ5qdeDFTnjKu2tGzKI0qecxBPCw9UiiUtyqmu6PykYfyRQE4u3dQ==" saltValue="uwOEVTb3MlssjCmy2SteOQ==" spinCount="100000" sheet="1" objects="1" scenarios="1"/>
  <mergeCells count="46">
    <mergeCell ref="A1:CU1"/>
    <mergeCell ref="CW1:DK1"/>
    <mergeCell ref="A2:P2"/>
    <mergeCell ref="U2:AI2"/>
    <mergeCell ref="AN2:AY2"/>
    <mergeCell ref="BD2:BO2"/>
    <mergeCell ref="BS2:CF2"/>
    <mergeCell ref="CH2:CU2"/>
    <mergeCell ref="CW2:DK2"/>
    <mergeCell ref="DM2:EA2"/>
    <mergeCell ref="B12:F12"/>
    <mergeCell ref="B18:F18"/>
    <mergeCell ref="AN18:AR18"/>
    <mergeCell ref="AN29:AR29"/>
    <mergeCell ref="B32:F32"/>
    <mergeCell ref="AN40:AR40"/>
    <mergeCell ref="AN45:AR45"/>
    <mergeCell ref="B52:F52"/>
    <mergeCell ref="AN56:AR56"/>
    <mergeCell ref="B57:F57"/>
    <mergeCell ref="AN62:AR62"/>
    <mergeCell ref="B63:F63"/>
    <mergeCell ref="B70:F70"/>
    <mergeCell ref="AN71:AR71"/>
    <mergeCell ref="B75:F75"/>
    <mergeCell ref="AN77:AR77"/>
    <mergeCell ref="B81:F81"/>
    <mergeCell ref="AN86:AR86"/>
    <mergeCell ref="B88:F88"/>
    <mergeCell ref="AN92:AR92"/>
    <mergeCell ref="B93:F93"/>
    <mergeCell ref="A94:F94"/>
    <mergeCell ref="U94:Y94"/>
    <mergeCell ref="AN94:AR94"/>
    <mergeCell ref="BD94:BH94"/>
    <mergeCell ref="BS94:BU94"/>
    <mergeCell ref="CH94:CJ94"/>
    <mergeCell ref="CW94:DA94"/>
    <mergeCell ref="DM94:DQ94"/>
    <mergeCell ref="F100:H100"/>
    <mergeCell ref="F106:H106"/>
    <mergeCell ref="F95:P95"/>
    <mergeCell ref="F96:G96"/>
    <mergeCell ref="CH96:CI96"/>
    <mergeCell ref="F97:G97"/>
    <mergeCell ref="F98:G98"/>
  </mergeCells>
  <hyperlinks>
    <hyperlink ref="AI6" r:id="rId1" xr:uid="{00000000-0004-0000-1500-000000000000}"/>
    <hyperlink ref="AG6" r:id="rId2" xr:uid="{00000000-0004-0000-1500-000001000000}"/>
    <hyperlink ref="AH6" r:id="rId3" xr:uid="{00000000-0004-0000-1500-000002000000}"/>
    <hyperlink ref="BA6" r:id="rId4" xr:uid="{00000000-0004-0000-1500-000003000000}"/>
  </hyperlink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58"/>
  <sheetViews>
    <sheetView zoomScale="80" zoomScaleNormal="80" workbookViewId="0">
      <pane ySplit="2" topLeftCell="A3" activePane="bottomLeft" state="frozen"/>
      <selection pane="bottomLeft" activeCell="O9" sqref="O9"/>
    </sheetView>
  </sheetViews>
  <sheetFormatPr defaultColWidth="9" defaultRowHeight="15"/>
  <cols>
    <col min="1" max="1" width="7.28515625" customWidth="1"/>
    <col min="2" max="2" width="21.140625" customWidth="1"/>
    <col min="3" max="3" width="10.140625" customWidth="1"/>
    <col min="4" max="4" width="17.42578125" customWidth="1"/>
    <col min="5" max="5" width="14.5703125" customWidth="1"/>
    <col min="6" max="6" width="14" customWidth="1"/>
    <col min="7" max="7" width="13.85546875" customWidth="1"/>
    <col min="8" max="8" width="8.28515625" customWidth="1"/>
    <col min="9" max="9" width="21.7109375" customWidth="1"/>
    <col min="10" max="11" width="15.140625" customWidth="1"/>
    <col min="12" max="12" width="16.140625" customWidth="1"/>
    <col min="13" max="14" width="15.42578125" customWidth="1"/>
    <col min="15" max="15" width="11.85546875" customWidth="1"/>
  </cols>
  <sheetData>
    <row r="1" spans="1:16">
      <c r="A1" s="508" t="s">
        <v>162</v>
      </c>
      <c r="D1" s="509" t="s">
        <v>537</v>
      </c>
    </row>
    <row r="2" spans="1:16" ht="60">
      <c r="A2" s="3" t="s">
        <v>163</v>
      </c>
      <c r="B2" s="3" t="s">
        <v>164</v>
      </c>
      <c r="C2" s="171" t="s">
        <v>165</v>
      </c>
      <c r="D2" s="3" t="s">
        <v>166</v>
      </c>
      <c r="E2" s="3" t="s">
        <v>167</v>
      </c>
      <c r="F2" s="510" t="s">
        <v>168</v>
      </c>
      <c r="G2" s="510" t="s">
        <v>169</v>
      </c>
      <c r="H2" s="3" t="s">
        <v>170</v>
      </c>
      <c r="I2" s="510" t="s">
        <v>171</v>
      </c>
      <c r="J2" s="510" t="s">
        <v>172</v>
      </c>
      <c r="K2" s="510" t="s">
        <v>173</v>
      </c>
      <c r="L2" s="510" t="s">
        <v>174</v>
      </c>
      <c r="M2" s="510" t="s">
        <v>175</v>
      </c>
      <c r="N2" s="555"/>
    </row>
    <row r="3" spans="1:16">
      <c r="A3" s="129">
        <v>1</v>
      </c>
      <c r="B3" s="129" t="s">
        <v>176</v>
      </c>
      <c r="C3" s="129"/>
      <c r="D3" s="129">
        <v>5310</v>
      </c>
      <c r="E3" s="129"/>
      <c r="F3" s="129"/>
      <c r="G3" s="129"/>
      <c r="H3" s="129"/>
      <c r="I3" s="129"/>
      <c r="J3" s="129"/>
      <c r="K3" s="129"/>
      <c r="L3" s="129"/>
      <c r="M3" s="129"/>
      <c r="N3" s="180"/>
    </row>
    <row r="4" spans="1:16">
      <c r="A4" s="129">
        <v>2</v>
      </c>
      <c r="B4" s="129" t="s">
        <v>177</v>
      </c>
      <c r="C4" s="129"/>
      <c r="D4" s="511" t="s">
        <v>178</v>
      </c>
      <c r="E4" s="129"/>
      <c r="F4" s="129"/>
      <c r="G4" s="129"/>
      <c r="H4" s="129"/>
      <c r="I4" s="129"/>
      <c r="J4" s="129"/>
      <c r="K4" s="129"/>
      <c r="L4" s="129"/>
      <c r="M4" s="129"/>
      <c r="N4" s="180"/>
    </row>
    <row r="5" spans="1:16">
      <c r="A5" s="129">
        <v>3</v>
      </c>
      <c r="B5" s="129" t="s">
        <v>179</v>
      </c>
      <c r="C5" s="129"/>
      <c r="D5" s="129" t="s">
        <v>180</v>
      </c>
      <c r="E5" s="129"/>
      <c r="F5" s="129"/>
      <c r="G5" s="129"/>
      <c r="H5" s="129"/>
      <c r="I5" s="129"/>
      <c r="J5" s="129"/>
      <c r="K5" s="129"/>
      <c r="L5" s="129"/>
      <c r="M5" s="129"/>
      <c r="N5" s="180"/>
    </row>
    <row r="6" spans="1:16" ht="26.25">
      <c r="A6" s="129">
        <v>4</v>
      </c>
      <c r="B6" s="512" t="s">
        <v>181</v>
      </c>
      <c r="C6" s="129"/>
      <c r="D6" s="129" t="s">
        <v>182</v>
      </c>
      <c r="E6" s="513">
        <f>+GROSS!F33</f>
        <v>34.595627</v>
      </c>
      <c r="F6" s="513">
        <f>+GROSS!I33+'EXCISE SALES DETAILS'!BK94</f>
        <v>96.148432999999997</v>
      </c>
      <c r="G6" s="513">
        <f>+GROSS!L33+'EXCISE SALES DETAILS'!BK94</f>
        <v>110.076031</v>
      </c>
      <c r="H6" s="514"/>
      <c r="I6" s="556"/>
      <c r="J6" s="516"/>
      <c r="K6" s="516"/>
      <c r="L6" s="516"/>
      <c r="M6" s="513">
        <f>E6+F6-G6</f>
        <v>20.66802899999999</v>
      </c>
      <c r="N6" s="557"/>
    </row>
    <row r="7" spans="1:16" ht="26.25">
      <c r="A7" s="129">
        <v>5</v>
      </c>
      <c r="B7" s="129" t="s">
        <v>183</v>
      </c>
      <c r="C7" s="129"/>
      <c r="D7" s="129" t="s">
        <v>184</v>
      </c>
      <c r="E7" s="515"/>
      <c r="F7" s="515"/>
      <c r="G7" s="515"/>
      <c r="H7" s="516"/>
      <c r="I7" s="516"/>
      <c r="J7" s="516"/>
      <c r="K7" s="516"/>
      <c r="L7" s="516"/>
      <c r="M7" s="515"/>
      <c r="N7" s="558"/>
    </row>
    <row r="8" spans="1:16" ht="26.25">
      <c r="A8" s="129">
        <v>6</v>
      </c>
      <c r="B8" s="129" t="s">
        <v>185</v>
      </c>
      <c r="C8" s="129"/>
      <c r="D8" s="129" t="s">
        <v>186</v>
      </c>
      <c r="E8" s="515"/>
      <c r="F8" s="515"/>
      <c r="G8" s="515"/>
      <c r="H8" s="516"/>
      <c r="I8" s="516"/>
      <c r="J8" s="516"/>
      <c r="K8" s="516"/>
      <c r="L8" s="516"/>
      <c r="M8" s="515"/>
      <c r="N8" s="558"/>
    </row>
    <row r="9" spans="1:16" ht="26.25">
      <c r="A9" s="129">
        <v>7</v>
      </c>
      <c r="B9" s="129" t="s">
        <v>187</v>
      </c>
      <c r="C9" s="129"/>
      <c r="D9" s="129"/>
      <c r="E9" s="515"/>
      <c r="F9" s="515"/>
      <c r="G9" s="515"/>
      <c r="H9" s="516"/>
      <c r="I9" s="516"/>
      <c r="J9" s="516"/>
      <c r="K9" s="516"/>
      <c r="L9" s="516"/>
      <c r="M9" s="515"/>
      <c r="N9" s="558"/>
    </row>
    <row r="10" spans="1:16" ht="26.25">
      <c r="A10" s="129">
        <v>8</v>
      </c>
      <c r="B10" s="512" t="s">
        <v>188</v>
      </c>
      <c r="C10" s="129"/>
      <c r="D10" s="129">
        <v>5307</v>
      </c>
      <c r="E10" s="515"/>
      <c r="F10" s="513">
        <f>+'EXCISE SALES DETAILS'!AT94</f>
        <v>22.408000000000001</v>
      </c>
      <c r="G10" s="513">
        <f>+'EXCISE SALES DETAILS'!AT94</f>
        <v>22.408000000000001</v>
      </c>
      <c r="H10" s="516"/>
      <c r="I10" s="516"/>
      <c r="J10" s="516"/>
      <c r="K10" s="516"/>
      <c r="L10" s="516"/>
      <c r="M10" s="513">
        <f>F10-G10</f>
        <v>0</v>
      </c>
      <c r="N10" s="557"/>
    </row>
    <row r="11" spans="1:16" ht="26.25">
      <c r="A11" s="129">
        <v>9</v>
      </c>
      <c r="B11" s="129" t="s">
        <v>189</v>
      </c>
      <c r="C11" s="129"/>
      <c r="D11" s="129"/>
      <c r="E11" s="516"/>
      <c r="F11" s="516"/>
      <c r="G11" s="516"/>
      <c r="H11" s="516"/>
      <c r="I11" s="516"/>
      <c r="J11" s="516"/>
      <c r="K11" s="516"/>
      <c r="L11" s="516"/>
      <c r="M11" s="515"/>
      <c r="N11" s="558"/>
    </row>
    <row r="12" spans="1:16" ht="26.25">
      <c r="A12" s="129">
        <v>10</v>
      </c>
      <c r="B12" s="129" t="s">
        <v>190</v>
      </c>
      <c r="C12" s="129"/>
      <c r="D12" s="129"/>
      <c r="E12" s="516"/>
      <c r="F12" s="516"/>
      <c r="G12" s="516"/>
      <c r="H12" s="516"/>
      <c r="I12" s="516"/>
      <c r="J12" s="516"/>
      <c r="K12" s="516"/>
      <c r="L12" s="516"/>
      <c r="M12" s="515"/>
      <c r="N12" s="558"/>
    </row>
    <row r="13" spans="1:16" ht="23.25">
      <c r="A13" s="129">
        <v>11</v>
      </c>
      <c r="B13" s="517" t="s">
        <v>191</v>
      </c>
      <c r="C13" s="129"/>
      <c r="D13" s="129" t="s">
        <v>192</v>
      </c>
      <c r="E13" s="317">
        <f>+GROSS!F24</f>
        <v>0</v>
      </c>
      <c r="F13" s="317">
        <f>+GROSS!I24</f>
        <v>0</v>
      </c>
      <c r="G13" s="317">
        <f>+GROSS!L24</f>
        <v>0</v>
      </c>
      <c r="H13" s="312"/>
      <c r="I13" s="312"/>
      <c r="J13" s="312"/>
      <c r="K13" s="312"/>
      <c r="L13" s="312"/>
      <c r="M13" s="513">
        <f>E13+F13-G13</f>
        <v>0</v>
      </c>
      <c r="N13" s="557"/>
      <c r="P13" s="151"/>
    </row>
    <row r="14" spans="1:16" ht="23.25">
      <c r="A14" s="174">
        <v>12</v>
      </c>
      <c r="B14" s="174" t="s">
        <v>193</v>
      </c>
      <c r="C14" s="518"/>
      <c r="D14" s="518"/>
      <c r="E14" s="321"/>
      <c r="F14" s="519"/>
      <c r="G14" s="321"/>
      <c r="H14" s="519"/>
      <c r="I14" s="321"/>
      <c r="J14" s="519"/>
      <c r="K14" s="321"/>
      <c r="L14" s="519"/>
      <c r="M14" s="559"/>
      <c r="N14" s="558"/>
    </row>
    <row r="15" spans="1:16" ht="23.25">
      <c r="A15" s="169"/>
      <c r="B15" s="169" t="s">
        <v>194</v>
      </c>
      <c r="C15" s="520"/>
      <c r="D15" s="520"/>
      <c r="E15" s="314"/>
      <c r="F15" s="310"/>
      <c r="G15" s="314"/>
      <c r="H15" s="310"/>
      <c r="I15" s="314"/>
      <c r="J15" s="310"/>
      <c r="K15" s="314"/>
      <c r="L15" s="310"/>
      <c r="M15" s="560"/>
      <c r="N15" s="558"/>
    </row>
    <row r="16" spans="1:16" ht="23.25">
      <c r="A16" s="169">
        <v>13</v>
      </c>
      <c r="B16" s="129" t="s">
        <v>195</v>
      </c>
      <c r="C16" s="129"/>
      <c r="D16" s="129"/>
      <c r="E16" s="312"/>
      <c r="F16" s="312"/>
      <c r="G16" s="312"/>
      <c r="H16" s="312"/>
      <c r="I16" s="312"/>
      <c r="J16" s="312"/>
      <c r="K16" s="312"/>
      <c r="L16" s="312"/>
      <c r="M16" s="515"/>
      <c r="N16" s="558"/>
    </row>
    <row r="17" spans="1:14" ht="23.25">
      <c r="A17" s="129">
        <v>14</v>
      </c>
      <c r="B17" s="5" t="s">
        <v>196</v>
      </c>
      <c r="C17" s="129"/>
      <c r="D17" s="129" t="s">
        <v>197</v>
      </c>
      <c r="E17" s="312"/>
      <c r="F17" s="312"/>
      <c r="G17" s="312"/>
      <c r="H17" s="312"/>
      <c r="I17" s="312"/>
      <c r="J17" s="312"/>
      <c r="K17" s="312"/>
      <c r="L17" s="312"/>
      <c r="M17" s="515"/>
      <c r="N17" s="558"/>
    </row>
    <row r="18" spans="1:14" ht="23.25">
      <c r="A18" s="174"/>
      <c r="B18" s="521" t="s">
        <v>198</v>
      </c>
      <c r="C18" s="522"/>
      <c r="D18" s="523">
        <v>6305.1040000000003</v>
      </c>
      <c r="E18" s="326">
        <f>+GROSS!F36</f>
        <v>106.64387499999999</v>
      </c>
      <c r="F18" s="524">
        <f>+GROSS!I36</f>
        <v>191.08245000000002</v>
      </c>
      <c r="G18" s="326">
        <f>+GROSS!L36</f>
        <v>279.61147500000004</v>
      </c>
      <c r="H18" s="519"/>
      <c r="I18" s="321"/>
      <c r="J18" s="519"/>
      <c r="K18" s="321"/>
      <c r="L18" s="519"/>
      <c r="M18" s="561">
        <f>E18+F18-G18</f>
        <v>18.11484999999999</v>
      </c>
      <c r="N18" s="557"/>
    </row>
    <row r="19" spans="1:14" ht="23.25">
      <c r="A19" s="168">
        <v>15</v>
      </c>
      <c r="B19" s="521" t="s">
        <v>199</v>
      </c>
      <c r="C19" s="522"/>
      <c r="E19" s="525"/>
      <c r="F19" s="526"/>
      <c r="G19" s="311"/>
      <c r="H19" s="527"/>
      <c r="I19" s="311"/>
      <c r="J19" s="527"/>
      <c r="K19" s="311"/>
      <c r="L19" s="527"/>
      <c r="M19" s="513"/>
      <c r="N19" s="557"/>
    </row>
    <row r="20" spans="1:14" ht="23.25">
      <c r="A20" s="169"/>
      <c r="B20" s="528" t="s">
        <v>200</v>
      </c>
      <c r="C20" s="529"/>
      <c r="D20" s="529"/>
      <c r="E20" s="314"/>
      <c r="F20" s="310"/>
      <c r="G20" s="314"/>
      <c r="H20" s="310"/>
      <c r="I20" s="314"/>
      <c r="J20" s="310"/>
      <c r="K20" s="314"/>
      <c r="L20" s="310"/>
      <c r="M20" s="560"/>
      <c r="N20" s="558"/>
    </row>
    <row r="21" spans="1:14" ht="21" customHeight="1">
      <c r="A21" s="174"/>
      <c r="B21" s="530" t="s">
        <v>198</v>
      </c>
      <c r="C21" s="518"/>
      <c r="D21" s="518"/>
      <c r="E21" s="321"/>
      <c r="F21" s="519"/>
      <c r="G21" s="321"/>
      <c r="H21" s="519"/>
      <c r="I21" s="321"/>
      <c r="J21" s="519"/>
      <c r="K21" s="321"/>
      <c r="L21" s="519"/>
      <c r="M21" s="559"/>
      <c r="N21" s="558"/>
    </row>
    <row r="22" spans="1:14" ht="46.5" customHeight="1">
      <c r="A22" s="168">
        <v>16</v>
      </c>
      <c r="B22" s="404" t="s">
        <v>511</v>
      </c>
      <c r="C22" s="522"/>
      <c r="D22" s="523">
        <v>6305.1040000000003</v>
      </c>
      <c r="E22" s="525">
        <f>+GROSS!F35</f>
        <v>0</v>
      </c>
      <c r="F22" s="526">
        <f>+GROSS!I35</f>
        <v>0</v>
      </c>
      <c r="G22" s="525">
        <f>+GROSS!L35</f>
        <v>0</v>
      </c>
      <c r="H22" s="527"/>
      <c r="I22" s="311"/>
      <c r="J22" s="527"/>
      <c r="K22" s="311"/>
      <c r="L22" s="527"/>
      <c r="M22" s="513">
        <f>E22+F22-G22</f>
        <v>0</v>
      </c>
      <c r="N22" s="557"/>
    </row>
    <row r="23" spans="1:14" ht="23.25">
      <c r="A23" s="169"/>
      <c r="B23" s="528" t="s">
        <v>201</v>
      </c>
      <c r="C23" s="520"/>
      <c r="D23" s="520"/>
      <c r="E23" s="314"/>
      <c r="F23" s="310"/>
      <c r="G23" s="314"/>
      <c r="H23" s="310"/>
      <c r="I23" s="314"/>
      <c r="J23" s="310"/>
      <c r="K23" s="314"/>
      <c r="L23" s="310"/>
      <c r="M23" s="560"/>
      <c r="N23" s="558"/>
    </row>
    <row r="24" spans="1:14" ht="23.25">
      <c r="A24" s="174">
        <v>17</v>
      </c>
      <c r="B24" s="531" t="s">
        <v>202</v>
      </c>
      <c r="C24" s="532"/>
      <c r="D24" s="211"/>
      <c r="E24" s="321"/>
      <c r="F24" s="519"/>
      <c r="G24" s="321"/>
      <c r="H24" s="519"/>
      <c r="I24" s="321"/>
      <c r="J24" s="519"/>
      <c r="K24" s="321"/>
      <c r="L24" s="519"/>
      <c r="M24" s="559"/>
      <c r="N24" s="558"/>
    </row>
    <row r="25" spans="1:14" ht="23.25">
      <c r="A25" s="169"/>
      <c r="B25" s="533" t="s">
        <v>193</v>
      </c>
      <c r="C25" s="534"/>
      <c r="D25" s="529"/>
      <c r="E25" s="314"/>
      <c r="F25" s="310"/>
      <c r="G25" s="314"/>
      <c r="H25" s="310"/>
      <c r="I25" s="314"/>
      <c r="J25" s="310"/>
      <c r="K25" s="314"/>
      <c r="L25" s="310"/>
      <c r="M25" s="560"/>
      <c r="N25" s="558"/>
    </row>
    <row r="26" spans="1:14" ht="23.25">
      <c r="A26" s="129">
        <v>18</v>
      </c>
      <c r="B26" s="10" t="s">
        <v>203</v>
      </c>
      <c r="C26" s="10"/>
      <c r="D26" s="129"/>
      <c r="E26" s="312"/>
      <c r="F26" s="312"/>
      <c r="G26" s="312"/>
      <c r="H26" s="312"/>
      <c r="I26" s="312"/>
      <c r="J26" s="312"/>
      <c r="K26" s="312"/>
      <c r="L26" s="312"/>
      <c r="M26" s="515"/>
      <c r="N26" s="558"/>
    </row>
    <row r="27" spans="1:14" ht="23.25">
      <c r="A27" s="129">
        <v>19</v>
      </c>
      <c r="B27" s="10" t="s">
        <v>204</v>
      </c>
      <c r="C27" s="10"/>
      <c r="D27" s="129"/>
      <c r="E27" s="312"/>
      <c r="F27" s="317"/>
      <c r="G27" s="317"/>
      <c r="H27" s="312"/>
      <c r="I27" s="312"/>
      <c r="J27" s="312"/>
      <c r="K27" s="312"/>
      <c r="L27" s="312"/>
      <c r="M27" s="515"/>
      <c r="N27" s="558"/>
    </row>
    <row r="28" spans="1:14" ht="23.25">
      <c r="A28" s="129">
        <v>20</v>
      </c>
      <c r="B28" s="10" t="s">
        <v>205</v>
      </c>
      <c r="C28" s="10"/>
      <c r="D28" s="129" t="s">
        <v>206</v>
      </c>
      <c r="E28" s="312"/>
      <c r="F28" s="312"/>
      <c r="G28" s="312"/>
      <c r="H28" s="312"/>
      <c r="I28" s="312"/>
      <c r="J28" s="312"/>
      <c r="K28" s="312"/>
      <c r="L28" s="312"/>
      <c r="M28" s="515"/>
      <c r="N28" s="558"/>
    </row>
    <row r="29" spans="1:14" ht="23.25">
      <c r="A29" s="129">
        <v>21</v>
      </c>
      <c r="B29" s="10" t="s">
        <v>207</v>
      </c>
      <c r="C29" s="10"/>
      <c r="D29" s="129"/>
      <c r="E29" s="312"/>
      <c r="F29" s="312"/>
      <c r="G29" s="312"/>
      <c r="H29" s="312"/>
      <c r="I29" s="312"/>
      <c r="J29" s="312"/>
      <c r="K29" s="312"/>
      <c r="L29" s="312"/>
      <c r="M29" s="515"/>
      <c r="N29" s="558"/>
    </row>
    <row r="30" spans="1:14" ht="23.25">
      <c r="A30" s="129">
        <v>22</v>
      </c>
      <c r="B30" s="10" t="s">
        <v>208</v>
      </c>
      <c r="C30" s="10"/>
      <c r="D30" s="129" t="s">
        <v>209</v>
      </c>
      <c r="E30" s="312"/>
      <c r="F30" s="312"/>
      <c r="G30" s="312"/>
      <c r="H30" s="312"/>
      <c r="I30" s="312"/>
      <c r="J30" s="312"/>
      <c r="K30" s="312"/>
      <c r="L30" s="312"/>
      <c r="M30" s="515"/>
      <c r="N30" s="558"/>
    </row>
    <row r="31" spans="1:14" ht="23.25">
      <c r="A31" s="129">
        <v>23</v>
      </c>
      <c r="B31" s="10" t="s">
        <v>210</v>
      </c>
      <c r="C31" s="10"/>
      <c r="D31" s="174">
        <v>6306</v>
      </c>
      <c r="E31" s="312"/>
      <c r="F31" s="317"/>
      <c r="G31" s="317"/>
      <c r="H31" s="312"/>
      <c r="I31" s="312"/>
      <c r="J31" s="312"/>
      <c r="K31" s="312"/>
      <c r="L31" s="312"/>
      <c r="M31" s="515"/>
      <c r="N31" s="558"/>
    </row>
    <row r="32" spans="1:14" ht="23.25">
      <c r="A32" s="174">
        <v>24</v>
      </c>
      <c r="B32" s="535" t="s">
        <v>211</v>
      </c>
      <c r="C32" s="356"/>
      <c r="D32" s="1004"/>
      <c r="E32" s="536"/>
      <c r="F32" s="1006"/>
      <c r="G32" s="1006"/>
      <c r="H32" s="537"/>
      <c r="I32" s="321"/>
      <c r="J32" s="537"/>
      <c r="K32" s="321"/>
      <c r="L32" s="537"/>
      <c r="M32" s="996"/>
      <c r="N32" s="558"/>
    </row>
    <row r="33" spans="1:15" ht="23.25">
      <c r="A33" s="169"/>
      <c r="B33" s="533" t="s">
        <v>212</v>
      </c>
      <c r="C33" s="356"/>
      <c r="D33" s="1005"/>
      <c r="E33" s="331"/>
      <c r="F33" s="1007"/>
      <c r="G33" s="1007"/>
      <c r="H33" s="537"/>
      <c r="I33" s="314"/>
      <c r="J33" s="537"/>
      <c r="K33" s="314"/>
      <c r="L33" s="537"/>
      <c r="M33" s="997"/>
      <c r="N33" s="558"/>
    </row>
    <row r="34" spans="1:15" ht="23.25">
      <c r="A34" s="129">
        <v>25</v>
      </c>
      <c r="B34" s="13" t="s">
        <v>213</v>
      </c>
      <c r="C34" s="10"/>
      <c r="D34" s="169"/>
      <c r="E34" s="312"/>
      <c r="F34" s="317">
        <f>+'EXCISE SALES DETAILS'!DC94</f>
        <v>0</v>
      </c>
      <c r="G34" s="317">
        <f>+F34</f>
        <v>0</v>
      </c>
      <c r="H34" s="312"/>
      <c r="I34" s="312"/>
      <c r="J34" s="312"/>
      <c r="K34" s="312"/>
      <c r="L34" s="312"/>
      <c r="M34" s="513">
        <f>F34-G34</f>
        <v>0</v>
      </c>
      <c r="N34" s="557"/>
    </row>
    <row r="35" spans="1:15"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</row>
    <row r="36" spans="1:15"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</row>
    <row r="37" spans="1:15" ht="23.25" customHeight="1">
      <c r="B37" s="170"/>
      <c r="C37" s="1008" t="s">
        <v>214</v>
      </c>
      <c r="D37" s="1009"/>
      <c r="E37" s="538">
        <f>SUM(E3:E36)</f>
        <v>141.23950199999999</v>
      </c>
      <c r="F37" s="513">
        <f>SUM(F3:F36)</f>
        <v>309.63888300000002</v>
      </c>
      <c r="G37" s="513">
        <f>SUM(G3:G36)</f>
        <v>412.09550600000006</v>
      </c>
      <c r="H37" s="515">
        <f>SUM(H3:H36)</f>
        <v>0</v>
      </c>
      <c r="I37" s="515">
        <f>SUM(I3:I36)</f>
        <v>0</v>
      </c>
      <c r="J37" s="515"/>
      <c r="K37" s="515"/>
      <c r="L37" s="515"/>
      <c r="M37" s="513">
        <f>SUM(M3:M36)</f>
        <v>38.78287899999998</v>
      </c>
      <c r="N37" s="557"/>
    </row>
    <row r="38" spans="1:15"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</row>
    <row r="39" spans="1:15"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</row>
    <row r="40" spans="1:15">
      <c r="A40" s="508" t="s">
        <v>215</v>
      </c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</row>
    <row r="41" spans="1:15"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</row>
    <row r="42" spans="1:15">
      <c r="A42" s="223" t="s">
        <v>216</v>
      </c>
      <c r="B42" s="174" t="s">
        <v>217</v>
      </c>
      <c r="C42" s="211"/>
      <c r="D42" s="211" t="s">
        <v>218</v>
      </c>
      <c r="E42" s="539"/>
      <c r="F42" s="211" t="s">
        <v>219</v>
      </c>
      <c r="G42" s="539"/>
      <c r="H42" s="518" t="s">
        <v>220</v>
      </c>
      <c r="I42" s="174" t="s">
        <v>221</v>
      </c>
      <c r="J42" s="518" t="s">
        <v>89</v>
      </c>
      <c r="K42" s="174" t="s">
        <v>90</v>
      </c>
      <c r="L42" s="518" t="s">
        <v>91</v>
      </c>
      <c r="M42" s="174" t="s">
        <v>92</v>
      </c>
      <c r="N42" s="174" t="s">
        <v>93</v>
      </c>
      <c r="O42" s="174" t="s">
        <v>222</v>
      </c>
    </row>
    <row r="43" spans="1:15">
      <c r="A43" s="540"/>
      <c r="B43" s="168"/>
      <c r="C43" s="522"/>
      <c r="D43" s="522" t="s">
        <v>223</v>
      </c>
      <c r="E43" s="541"/>
      <c r="F43" s="522" t="s">
        <v>224</v>
      </c>
      <c r="G43" s="541"/>
      <c r="H43" s="180" t="s">
        <v>225</v>
      </c>
      <c r="I43" s="168" t="s">
        <v>226</v>
      </c>
      <c r="J43" s="180"/>
      <c r="K43" s="168"/>
      <c r="L43" s="180"/>
      <c r="M43" s="168"/>
      <c r="N43" s="168"/>
      <c r="O43" s="168" t="s">
        <v>227</v>
      </c>
    </row>
    <row r="44" spans="1:15">
      <c r="A44" s="167"/>
      <c r="B44" s="169"/>
      <c r="C44" s="529"/>
      <c r="D44" s="529" t="s">
        <v>228</v>
      </c>
      <c r="E44" s="542"/>
      <c r="F44" s="529"/>
      <c r="G44" s="542"/>
      <c r="H44" s="520"/>
      <c r="I44" s="169" t="s">
        <v>229</v>
      </c>
      <c r="J44" s="520"/>
      <c r="K44" s="169"/>
      <c r="L44" s="520"/>
      <c r="M44" s="169"/>
      <c r="N44" s="169"/>
      <c r="O44" s="169" t="s">
        <v>230</v>
      </c>
    </row>
    <row r="45" spans="1:15" ht="26.25">
      <c r="A45" s="129">
        <v>1</v>
      </c>
      <c r="B45" s="129" t="s">
        <v>231</v>
      </c>
      <c r="C45" s="163"/>
      <c r="D45" s="543">
        <f>+F6+F13</f>
        <v>96.148432999999997</v>
      </c>
      <c r="E45" s="544"/>
      <c r="F45" s="998">
        <f>+G6+G13</f>
        <v>110.076031</v>
      </c>
      <c r="G45" s="999"/>
      <c r="H45" s="516"/>
      <c r="I45" s="562">
        <f>+'EXCISE SALES DETAILS'!M100/100000</f>
        <v>159.4904774</v>
      </c>
      <c r="J45" s="563">
        <f>+'EXCISE SALES DETAILS'!N100</f>
        <v>398726.21</v>
      </c>
      <c r="K45" s="563">
        <f>+'EXCISE SALES DETAILS'!O100</f>
        <v>398726.21</v>
      </c>
      <c r="L45" s="563">
        <f>+'EXCISE SALES DETAILS'!P100</f>
        <v>0</v>
      </c>
      <c r="M45" s="4">
        <f>+'EXCISE SALES DETAILS'!Q100</f>
        <v>0</v>
      </c>
      <c r="N45" s="4"/>
      <c r="O45" s="129" t="s">
        <v>232</v>
      </c>
    </row>
    <row r="46" spans="1:15" ht="26.25">
      <c r="A46" s="129">
        <v>2</v>
      </c>
      <c r="B46" s="129" t="s">
        <v>233</v>
      </c>
      <c r="C46" s="163"/>
      <c r="D46" s="545"/>
      <c r="E46" s="546"/>
      <c r="F46" s="547"/>
      <c r="G46" s="547"/>
      <c r="H46" s="516"/>
      <c r="I46" s="564"/>
      <c r="J46" s="556"/>
      <c r="K46" s="564"/>
      <c r="L46" s="565"/>
      <c r="M46" s="129"/>
      <c r="O46" s="129" t="s">
        <v>234</v>
      </c>
    </row>
    <row r="47" spans="1:15" ht="26.25">
      <c r="A47" s="129">
        <v>3</v>
      </c>
      <c r="B47" s="129" t="s">
        <v>235</v>
      </c>
      <c r="C47" s="163"/>
      <c r="D47" s="543">
        <f>+GROSS!I37</f>
        <v>191.08245000000002</v>
      </c>
      <c r="E47" s="546"/>
      <c r="F47" s="998">
        <f>+GROSS!L37</f>
        <v>279.61147500000004</v>
      </c>
      <c r="G47" s="999"/>
      <c r="H47" s="516"/>
      <c r="I47" s="562">
        <f>+'EXCISE SALES DETAILS'!M102/100000</f>
        <v>368.26545449999998</v>
      </c>
      <c r="J47" s="563">
        <f>+'EXCISE SALES DETAILS'!N102</f>
        <v>0</v>
      </c>
      <c r="K47" s="563">
        <f>+'EXCISE SALES DETAILS'!O102</f>
        <v>0</v>
      </c>
      <c r="L47" s="563">
        <f>+'EXCISE SALES DETAILS'!P102</f>
        <v>1841327.2725</v>
      </c>
      <c r="M47" s="566">
        <f>+'EXCISE SALES DETAILS'!AJ94</f>
        <v>0</v>
      </c>
      <c r="N47" s="129"/>
      <c r="O47" s="129" t="s">
        <v>236</v>
      </c>
    </row>
    <row r="48" spans="1:15" ht="26.25">
      <c r="A48" s="129">
        <v>4</v>
      </c>
      <c r="B48" s="129" t="s">
        <v>237</v>
      </c>
      <c r="C48" s="180"/>
      <c r="D48" s="547"/>
      <c r="E48" s="547"/>
      <c r="F48" s="548"/>
      <c r="G48" s="549"/>
      <c r="H48" s="516"/>
      <c r="I48" s="556"/>
      <c r="J48" s="556"/>
      <c r="K48" s="556"/>
      <c r="L48" s="565"/>
      <c r="M48" s="129"/>
      <c r="N48" s="129"/>
      <c r="O48" s="129"/>
    </row>
    <row r="49" spans="1:15" ht="26.25">
      <c r="A49" s="129">
        <v>5</v>
      </c>
      <c r="B49" s="129" t="s">
        <v>238</v>
      </c>
      <c r="C49" s="163"/>
      <c r="D49" s="543">
        <f>+'EXCISE SALES DETAILS'!AT94</f>
        <v>22.408000000000001</v>
      </c>
      <c r="E49" s="544"/>
      <c r="F49" s="998">
        <f>+'EXCISE SALES DETAILS'!AT94</f>
        <v>22.408000000000001</v>
      </c>
      <c r="G49" s="999"/>
      <c r="H49" s="516"/>
      <c r="I49" s="562">
        <f>+'EXCISE SALES DETAILS'!M104/100000</f>
        <v>29.112152599999998</v>
      </c>
      <c r="J49" s="563">
        <f>+'EXCISE SALES DETAILS'!N104</f>
        <v>72780.37999999999</v>
      </c>
      <c r="K49" s="563">
        <f>+'EXCISE SALES DETAILS'!O104</f>
        <v>72780.37999999999</v>
      </c>
      <c r="L49" s="563">
        <f>+'EXCISE SALES DETAILS'!P104</f>
        <v>0</v>
      </c>
      <c r="M49" s="567">
        <f>+'EXCISE SALES DETAILS'!Q104</f>
        <v>0</v>
      </c>
      <c r="N49" s="567">
        <f>+'EXCISE SALES DETAILS'!R104</f>
        <v>0</v>
      </c>
      <c r="O49" s="129" t="s">
        <v>236</v>
      </c>
    </row>
    <row r="50" spans="1:15" ht="26.25">
      <c r="A50" s="129">
        <v>6</v>
      </c>
      <c r="B50" s="10" t="s">
        <v>210</v>
      </c>
      <c r="C50" s="356"/>
      <c r="D50" s="550"/>
      <c r="E50" s="547"/>
      <c r="F50" s="998"/>
      <c r="G50" s="1003"/>
      <c r="H50" s="516"/>
      <c r="I50" s="568"/>
      <c r="J50" s="568"/>
      <c r="K50" s="568"/>
      <c r="L50" s="568"/>
      <c r="M50" s="129"/>
      <c r="N50" s="129"/>
      <c r="O50" s="129"/>
    </row>
    <row r="51" spans="1:15" ht="26.25">
      <c r="A51" s="129">
        <v>7</v>
      </c>
      <c r="B51" s="10" t="s">
        <v>239</v>
      </c>
      <c r="C51" s="551"/>
      <c r="D51" s="545"/>
      <c r="E51" s="544"/>
      <c r="F51" s="545"/>
      <c r="G51" s="546"/>
      <c r="H51" s="516"/>
      <c r="I51" s="516"/>
      <c r="J51" s="516"/>
      <c r="K51" s="516"/>
      <c r="L51" s="516"/>
      <c r="M51" s="129"/>
      <c r="N51" s="129"/>
      <c r="O51" s="129"/>
    </row>
    <row r="52" spans="1:15" ht="32.25">
      <c r="A52" s="129">
        <v>8</v>
      </c>
      <c r="B52" s="552" t="s">
        <v>240</v>
      </c>
      <c r="C52" s="356"/>
      <c r="D52" s="550"/>
      <c r="E52" s="550"/>
      <c r="F52" s="998"/>
      <c r="G52" s="999"/>
      <c r="H52" s="516"/>
      <c r="I52" s="565"/>
      <c r="J52" s="565"/>
      <c r="K52" s="565"/>
      <c r="L52" s="565"/>
      <c r="M52" s="129"/>
      <c r="N52" s="129"/>
      <c r="O52" s="129" t="s">
        <v>236</v>
      </c>
    </row>
    <row r="53" spans="1:15" ht="26.25">
      <c r="A53" s="129">
        <v>9</v>
      </c>
      <c r="B53" s="10" t="s">
        <v>241</v>
      </c>
      <c r="C53" s="551"/>
      <c r="D53" s="545"/>
      <c r="E53" s="544"/>
      <c r="F53" s="545"/>
      <c r="G53" s="546"/>
      <c r="H53" s="516"/>
      <c r="I53" s="516"/>
      <c r="J53" s="516"/>
      <c r="K53" s="516"/>
      <c r="L53" s="516"/>
      <c r="M53" s="129"/>
      <c r="N53" s="129"/>
      <c r="O53" s="129"/>
    </row>
    <row r="54" spans="1:15" ht="26.25">
      <c r="A54" s="129">
        <v>10</v>
      </c>
      <c r="B54" s="10" t="s">
        <v>242</v>
      </c>
      <c r="C54" s="356"/>
      <c r="D54" s="547"/>
      <c r="E54" s="547"/>
      <c r="F54" s="548"/>
      <c r="G54" s="549"/>
      <c r="H54" s="516"/>
      <c r="I54" s="516"/>
      <c r="J54" s="516"/>
      <c r="K54" s="516"/>
      <c r="L54" s="516"/>
      <c r="M54" s="129"/>
      <c r="N54" s="129"/>
      <c r="O54" s="129"/>
    </row>
    <row r="55" spans="1:15" ht="26.25">
      <c r="A55" s="129">
        <v>11</v>
      </c>
      <c r="B55" s="10" t="s">
        <v>243</v>
      </c>
      <c r="C55" s="551"/>
      <c r="D55" s="543">
        <f>+'EXCISE SALES DETAILS'!DC94</f>
        <v>0</v>
      </c>
      <c r="E55" s="544"/>
      <c r="F55" s="998">
        <f>+D55</f>
        <v>0</v>
      </c>
      <c r="G55" s="999"/>
      <c r="H55" s="516"/>
      <c r="I55" s="569">
        <f>+'EXCISE SALES DETAILS'!DD94/100000</f>
        <v>0</v>
      </c>
      <c r="J55" s="1000" t="s">
        <v>244</v>
      </c>
      <c r="K55" s="1001"/>
      <c r="L55" s="1002"/>
      <c r="M55" s="570">
        <f>+'EXCISE SALES DETAILS'!Q106</f>
        <v>0</v>
      </c>
      <c r="N55" s="129"/>
      <c r="O55" s="129" t="s">
        <v>236</v>
      </c>
    </row>
    <row r="56" spans="1:15"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</row>
    <row r="57" spans="1:15"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</row>
    <row r="58" spans="1:15" ht="28.5">
      <c r="A58" s="3"/>
      <c r="B58" s="553" t="s">
        <v>214</v>
      </c>
      <c r="C58" s="554"/>
      <c r="D58" s="543">
        <f>SUM(D45:D57)</f>
        <v>309.63888300000002</v>
      </c>
      <c r="E58" s="546"/>
      <c r="F58" s="998">
        <f>SUM(F45:F57)</f>
        <v>412.09550600000006</v>
      </c>
      <c r="G58" s="999"/>
      <c r="H58" s="516"/>
      <c r="I58" s="571">
        <f t="shared" ref="I58:N58" si="0">SUM(I45:I57)</f>
        <v>556.8680844999999</v>
      </c>
      <c r="J58" s="572">
        <f t="shared" si="0"/>
        <v>471506.59</v>
      </c>
      <c r="K58" s="572">
        <f t="shared" si="0"/>
        <v>471506.59</v>
      </c>
      <c r="L58" s="572">
        <f t="shared" si="0"/>
        <v>1841327.2725</v>
      </c>
      <c r="M58" s="572">
        <f t="shared" si="0"/>
        <v>0</v>
      </c>
      <c r="N58" s="572">
        <f t="shared" si="0"/>
        <v>0</v>
      </c>
      <c r="O58" s="5"/>
    </row>
  </sheetData>
  <sheetProtection algorithmName="SHA-512" hashValue="m3HjC/UzNp/lG1MKz9glDPgggCjWJIYYtuK56GbRoYrUYU3oQ3yo39uGwGaaJdQPWvyPXihOl1UUQMGqWGo57Q==" saltValue="niPHFLa5xD12N8IEkCN8gw==" spinCount="100000" sheet="1" objects="1"/>
  <mergeCells count="13">
    <mergeCell ref="D32:D33"/>
    <mergeCell ref="F32:F33"/>
    <mergeCell ref="G32:G33"/>
    <mergeCell ref="C37:D37"/>
    <mergeCell ref="F45:G45"/>
    <mergeCell ref="M32:M33"/>
    <mergeCell ref="F52:G52"/>
    <mergeCell ref="F55:G55"/>
    <mergeCell ref="J55:L55"/>
    <mergeCell ref="F58:G58"/>
    <mergeCell ref="F47:G47"/>
    <mergeCell ref="F49:G49"/>
    <mergeCell ref="F50:G50"/>
  </mergeCells>
  <pageMargins left="0.23622047244094491" right="0.19685039370078741" top="0.27559055118110237" bottom="0.55118110236220474" header="0.31496062992125984" footer="0.31496062992125984"/>
  <pageSetup paperSize="9" scale="60" orientation="landscape" r:id="rId1"/>
  <rowBreaks count="1" manualBreakCount="1">
    <brk id="38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60"/>
  <sheetViews>
    <sheetView zoomScale="80" zoomScaleNormal="80" workbookViewId="0">
      <pane ySplit="4" topLeftCell="A21" activePane="bottomLeft" state="frozen"/>
      <selection pane="bottomLeft" activeCell="R6" sqref="R6"/>
    </sheetView>
  </sheetViews>
  <sheetFormatPr defaultColWidth="9.140625" defaultRowHeight="23.25"/>
  <cols>
    <col min="1" max="1" width="6.7109375" style="360" customWidth="1"/>
    <col min="2" max="2" width="19.140625" style="360" customWidth="1"/>
    <col min="3" max="3" width="12.7109375" style="360" customWidth="1"/>
    <col min="4" max="4" width="11.28515625" style="360" customWidth="1"/>
    <col min="5" max="5" width="12" style="361" customWidth="1"/>
    <col min="6" max="6" width="17" style="361" customWidth="1"/>
    <col min="7" max="7" width="13.5703125" style="361" customWidth="1"/>
    <col min="8" max="8" width="9.85546875" style="361" customWidth="1"/>
    <col min="9" max="9" width="16.42578125" style="361" customWidth="1"/>
    <col min="10" max="10" width="15" style="361" customWidth="1"/>
    <col min="11" max="11" width="13" style="361" customWidth="1"/>
    <col min="12" max="13" width="13.7109375" style="361" customWidth="1"/>
    <col min="14" max="14" width="10.5703125" style="361" customWidth="1"/>
    <col min="15" max="15" width="14.140625" style="361" customWidth="1"/>
    <col min="16" max="16" width="15.42578125" style="361" customWidth="1"/>
    <col min="17" max="16384" width="9.140625" style="360"/>
  </cols>
  <sheetData>
    <row r="1" spans="1:21" ht="20.25" customHeight="1">
      <c r="A1" s="1046" t="s">
        <v>514</v>
      </c>
      <c r="B1" s="1046"/>
      <c r="C1" s="1046"/>
      <c r="D1" s="1046"/>
      <c r="E1" s="1046"/>
      <c r="F1" s="1046"/>
      <c r="G1" s="1046"/>
      <c r="H1" s="1046"/>
      <c r="I1" s="1046"/>
      <c r="J1" s="1046"/>
      <c r="K1" s="1046"/>
      <c r="L1" s="1046"/>
      <c r="M1" s="1046"/>
      <c r="N1" s="1046"/>
      <c r="O1" s="1046"/>
    </row>
    <row r="2" spans="1:21">
      <c r="A2" s="362"/>
      <c r="B2" s="362"/>
      <c r="C2" s="362"/>
      <c r="D2" s="362"/>
      <c r="E2" s="363"/>
      <c r="F2" s="363"/>
      <c r="G2" s="363"/>
      <c r="H2" s="363"/>
      <c r="I2" s="363"/>
      <c r="J2" s="363"/>
      <c r="K2" s="363"/>
      <c r="L2" s="363"/>
      <c r="M2" s="456"/>
      <c r="N2" s="457"/>
      <c r="O2" s="457"/>
    </row>
    <row r="3" spans="1:21" ht="21" customHeight="1">
      <c r="A3" s="364" t="s">
        <v>245</v>
      </c>
      <c r="B3" s="365" t="s">
        <v>83</v>
      </c>
      <c r="C3" s="1012" t="s">
        <v>246</v>
      </c>
      <c r="D3" s="366"/>
      <c r="E3" s="1047" t="s">
        <v>8</v>
      </c>
      <c r="F3" s="1047"/>
      <c r="G3" s="1048"/>
      <c r="H3" s="1049" t="s">
        <v>247</v>
      </c>
      <c r="I3" s="1047"/>
      <c r="J3" s="1048"/>
      <c r="K3" s="1049" t="s">
        <v>248</v>
      </c>
      <c r="L3" s="1047"/>
      <c r="M3" s="1047"/>
      <c r="N3" s="1050" t="s">
        <v>249</v>
      </c>
      <c r="O3" s="1051"/>
      <c r="P3" s="1052"/>
    </row>
    <row r="4" spans="1:21" ht="69.75">
      <c r="A4" s="1044" t="s">
        <v>3</v>
      </c>
      <c r="B4" s="1045"/>
      <c r="C4" s="1013"/>
      <c r="D4" s="366" t="s">
        <v>18</v>
      </c>
      <c r="E4" s="369" t="s">
        <v>250</v>
      </c>
      <c r="F4" s="370" t="s">
        <v>251</v>
      </c>
      <c r="G4" s="371" t="s">
        <v>18</v>
      </c>
      <c r="H4" s="372" t="s">
        <v>250</v>
      </c>
      <c r="I4" s="370" t="s">
        <v>251</v>
      </c>
      <c r="J4" s="371" t="s">
        <v>18</v>
      </c>
      <c r="K4" s="372" t="s">
        <v>250</v>
      </c>
      <c r="L4" s="370" t="s">
        <v>251</v>
      </c>
      <c r="M4" s="371" t="s">
        <v>18</v>
      </c>
      <c r="N4" s="458" t="s">
        <v>250</v>
      </c>
      <c r="O4" s="459" t="s">
        <v>251</v>
      </c>
      <c r="P4" s="460" t="s">
        <v>18</v>
      </c>
      <c r="Q4" s="503"/>
      <c r="R4" s="503"/>
      <c r="S4" s="503"/>
      <c r="T4" s="503"/>
      <c r="U4" s="503"/>
    </row>
    <row r="5" spans="1:21" ht="49.5" customHeight="1">
      <c r="A5" s="373">
        <v>1</v>
      </c>
      <c r="B5" s="368" t="s">
        <v>252</v>
      </c>
      <c r="C5" s="374">
        <v>334.18299999999999</v>
      </c>
      <c r="D5" s="374">
        <v>331.69499999999999</v>
      </c>
      <c r="E5" s="375">
        <f>+'39-6-OZ'!D9</f>
        <v>43</v>
      </c>
      <c r="F5" s="376">
        <f t="shared" ref="F5:F12" si="0">E5*C5/1000</f>
        <v>14.369869</v>
      </c>
      <c r="G5" s="377">
        <f>+E5*D5/1000</f>
        <v>14.262885000000001</v>
      </c>
      <c r="H5" s="378">
        <f>+'39-6-OZ'!G40</f>
        <v>89</v>
      </c>
      <c r="I5" s="376">
        <f t="shared" ref="I5:I20" si="1">H5*C5/1000</f>
        <v>29.742287000000001</v>
      </c>
      <c r="J5" s="377">
        <f t="shared" ref="J5:J20" si="2">+H5*D5/1000</f>
        <v>29.520855000000001</v>
      </c>
      <c r="K5" s="378">
        <f>+'39-6-OZ'!K40</f>
        <v>115</v>
      </c>
      <c r="L5" s="376">
        <f t="shared" ref="L5:L20" si="3">K5*C5/1000</f>
        <v>38.431044999999997</v>
      </c>
      <c r="M5" s="377">
        <f t="shared" ref="M5:M20" si="4">+K5*D5/1000</f>
        <v>38.144924999999994</v>
      </c>
      <c r="N5" s="375">
        <f t="shared" ref="N5:N20" si="5">(E5+H5)-K5</f>
        <v>17</v>
      </c>
      <c r="O5" s="461">
        <f t="shared" ref="O5:O20" si="6">N5*C5/1000</f>
        <v>5.6811109999999996</v>
      </c>
      <c r="P5" s="462">
        <f t="shared" ref="P5:P20" si="7">+G5+J5-M5</f>
        <v>5.6388150000000081</v>
      </c>
      <c r="Q5" s="503"/>
      <c r="R5" s="503"/>
      <c r="S5" s="503"/>
      <c r="T5" s="503"/>
      <c r="U5" s="503"/>
    </row>
    <row r="6" spans="1:21" ht="58.5" customHeight="1">
      <c r="A6" s="373">
        <v>2</v>
      </c>
      <c r="B6" s="368" t="s">
        <v>253</v>
      </c>
      <c r="C6" s="379">
        <v>440.66399999999999</v>
      </c>
      <c r="D6" s="379">
        <v>437.38400000000001</v>
      </c>
      <c r="E6" s="375">
        <f>+'38-8.12-OZ '!D9</f>
        <v>40</v>
      </c>
      <c r="F6" s="376">
        <f t="shared" si="0"/>
        <v>17.626559999999998</v>
      </c>
      <c r="G6" s="377">
        <f t="shared" ref="G6:G20" si="8">+E6*D6/1000</f>
        <v>17.495360000000002</v>
      </c>
      <c r="H6" s="378">
        <f>+'38-8.12-OZ '!G40</f>
        <v>79</v>
      </c>
      <c r="I6" s="376">
        <f>H6*C6/1000+0.005</f>
        <v>34.817456</v>
      </c>
      <c r="J6" s="377">
        <f>+H6*D6/1000+0.005</f>
        <v>34.558336000000004</v>
      </c>
      <c r="K6" s="375">
        <f>+'38-8.12-OZ '!K40</f>
        <v>101</v>
      </c>
      <c r="L6" s="376">
        <f>K6*C6/1000+0.005</f>
        <v>44.512064000000002</v>
      </c>
      <c r="M6" s="377">
        <f>+K6*D6/1000+0.005</f>
        <v>44.180784000000003</v>
      </c>
      <c r="N6" s="375">
        <f t="shared" si="5"/>
        <v>18</v>
      </c>
      <c r="O6" s="461">
        <f t="shared" si="6"/>
        <v>7.931951999999999</v>
      </c>
      <c r="P6" s="462">
        <f t="shared" si="7"/>
        <v>7.8729119999999995</v>
      </c>
    </row>
    <row r="7" spans="1:21" ht="51" customHeight="1">
      <c r="A7" s="373">
        <v>3</v>
      </c>
      <c r="B7" s="368" t="s">
        <v>254</v>
      </c>
      <c r="C7" s="379">
        <v>371.31400000000002</v>
      </c>
      <c r="D7" s="380">
        <v>368.55</v>
      </c>
      <c r="E7" s="375">
        <f>+'40-6.5'!D9</f>
        <v>7</v>
      </c>
      <c r="F7" s="376">
        <f t="shared" si="0"/>
        <v>2.5991980000000003</v>
      </c>
      <c r="G7" s="377">
        <f t="shared" si="8"/>
        <v>2.57985</v>
      </c>
      <c r="H7" s="375">
        <f>+'40-6.5'!G40</f>
        <v>85</v>
      </c>
      <c r="I7" s="376">
        <f t="shared" si="1"/>
        <v>31.561690000000002</v>
      </c>
      <c r="J7" s="377">
        <f t="shared" si="2"/>
        <v>31.326750000000001</v>
      </c>
      <c r="K7" s="378">
        <f>+'40-6.5'!K40</f>
        <v>73</v>
      </c>
      <c r="L7" s="376">
        <f t="shared" si="3"/>
        <v>27.105922000000003</v>
      </c>
      <c r="M7" s="377">
        <f t="shared" si="4"/>
        <v>26.904150000000001</v>
      </c>
      <c r="N7" s="375">
        <f t="shared" si="5"/>
        <v>19</v>
      </c>
      <c r="O7" s="461">
        <f t="shared" si="6"/>
        <v>7.0549660000000003</v>
      </c>
      <c r="P7" s="462">
        <f t="shared" si="7"/>
        <v>7.0024499999999961</v>
      </c>
    </row>
    <row r="8" spans="1:21" ht="43.5" customHeight="1">
      <c r="A8" s="373">
        <v>4</v>
      </c>
      <c r="B8" s="368" t="s">
        <v>255</v>
      </c>
      <c r="C8" s="379">
        <v>501.26400000000001</v>
      </c>
      <c r="D8" s="379"/>
      <c r="E8" s="375">
        <f>+'54-6.5'!D9</f>
        <v>0</v>
      </c>
      <c r="F8" s="376">
        <f t="shared" si="0"/>
        <v>0</v>
      </c>
      <c r="G8" s="377">
        <f t="shared" si="8"/>
        <v>0</v>
      </c>
      <c r="H8" s="375">
        <f>+'54-6.5'!G40</f>
        <v>0</v>
      </c>
      <c r="I8" s="376">
        <f t="shared" si="1"/>
        <v>0</v>
      </c>
      <c r="J8" s="377">
        <f t="shared" si="2"/>
        <v>0</v>
      </c>
      <c r="K8" s="375">
        <f>+'54-6.5'!K40</f>
        <v>0</v>
      </c>
      <c r="L8" s="376">
        <f t="shared" si="3"/>
        <v>0</v>
      </c>
      <c r="M8" s="377">
        <f t="shared" si="4"/>
        <v>0</v>
      </c>
      <c r="N8" s="375">
        <f t="shared" si="5"/>
        <v>0</v>
      </c>
      <c r="O8" s="461">
        <f t="shared" si="6"/>
        <v>0</v>
      </c>
      <c r="P8" s="462">
        <f t="shared" si="7"/>
        <v>0</v>
      </c>
      <c r="R8" s="504"/>
    </row>
    <row r="9" spans="1:21" ht="36" customHeight="1">
      <c r="A9" s="373">
        <v>5</v>
      </c>
      <c r="B9" s="381" t="s">
        <v>256</v>
      </c>
      <c r="C9" s="379">
        <v>408.44600000000003</v>
      </c>
      <c r="D9" s="379">
        <v>405.40499999999997</v>
      </c>
      <c r="E9" s="375">
        <f>+'44-7.15 '!D9</f>
        <v>0</v>
      </c>
      <c r="F9" s="376">
        <f t="shared" si="0"/>
        <v>0</v>
      </c>
      <c r="G9" s="377">
        <f t="shared" si="8"/>
        <v>0</v>
      </c>
      <c r="H9" s="375">
        <f>+'44-7.15 '!G40</f>
        <v>0</v>
      </c>
      <c r="I9" s="376">
        <f t="shared" si="1"/>
        <v>0</v>
      </c>
      <c r="J9" s="377">
        <f t="shared" si="2"/>
        <v>0</v>
      </c>
      <c r="K9" s="375">
        <f>+'44-7.15 '!K40</f>
        <v>0</v>
      </c>
      <c r="L9" s="376">
        <f t="shared" si="3"/>
        <v>0</v>
      </c>
      <c r="M9" s="377">
        <f t="shared" si="4"/>
        <v>0</v>
      </c>
      <c r="N9" s="375">
        <f t="shared" si="5"/>
        <v>0</v>
      </c>
      <c r="O9" s="461">
        <f t="shared" si="6"/>
        <v>0</v>
      </c>
      <c r="P9" s="462">
        <f t="shared" si="7"/>
        <v>0</v>
      </c>
    </row>
    <row r="10" spans="1:21" ht="40.5" customHeight="1">
      <c r="A10" s="373">
        <v>6</v>
      </c>
      <c r="B10" s="368" t="s">
        <v>257</v>
      </c>
      <c r="C10" s="379">
        <v>262.38600000000002</v>
      </c>
      <c r="D10" s="379"/>
      <c r="E10" s="375">
        <f>+'48-8.4-OZ  '!D9</f>
        <v>0</v>
      </c>
      <c r="F10" s="376">
        <f t="shared" si="0"/>
        <v>0</v>
      </c>
      <c r="G10" s="377">
        <f t="shared" si="8"/>
        <v>0</v>
      </c>
      <c r="H10" s="375">
        <f>+'48-8.4-OZ  '!G40</f>
        <v>0</v>
      </c>
      <c r="I10" s="376">
        <f t="shared" si="1"/>
        <v>0</v>
      </c>
      <c r="J10" s="377">
        <f t="shared" si="2"/>
        <v>0</v>
      </c>
      <c r="K10" s="375">
        <f>+'48-8.4-OZ  '!K40</f>
        <v>0</v>
      </c>
      <c r="L10" s="376">
        <f t="shared" si="3"/>
        <v>0</v>
      </c>
      <c r="M10" s="377">
        <f t="shared" si="4"/>
        <v>0</v>
      </c>
      <c r="N10" s="375">
        <f t="shared" si="5"/>
        <v>0</v>
      </c>
      <c r="O10" s="461">
        <f t="shared" si="6"/>
        <v>0</v>
      </c>
      <c r="P10" s="462">
        <f t="shared" si="7"/>
        <v>0</v>
      </c>
    </row>
    <row r="11" spans="1:21" ht="39.75" customHeight="1">
      <c r="A11" s="373">
        <v>7</v>
      </c>
      <c r="B11" s="368" t="s">
        <v>258</v>
      </c>
      <c r="C11" s="379">
        <v>177.11</v>
      </c>
      <c r="D11" s="379"/>
      <c r="E11" s="375">
        <f>+'51-11.36-OZ '!D9</f>
        <v>0</v>
      </c>
      <c r="F11" s="376">
        <f t="shared" si="0"/>
        <v>0</v>
      </c>
      <c r="G11" s="377">
        <f t="shared" si="8"/>
        <v>0</v>
      </c>
      <c r="H11" s="375">
        <f>+'51-11.36-OZ '!G40</f>
        <v>0</v>
      </c>
      <c r="I11" s="376">
        <f t="shared" si="1"/>
        <v>0</v>
      </c>
      <c r="J11" s="377">
        <f t="shared" si="2"/>
        <v>0</v>
      </c>
      <c r="K11" s="375">
        <f>+'51-11.36-OZ '!K40</f>
        <v>0</v>
      </c>
      <c r="L11" s="376">
        <f t="shared" si="3"/>
        <v>0</v>
      </c>
      <c r="M11" s="377">
        <f t="shared" si="4"/>
        <v>0</v>
      </c>
      <c r="N11" s="375">
        <f t="shared" si="5"/>
        <v>0</v>
      </c>
      <c r="O11" s="461">
        <f t="shared" si="6"/>
        <v>0</v>
      </c>
      <c r="P11" s="462">
        <f t="shared" si="7"/>
        <v>0</v>
      </c>
    </row>
    <row r="12" spans="1:21" ht="40.5" customHeight="1">
      <c r="A12" s="368">
        <v>8</v>
      </c>
      <c r="B12" s="368" t="s">
        <v>259</v>
      </c>
      <c r="C12" s="380">
        <v>257.06400000000002</v>
      </c>
      <c r="D12" s="380">
        <v>255.15</v>
      </c>
      <c r="E12" s="375">
        <f>+'40-4.5-OZ'!D9</f>
        <v>0</v>
      </c>
      <c r="F12" s="376">
        <f t="shared" si="0"/>
        <v>0</v>
      </c>
      <c r="G12" s="377">
        <f t="shared" si="8"/>
        <v>0</v>
      </c>
      <c r="H12" s="375">
        <f>+'40-4.5-OZ'!G40</f>
        <v>0</v>
      </c>
      <c r="I12" s="376">
        <f t="shared" si="1"/>
        <v>0</v>
      </c>
      <c r="J12" s="377">
        <f t="shared" si="2"/>
        <v>0</v>
      </c>
      <c r="K12" s="375">
        <f>+'40-4.5-OZ'!K40</f>
        <v>0</v>
      </c>
      <c r="L12" s="376">
        <f t="shared" si="3"/>
        <v>0</v>
      </c>
      <c r="M12" s="377">
        <f t="shared" si="4"/>
        <v>0</v>
      </c>
      <c r="N12" s="375">
        <f t="shared" si="5"/>
        <v>0</v>
      </c>
      <c r="O12" s="461">
        <f t="shared" si="6"/>
        <v>0</v>
      </c>
      <c r="P12" s="462">
        <f t="shared" si="7"/>
        <v>0</v>
      </c>
    </row>
    <row r="13" spans="1:21" ht="40.5" customHeight="1">
      <c r="A13" s="368">
        <v>9</v>
      </c>
      <c r="B13" s="368" t="s">
        <v>260</v>
      </c>
      <c r="C13" s="380">
        <v>445.71300000000002</v>
      </c>
      <c r="D13" s="380"/>
      <c r="E13" s="375">
        <f>+'48-7.80 EXP'!D9</f>
        <v>0</v>
      </c>
      <c r="F13" s="376">
        <f>+'48-7.80 EXP'!E9</f>
        <v>0</v>
      </c>
      <c r="G13" s="377">
        <f t="shared" si="8"/>
        <v>0</v>
      </c>
      <c r="H13" s="375">
        <f>+'48-7.80 EXP'!G40</f>
        <v>0</v>
      </c>
      <c r="I13" s="376">
        <f t="shared" si="1"/>
        <v>0</v>
      </c>
      <c r="J13" s="377">
        <f t="shared" si="2"/>
        <v>0</v>
      </c>
      <c r="K13" s="375">
        <f>+'48-7.80 EXP'!K40</f>
        <v>0</v>
      </c>
      <c r="L13" s="376">
        <f t="shared" si="3"/>
        <v>0</v>
      </c>
      <c r="M13" s="377">
        <f t="shared" si="4"/>
        <v>0</v>
      </c>
      <c r="N13" s="375">
        <f t="shared" si="5"/>
        <v>0</v>
      </c>
      <c r="O13" s="461">
        <f t="shared" si="6"/>
        <v>0</v>
      </c>
      <c r="P13" s="462">
        <f t="shared" si="7"/>
        <v>0</v>
      </c>
    </row>
    <row r="14" spans="1:21" ht="40.5" customHeight="1">
      <c r="A14" s="368">
        <v>10</v>
      </c>
      <c r="B14" s="368" t="s">
        <v>261</v>
      </c>
      <c r="C14" s="380">
        <v>342.55</v>
      </c>
      <c r="D14" s="380"/>
      <c r="E14" s="375">
        <f>+'48-6 EXPORT'!D9</f>
        <v>0</v>
      </c>
      <c r="F14" s="376">
        <f>+'48-6 EXPORT'!E9</f>
        <v>0</v>
      </c>
      <c r="G14" s="377">
        <f t="shared" si="8"/>
        <v>0</v>
      </c>
      <c r="H14" s="375">
        <f>+'48-6 EXPORT'!G40</f>
        <v>0</v>
      </c>
      <c r="I14" s="376">
        <f t="shared" si="1"/>
        <v>0</v>
      </c>
      <c r="J14" s="377">
        <f t="shared" si="2"/>
        <v>0</v>
      </c>
      <c r="K14" s="375">
        <f>+'48-6 EXPORT'!K40</f>
        <v>0</v>
      </c>
      <c r="L14" s="376">
        <f t="shared" si="3"/>
        <v>0</v>
      </c>
      <c r="M14" s="377">
        <f t="shared" si="4"/>
        <v>0</v>
      </c>
      <c r="N14" s="375">
        <f t="shared" si="5"/>
        <v>0</v>
      </c>
      <c r="O14" s="461">
        <f t="shared" si="6"/>
        <v>0</v>
      </c>
      <c r="P14" s="462">
        <f t="shared" si="7"/>
        <v>0</v>
      </c>
    </row>
    <row r="15" spans="1:21" ht="40.5" customHeight="1">
      <c r="A15" s="368">
        <v>11</v>
      </c>
      <c r="B15" s="368" t="s">
        <v>262</v>
      </c>
      <c r="C15" s="380">
        <v>420.72199999999998</v>
      </c>
      <c r="D15" s="380">
        <v>417.59</v>
      </c>
      <c r="E15" s="375">
        <f>+'34-9.82'!D9</f>
        <v>0</v>
      </c>
      <c r="F15" s="376">
        <f>+'34-9.82'!E9</f>
        <v>0</v>
      </c>
      <c r="G15" s="377">
        <f t="shared" si="8"/>
        <v>0</v>
      </c>
      <c r="H15" s="378">
        <f>+'34-9.82'!G40</f>
        <v>0</v>
      </c>
      <c r="I15" s="376">
        <f t="shared" si="1"/>
        <v>0</v>
      </c>
      <c r="J15" s="377">
        <f t="shared" si="2"/>
        <v>0</v>
      </c>
      <c r="K15" s="378">
        <f>+'34-9.82'!K40</f>
        <v>0</v>
      </c>
      <c r="L15" s="376">
        <f t="shared" si="3"/>
        <v>0</v>
      </c>
      <c r="M15" s="377">
        <f t="shared" si="4"/>
        <v>0</v>
      </c>
      <c r="N15" s="375">
        <f t="shared" si="5"/>
        <v>0</v>
      </c>
      <c r="O15" s="461">
        <f t="shared" si="6"/>
        <v>0</v>
      </c>
      <c r="P15" s="462">
        <f t="shared" si="7"/>
        <v>0</v>
      </c>
    </row>
    <row r="16" spans="1:21" ht="40.5" customHeight="1">
      <c r="A16" s="368">
        <v>12</v>
      </c>
      <c r="B16" s="246" t="s">
        <v>263</v>
      </c>
      <c r="C16" s="380">
        <v>231.352</v>
      </c>
      <c r="D16" s="380">
        <v>229.63</v>
      </c>
      <c r="E16" s="375">
        <f>+'36-4.05 OZ'!D9</f>
        <v>0</v>
      </c>
      <c r="F16" s="376">
        <f>E16*C16/1000</f>
        <v>0</v>
      </c>
      <c r="G16" s="377">
        <f t="shared" si="8"/>
        <v>0</v>
      </c>
      <c r="H16" s="378">
        <f>+'36-4.05 OZ'!G40</f>
        <v>0</v>
      </c>
      <c r="I16" s="376">
        <f t="shared" si="1"/>
        <v>0</v>
      </c>
      <c r="J16" s="377">
        <f t="shared" si="2"/>
        <v>0</v>
      </c>
      <c r="K16" s="378">
        <f>+'36-4.05 OZ'!K40</f>
        <v>0</v>
      </c>
      <c r="L16" s="376">
        <f t="shared" si="3"/>
        <v>0</v>
      </c>
      <c r="M16" s="377">
        <f t="shared" si="4"/>
        <v>0</v>
      </c>
      <c r="N16" s="375">
        <f t="shared" si="5"/>
        <v>0</v>
      </c>
      <c r="O16" s="461">
        <f t="shared" si="6"/>
        <v>0</v>
      </c>
      <c r="P16" s="462">
        <f t="shared" si="7"/>
        <v>0</v>
      </c>
    </row>
    <row r="17" spans="1:16" ht="40.5" customHeight="1">
      <c r="A17" s="368">
        <v>13</v>
      </c>
      <c r="B17" s="246" t="s">
        <v>264</v>
      </c>
      <c r="C17" s="380">
        <v>255.12100000000001</v>
      </c>
      <c r="D17" s="380"/>
      <c r="E17" s="375">
        <f>+'44-8.12 OZ'!D9</f>
        <v>0</v>
      </c>
      <c r="F17" s="376">
        <f>E17*C17/1000</f>
        <v>0</v>
      </c>
      <c r="G17" s="377">
        <f t="shared" si="8"/>
        <v>0</v>
      </c>
      <c r="H17" s="378">
        <f>+'44-8.12 OZ'!G40</f>
        <v>0</v>
      </c>
      <c r="I17" s="376">
        <f t="shared" si="1"/>
        <v>0</v>
      </c>
      <c r="J17" s="377">
        <f t="shared" si="2"/>
        <v>0</v>
      </c>
      <c r="K17" s="378">
        <f>+'44-8.12 OZ'!K40</f>
        <v>0</v>
      </c>
      <c r="L17" s="376">
        <f t="shared" si="3"/>
        <v>0</v>
      </c>
      <c r="M17" s="377">
        <f t="shared" si="4"/>
        <v>0</v>
      </c>
      <c r="N17" s="375">
        <f t="shared" si="5"/>
        <v>0</v>
      </c>
      <c r="O17" s="461">
        <f t="shared" si="6"/>
        <v>0</v>
      </c>
      <c r="P17" s="462">
        <f t="shared" si="7"/>
        <v>0</v>
      </c>
    </row>
    <row r="18" spans="1:16" ht="40.5" customHeight="1">
      <c r="A18" s="368"/>
      <c r="B18" s="246" t="s">
        <v>265</v>
      </c>
      <c r="C18" s="380">
        <v>382.68200000000002</v>
      </c>
      <c r="D18" s="380">
        <v>379.83300000000003</v>
      </c>
      <c r="E18" s="375">
        <f>+'44-8.12 OZ (2)'!D9</f>
        <v>0</v>
      </c>
      <c r="F18" s="376">
        <f>E18*C18/1000</f>
        <v>0</v>
      </c>
      <c r="G18" s="377">
        <f t="shared" ref="G18:G19" si="9">+E18*D18/1000</f>
        <v>0</v>
      </c>
      <c r="H18" s="378">
        <f>+'44-8.12 OZ (2)'!G40</f>
        <v>0</v>
      </c>
      <c r="I18" s="376">
        <f t="shared" si="1"/>
        <v>0</v>
      </c>
      <c r="J18" s="377">
        <f t="shared" si="2"/>
        <v>0</v>
      </c>
      <c r="K18" s="378">
        <f>+'44-8.12 OZ (2)'!K40</f>
        <v>0</v>
      </c>
      <c r="L18" s="376">
        <f t="shared" ref="L18" si="10">K18*C18/1000</f>
        <v>0</v>
      </c>
      <c r="M18" s="377">
        <f t="shared" ref="M18" si="11">+K18*D18/1000</f>
        <v>0</v>
      </c>
      <c r="N18" s="375">
        <f t="shared" ref="N18" si="12">(E18+H18)-K18</f>
        <v>0</v>
      </c>
      <c r="O18" s="461">
        <f t="shared" ref="O18" si="13">N18*C18/1000</f>
        <v>0</v>
      </c>
      <c r="P18" s="462">
        <f t="shared" ref="P18" si="14">+G18+J18-M18</f>
        <v>0</v>
      </c>
    </row>
    <row r="19" spans="1:16" ht="40.5" customHeight="1">
      <c r="A19" s="368">
        <v>14</v>
      </c>
      <c r="B19" s="246" t="s">
        <v>266</v>
      </c>
      <c r="C19" s="380">
        <v>314.18900000000002</v>
      </c>
      <c r="D19" s="380">
        <v>311.85000000000002</v>
      </c>
      <c r="E19" s="375">
        <f>+'44-5 OZ'!D9</f>
        <v>0</v>
      </c>
      <c r="F19" s="376">
        <f>E19*C19/1000</f>
        <v>0</v>
      </c>
      <c r="G19" s="377">
        <f t="shared" si="9"/>
        <v>0</v>
      </c>
      <c r="H19" s="378">
        <f>+'44-5 OZ'!G40</f>
        <v>0</v>
      </c>
      <c r="I19" s="376">
        <f t="shared" si="1"/>
        <v>0</v>
      </c>
      <c r="J19" s="377">
        <f t="shared" si="2"/>
        <v>0</v>
      </c>
      <c r="K19" s="378">
        <f>+'44-5 OZ'!K40</f>
        <v>0</v>
      </c>
      <c r="L19" s="376">
        <f t="shared" si="3"/>
        <v>0</v>
      </c>
      <c r="M19" s="377">
        <f t="shared" si="4"/>
        <v>0</v>
      </c>
      <c r="N19" s="375">
        <f t="shared" si="5"/>
        <v>0</v>
      </c>
      <c r="O19" s="461">
        <f t="shared" si="6"/>
        <v>0</v>
      </c>
      <c r="P19" s="462">
        <f t="shared" si="7"/>
        <v>0</v>
      </c>
    </row>
    <row r="20" spans="1:16" ht="40.5" customHeight="1">
      <c r="A20" s="368">
        <v>15</v>
      </c>
      <c r="B20" s="246" t="s">
        <v>267</v>
      </c>
      <c r="C20" s="380">
        <v>157.09399999999999</v>
      </c>
      <c r="D20" s="380">
        <v>155.92500000000001</v>
      </c>
      <c r="E20" s="375"/>
      <c r="F20" s="376"/>
      <c r="G20" s="377">
        <f t="shared" si="8"/>
        <v>0</v>
      </c>
      <c r="H20" s="378">
        <f>+'44-5 OZ (2)'!G40</f>
        <v>0</v>
      </c>
      <c r="I20" s="376">
        <f t="shared" si="1"/>
        <v>0</v>
      </c>
      <c r="J20" s="377">
        <f t="shared" si="2"/>
        <v>0</v>
      </c>
      <c r="K20" s="378">
        <f>+'44-5 OZ (2)'!K40</f>
        <v>0</v>
      </c>
      <c r="L20" s="376">
        <f t="shared" si="3"/>
        <v>0</v>
      </c>
      <c r="M20" s="377">
        <f t="shared" si="4"/>
        <v>0</v>
      </c>
      <c r="N20" s="375">
        <f t="shared" si="5"/>
        <v>0</v>
      </c>
      <c r="O20" s="461">
        <f t="shared" si="6"/>
        <v>0</v>
      </c>
      <c r="P20" s="462">
        <f t="shared" si="7"/>
        <v>0</v>
      </c>
    </row>
    <row r="21" spans="1:16" ht="48.75" customHeight="1">
      <c r="A21" s="879">
        <v>16</v>
      </c>
      <c r="B21" s="856" t="s">
        <v>508</v>
      </c>
      <c r="C21" s="880"/>
      <c r="D21" s="880"/>
      <c r="E21" s="852"/>
      <c r="F21" s="853"/>
      <c r="G21" s="881"/>
      <c r="H21" s="882"/>
      <c r="I21" s="853"/>
      <c r="J21" s="881"/>
      <c r="K21" s="882"/>
      <c r="L21" s="853"/>
      <c r="M21" s="881"/>
      <c r="N21" s="852"/>
      <c r="O21" s="883"/>
      <c r="P21" s="462"/>
    </row>
    <row r="22" spans="1:16" ht="32.25" customHeight="1" thickBot="1">
      <c r="A22" s="1061" t="s">
        <v>268</v>
      </c>
      <c r="B22" s="1062"/>
      <c r="C22" s="1062"/>
      <c r="D22" s="382"/>
      <c r="E22" s="383">
        <f>SUM(E5:E20)</f>
        <v>90</v>
      </c>
      <c r="F22" s="384">
        <f t="shared" ref="F22:P22" si="15">SUM(F5:F20)</f>
        <v>34.595627</v>
      </c>
      <c r="G22" s="385">
        <f t="shared" si="15"/>
        <v>34.338095000000003</v>
      </c>
      <c r="H22" s="383">
        <f t="shared" si="15"/>
        <v>253</v>
      </c>
      <c r="I22" s="384">
        <f>SUM(I5:I21)</f>
        <v>96.121432999999996</v>
      </c>
      <c r="J22" s="384">
        <f>SUM(J5:J21)</f>
        <v>95.405941000000013</v>
      </c>
      <c r="K22" s="383">
        <f t="shared" si="15"/>
        <v>289</v>
      </c>
      <c r="L22" s="384">
        <f>SUM(L5:L21)</f>
        <v>110.049031</v>
      </c>
      <c r="M22" s="384">
        <f>SUM(M5:M21)</f>
        <v>109.22985899999999</v>
      </c>
      <c r="N22" s="383">
        <f t="shared" si="15"/>
        <v>54</v>
      </c>
      <c r="O22" s="463">
        <f t="shared" si="15"/>
        <v>20.668028999999997</v>
      </c>
      <c r="P22" s="395">
        <f t="shared" si="15"/>
        <v>20.514177000000004</v>
      </c>
    </row>
    <row r="23" spans="1:16" ht="15" customHeight="1">
      <c r="A23" s="366"/>
      <c r="B23" s="1063" t="s">
        <v>269</v>
      </c>
      <c r="C23" s="1028"/>
      <c r="D23" s="1028"/>
      <c r="E23" s="1028"/>
      <c r="F23" s="1028"/>
      <c r="G23" s="1028"/>
      <c r="H23" s="1028"/>
      <c r="I23" s="1028"/>
      <c r="J23" s="1028"/>
      <c r="K23" s="1028"/>
      <c r="L23" s="1028"/>
      <c r="M23" s="1028"/>
      <c r="N23" s="1028"/>
      <c r="O23" s="1028"/>
      <c r="P23" s="446"/>
    </row>
    <row r="24" spans="1:16" ht="50.25" customHeight="1">
      <c r="A24" s="386">
        <v>1</v>
      </c>
      <c r="B24" s="387" t="s">
        <v>270</v>
      </c>
      <c r="C24" s="388">
        <v>145.08000000000001</v>
      </c>
      <c r="D24" s="388">
        <v>144</v>
      </c>
      <c r="E24" s="389">
        <f>+'20 X10 '!D9</f>
        <v>0</v>
      </c>
      <c r="F24" s="390">
        <f>E24*C24/1000</f>
        <v>0</v>
      </c>
      <c r="G24" s="377">
        <f>+E24*D24/1000</f>
        <v>0</v>
      </c>
      <c r="H24" s="391">
        <f>+'20 X10 '!G40</f>
        <v>0</v>
      </c>
      <c r="I24" s="390">
        <f>H24*C24/1000</f>
        <v>0</v>
      </c>
      <c r="J24" s="377">
        <f>+H24*D24/1000</f>
        <v>0</v>
      </c>
      <c r="K24" s="389">
        <f>+'20 X10 '!K40</f>
        <v>0</v>
      </c>
      <c r="L24" s="390">
        <f>K24*C24/1000</f>
        <v>0</v>
      </c>
      <c r="M24" s="377">
        <f>+K24*D24/1000</f>
        <v>0</v>
      </c>
      <c r="N24" s="389">
        <f>(E24+H24)-K24</f>
        <v>0</v>
      </c>
      <c r="O24" s="464">
        <f>N24*C24/1000</f>
        <v>0</v>
      </c>
      <c r="P24" s="465">
        <f>+G24+J24-M24</f>
        <v>0</v>
      </c>
    </row>
    <row r="25" spans="1:16" ht="53.25" customHeight="1">
      <c r="A25" s="1064" t="s">
        <v>271</v>
      </c>
      <c r="B25" s="1064"/>
      <c r="C25" s="1064"/>
      <c r="D25" s="392"/>
      <c r="E25" s="393">
        <f>SUM(E22:E24)</f>
        <v>90</v>
      </c>
      <c r="F25" s="394">
        <f t="shared" ref="F25:P25" si="16">SUM(F22:F24)</f>
        <v>34.595627</v>
      </c>
      <c r="G25" s="395">
        <f t="shared" si="16"/>
        <v>34.338095000000003</v>
      </c>
      <c r="H25" s="393">
        <f t="shared" si="16"/>
        <v>253</v>
      </c>
      <c r="I25" s="394">
        <f t="shared" si="16"/>
        <v>96.121432999999996</v>
      </c>
      <c r="J25" s="395">
        <f t="shared" si="16"/>
        <v>95.405941000000013</v>
      </c>
      <c r="K25" s="393">
        <f t="shared" si="16"/>
        <v>289</v>
      </c>
      <c r="L25" s="394">
        <f t="shared" si="16"/>
        <v>110.049031</v>
      </c>
      <c r="M25" s="395">
        <f t="shared" si="16"/>
        <v>109.22985899999999</v>
      </c>
      <c r="N25" s="393">
        <f t="shared" si="16"/>
        <v>54</v>
      </c>
      <c r="O25" s="466">
        <f t="shared" si="16"/>
        <v>20.668028999999997</v>
      </c>
      <c r="P25" s="395">
        <f t="shared" si="16"/>
        <v>20.514177000000004</v>
      </c>
    </row>
    <row r="26" spans="1:16" ht="18" customHeight="1">
      <c r="A26" s="1063" t="s">
        <v>272</v>
      </c>
      <c r="B26" s="1028"/>
      <c r="C26" s="1028"/>
      <c r="D26" s="1028"/>
      <c r="E26" s="1028"/>
      <c r="F26" s="1028"/>
      <c r="G26" s="1028"/>
      <c r="H26" s="1028"/>
      <c r="I26" s="1028"/>
      <c r="J26" s="1028"/>
      <c r="K26" s="1028"/>
      <c r="L26" s="1028"/>
      <c r="M26" s="1028"/>
      <c r="N26" s="1028"/>
      <c r="O26" s="1028"/>
      <c r="P26" s="446"/>
    </row>
    <row r="27" spans="1:16" ht="38.25" customHeight="1">
      <c r="A27" s="368">
        <v>1</v>
      </c>
      <c r="B27" s="368" t="s">
        <v>273</v>
      </c>
      <c r="C27" s="368"/>
      <c r="D27" s="368"/>
      <c r="E27" s="396"/>
      <c r="F27" s="396"/>
      <c r="G27" s="396"/>
      <c r="H27" s="396"/>
      <c r="I27" s="396">
        <f>+'EXPORT 100FT'!H40</f>
        <v>0</v>
      </c>
      <c r="J27" s="396">
        <f>+I27</f>
        <v>0</v>
      </c>
      <c r="K27" s="396"/>
      <c r="L27" s="396">
        <f>+I27</f>
        <v>0</v>
      </c>
      <c r="M27" s="396">
        <f>+L27</f>
        <v>0</v>
      </c>
      <c r="N27" s="396"/>
      <c r="O27" s="367"/>
      <c r="P27" s="446"/>
    </row>
    <row r="28" spans="1:16" ht="34.5" customHeight="1">
      <c r="A28" s="368"/>
      <c r="B28" s="368" t="s">
        <v>274</v>
      </c>
      <c r="C28" s="368"/>
      <c r="D28" s="368"/>
      <c r="E28" s="396"/>
      <c r="F28" s="396"/>
      <c r="G28" s="396"/>
      <c r="H28" s="396"/>
      <c r="I28" s="396">
        <f>+'JUTE LENO'!H40</f>
        <v>0</v>
      </c>
      <c r="J28" s="396">
        <f>+I28</f>
        <v>0</v>
      </c>
      <c r="K28" s="396"/>
      <c r="L28" s="396">
        <f>+'JUTE LENO'!L40</f>
        <v>0</v>
      </c>
      <c r="M28" s="396">
        <f>+L28</f>
        <v>0</v>
      </c>
      <c r="N28" s="396"/>
      <c r="O28" s="367"/>
      <c r="P28" s="446"/>
    </row>
    <row r="29" spans="1:16" ht="39" customHeight="1">
      <c r="A29" s="368">
        <v>2</v>
      </c>
      <c r="B29" s="368" t="s">
        <v>275</v>
      </c>
      <c r="C29" s="368"/>
      <c r="D29" s="368"/>
      <c r="E29" s="396"/>
      <c r="F29" s="396"/>
      <c r="G29" s="396"/>
      <c r="H29" s="396"/>
      <c r="I29" s="396">
        <f>+'EXPORT 30 FT)'!H40</f>
        <v>0</v>
      </c>
      <c r="J29" s="396">
        <f>+I29</f>
        <v>0</v>
      </c>
      <c r="K29" s="396"/>
      <c r="L29" s="396">
        <f>+'EXPORT 30 FT)'!L40</f>
        <v>0</v>
      </c>
      <c r="M29" s="396">
        <f>+L29</f>
        <v>0</v>
      </c>
      <c r="N29" s="396"/>
      <c r="O29" s="367"/>
      <c r="P29" s="446"/>
    </row>
    <row r="30" spans="1:16" ht="53.25">
      <c r="A30" s="368">
        <v>3</v>
      </c>
      <c r="B30" s="368" t="s">
        <v>276</v>
      </c>
      <c r="C30" s="368"/>
      <c r="D30" s="368"/>
      <c r="E30" s="396">
        <f>+'EXPORT '!D9</f>
        <v>0</v>
      </c>
      <c r="F30" s="397"/>
      <c r="G30" s="397"/>
      <c r="H30" s="396"/>
      <c r="I30" s="397">
        <f>+'EXPORT '!H40</f>
        <v>0</v>
      </c>
      <c r="J30" s="396">
        <f>+I30</f>
        <v>0</v>
      </c>
      <c r="K30" s="396"/>
      <c r="L30" s="397">
        <f>+'EXPORT '!L40</f>
        <v>0</v>
      </c>
      <c r="M30" s="396">
        <f>+L30</f>
        <v>0</v>
      </c>
      <c r="N30" s="375">
        <f>H30-K30</f>
        <v>0</v>
      </c>
      <c r="O30" s="461">
        <f>I30-L30</f>
        <v>0</v>
      </c>
      <c r="P30" s="376">
        <f>J30-M30</f>
        <v>0</v>
      </c>
    </row>
    <row r="31" spans="1:16" ht="27.75" customHeight="1">
      <c r="A31" s="1065" t="s">
        <v>277</v>
      </c>
      <c r="B31" s="1065"/>
      <c r="C31" s="1065"/>
      <c r="D31" s="398"/>
      <c r="E31" s="375">
        <f>SUM(E29:E30)</f>
        <v>0</v>
      </c>
      <c r="F31" s="375">
        <f>SUM(F27:F30)</f>
        <v>0</v>
      </c>
      <c r="G31" s="375"/>
      <c r="H31" s="375">
        <f t="shared" ref="H31:N31" si="17">SUM(H29:H30)</f>
        <v>0</v>
      </c>
      <c r="I31" s="376">
        <f>SUM(I27:I30)</f>
        <v>0</v>
      </c>
      <c r="J31" s="396">
        <f>+I31</f>
        <v>0</v>
      </c>
      <c r="K31" s="375">
        <f t="shared" si="17"/>
        <v>0</v>
      </c>
      <c r="L31" s="376">
        <f>SUM(L27:L30)</f>
        <v>0</v>
      </c>
      <c r="M31" s="396">
        <f>+L31</f>
        <v>0</v>
      </c>
      <c r="N31" s="375">
        <f t="shared" si="17"/>
        <v>0</v>
      </c>
      <c r="O31" s="467">
        <f>SUM(O27:O30)</f>
        <v>0</v>
      </c>
      <c r="P31" s="446"/>
    </row>
    <row r="32" spans="1:16" ht="49.5" customHeight="1">
      <c r="A32" s="1053" t="s">
        <v>278</v>
      </c>
      <c r="B32" s="1053"/>
      <c r="C32" s="1053"/>
      <c r="D32" s="399"/>
      <c r="E32" s="400">
        <f>+E25+E31</f>
        <v>90</v>
      </c>
      <c r="F32" s="401">
        <f>+F31+F25</f>
        <v>34.595627</v>
      </c>
      <c r="G32" s="402">
        <f>+G31+G25</f>
        <v>34.338095000000003</v>
      </c>
      <c r="H32" s="400">
        <f>+H25+H31</f>
        <v>253</v>
      </c>
      <c r="I32" s="401">
        <f>+I31+I25</f>
        <v>96.121432999999996</v>
      </c>
      <c r="J32" s="402">
        <f>+J31+J25</f>
        <v>95.405941000000013</v>
      </c>
      <c r="K32" s="468">
        <f>+K25+K31</f>
        <v>289</v>
      </c>
      <c r="L32" s="401">
        <f>+L31+L25</f>
        <v>110.049031</v>
      </c>
      <c r="M32" s="402">
        <f>+M31+M25</f>
        <v>109.22985899999999</v>
      </c>
      <c r="N32" s="468">
        <f>+N25+N31</f>
        <v>54</v>
      </c>
      <c r="O32" s="469">
        <f>+O25+O31</f>
        <v>20.668028999999997</v>
      </c>
      <c r="P32" s="470">
        <f>+P25+P31</f>
        <v>20.514177000000004</v>
      </c>
    </row>
    <row r="33" spans="1:16" ht="47.25" customHeight="1">
      <c r="A33" s="1054" t="s">
        <v>279</v>
      </c>
      <c r="B33" s="1055"/>
      <c r="C33" s="1055"/>
      <c r="D33" s="1055"/>
      <c r="E33" s="1056"/>
      <c r="F33" s="394">
        <f>+F22+F29+F30</f>
        <v>34.595627</v>
      </c>
      <c r="G33" s="395">
        <f>+G22+G29+G30</f>
        <v>34.338095000000003</v>
      </c>
      <c r="H33" s="394"/>
      <c r="I33" s="394">
        <f>+I22+I31</f>
        <v>96.121432999999996</v>
      </c>
      <c r="J33" s="395">
        <f>+J22+J31</f>
        <v>95.405941000000013</v>
      </c>
      <c r="K33" s="393"/>
      <c r="L33" s="394">
        <f>+L22+L31</f>
        <v>110.049031</v>
      </c>
      <c r="M33" s="395">
        <f>+M22+M31</f>
        <v>109.22985899999999</v>
      </c>
      <c r="N33" s="393"/>
      <c r="O33" s="466">
        <f>+O22+O31</f>
        <v>20.668028999999997</v>
      </c>
      <c r="P33" s="470">
        <f>+P26+P32</f>
        <v>20.514177000000004</v>
      </c>
    </row>
    <row r="34" spans="1:16" ht="18.75" customHeight="1">
      <c r="A34" s="1057" t="s">
        <v>5</v>
      </c>
      <c r="B34" s="1058"/>
      <c r="C34" s="1058"/>
      <c r="D34" s="1058"/>
      <c r="E34" s="1058"/>
      <c r="F34" s="1058"/>
      <c r="G34" s="1058"/>
      <c r="H34" s="1058"/>
      <c r="I34" s="1058"/>
      <c r="J34" s="1058"/>
      <c r="K34" s="1058"/>
      <c r="L34" s="1058"/>
      <c r="M34" s="1058"/>
      <c r="N34" s="1058"/>
      <c r="O34" s="1058"/>
      <c r="P34" s="446"/>
    </row>
    <row r="35" spans="1:16" ht="42" customHeight="1">
      <c r="A35" s="403">
        <v>1</v>
      </c>
      <c r="B35" s="404" t="s">
        <v>511</v>
      </c>
      <c r="C35" s="885">
        <v>386.37599999999998</v>
      </c>
      <c r="D35" s="404">
        <v>383.5</v>
      </c>
      <c r="E35" s="405">
        <f>+'767 GMS 500 PCS'!D9</f>
        <v>0</v>
      </c>
      <c r="F35" s="406">
        <f>E35*C35/1000</f>
        <v>0</v>
      </c>
      <c r="G35" s="377">
        <f>+E35*D35/1000</f>
        <v>0</v>
      </c>
      <c r="H35" s="405">
        <f>+'767 GMS 500 PCS'!G40</f>
        <v>0</v>
      </c>
      <c r="I35" s="406">
        <f>H35*C35/1000</f>
        <v>0</v>
      </c>
      <c r="J35" s="377">
        <f>+H35*D35/1000</f>
        <v>0</v>
      </c>
      <c r="K35" s="405">
        <f>+'767 GMS 500 PCS'!K40</f>
        <v>0</v>
      </c>
      <c r="L35" s="406">
        <f>K35*C35/1000</f>
        <v>0</v>
      </c>
      <c r="M35" s="377">
        <f>+K35*D35/1000</f>
        <v>0</v>
      </c>
      <c r="N35" s="405">
        <f>(E35+H35)-K35</f>
        <v>0</v>
      </c>
      <c r="O35" s="471">
        <f>N35*C35/1000</f>
        <v>0</v>
      </c>
      <c r="P35" s="462">
        <f>+G35+J35-M35</f>
        <v>0</v>
      </c>
    </row>
    <row r="36" spans="1:16" ht="40.5" customHeight="1">
      <c r="A36" s="407">
        <v>2</v>
      </c>
      <c r="B36" s="408" t="s">
        <v>280</v>
      </c>
      <c r="C36" s="408">
        <v>292.17500000000001</v>
      </c>
      <c r="D36" s="408">
        <v>290</v>
      </c>
      <c r="E36" s="409">
        <f>+'TYPE A GOV'!D9</f>
        <v>365</v>
      </c>
      <c r="F36" s="410">
        <f>E36*C36/1000</f>
        <v>106.64387499999999</v>
      </c>
      <c r="G36" s="377">
        <f>+E36*D36/1000</f>
        <v>105.85</v>
      </c>
      <c r="H36" s="411">
        <f>+'TYPE A GOV'!G40</f>
        <v>654</v>
      </c>
      <c r="I36" s="410">
        <f>H36*C36/1000</f>
        <v>191.08245000000002</v>
      </c>
      <c r="J36" s="377">
        <f>+H36*D36/1000</f>
        <v>189.66</v>
      </c>
      <c r="K36" s="411">
        <f>+'TYPE A GOV'!K40</f>
        <v>957</v>
      </c>
      <c r="L36" s="410">
        <f>K36*C36/1000</f>
        <v>279.61147500000004</v>
      </c>
      <c r="M36" s="377">
        <f>+K36*D36/1000</f>
        <v>277.52999999999997</v>
      </c>
      <c r="N36" s="409">
        <f>(E36+H36)-K36</f>
        <v>62</v>
      </c>
      <c r="O36" s="472">
        <f>N36*C36/1000</f>
        <v>18.114850000000001</v>
      </c>
      <c r="P36" s="462">
        <f>+G36+J36-M36</f>
        <v>17.980000000000018</v>
      </c>
    </row>
    <row r="37" spans="1:16" ht="32.25" customHeight="1" thickBot="1">
      <c r="A37" s="1059" t="s">
        <v>281</v>
      </c>
      <c r="B37" s="1060"/>
      <c r="C37" s="1060"/>
      <c r="D37" s="412"/>
      <c r="E37" s="413">
        <f>SUM(E35:E36)</f>
        <v>365</v>
      </c>
      <c r="F37" s="414">
        <f t="shared" ref="F37:P37" si="18">SUM(F35:F36)</f>
        <v>106.64387499999999</v>
      </c>
      <c r="G37" s="415">
        <f t="shared" si="18"/>
        <v>105.85</v>
      </c>
      <c r="H37" s="416">
        <f t="shared" si="18"/>
        <v>654</v>
      </c>
      <c r="I37" s="473">
        <f t="shared" si="18"/>
        <v>191.08245000000002</v>
      </c>
      <c r="J37" s="415">
        <f t="shared" si="18"/>
        <v>189.66</v>
      </c>
      <c r="K37" s="416">
        <f t="shared" si="18"/>
        <v>957</v>
      </c>
      <c r="L37" s="473">
        <f t="shared" si="18"/>
        <v>279.61147500000004</v>
      </c>
      <c r="M37" s="474">
        <f t="shared" si="18"/>
        <v>277.52999999999997</v>
      </c>
      <c r="N37" s="416">
        <f t="shared" si="18"/>
        <v>62</v>
      </c>
      <c r="O37" s="475">
        <f t="shared" si="18"/>
        <v>18.114850000000001</v>
      </c>
      <c r="P37" s="395">
        <f t="shared" si="18"/>
        <v>17.980000000000018</v>
      </c>
    </row>
    <row r="38" spans="1:16" ht="27.75" hidden="1">
      <c r="A38" s="417"/>
      <c r="B38" s="850" t="s">
        <v>282</v>
      </c>
      <c r="C38" s="851"/>
      <c r="D38" s="851"/>
      <c r="E38" s="852"/>
      <c r="F38" s="853"/>
      <c r="G38" s="853"/>
      <c r="H38" s="852" t="e">
        <f>#REF!+H37</f>
        <v>#REF!</v>
      </c>
      <c r="I38" s="853"/>
      <c r="J38" s="853"/>
      <c r="K38" s="852"/>
      <c r="L38" s="853"/>
      <c r="M38" s="406"/>
      <c r="N38" s="405"/>
      <c r="O38" s="406"/>
    </row>
    <row r="39" spans="1:16" ht="27.75" customHeight="1" thickBot="1">
      <c r="A39" s="417"/>
      <c r="B39" s="1020" t="s">
        <v>493</v>
      </c>
      <c r="C39" s="1021"/>
      <c r="D39" s="1021"/>
      <c r="E39" s="1021"/>
      <c r="F39" s="1021"/>
      <c r="G39" s="1021"/>
      <c r="H39" s="1021"/>
      <c r="I39" s="854">
        <f>+K48</f>
        <v>2.1379526249999996</v>
      </c>
      <c r="J39" s="1010" t="s">
        <v>36</v>
      </c>
      <c r="K39" s="1010"/>
      <c r="L39" s="855">
        <f>+K49</f>
        <v>2.9006561249999998</v>
      </c>
      <c r="M39" s="848"/>
      <c r="N39" s="847"/>
      <c r="O39" s="849"/>
    </row>
    <row r="40" spans="1:16" ht="21.75" customHeight="1" thickBot="1">
      <c r="A40" s="418"/>
      <c r="B40" s="1026" t="s">
        <v>283</v>
      </c>
      <c r="C40" s="1027"/>
      <c r="D40" s="1027"/>
      <c r="E40" s="1027"/>
      <c r="F40" s="1027"/>
      <c r="G40" s="1027"/>
      <c r="H40" s="1027"/>
      <c r="I40" s="1028"/>
      <c r="J40" s="1028"/>
      <c r="K40" s="1028"/>
      <c r="L40" s="1028"/>
      <c r="M40" s="1028"/>
      <c r="N40" s="1027"/>
      <c r="O40" s="1029"/>
    </row>
    <row r="41" spans="1:16" ht="21.75" customHeight="1">
      <c r="A41" s="418"/>
      <c r="B41" s="1030" t="s">
        <v>284</v>
      </c>
      <c r="C41" s="1031"/>
      <c r="D41" s="1031"/>
      <c r="E41" s="1031"/>
      <c r="F41" s="1031"/>
      <c r="G41" s="1031"/>
      <c r="H41" s="1031"/>
      <c r="I41" s="476">
        <f>+'EXCISE SALES DETAILS'!BK94</f>
        <v>2.7E-2</v>
      </c>
      <c r="J41" s="477"/>
      <c r="K41" s="1032">
        <f>+I41</f>
        <v>2.7E-2</v>
      </c>
      <c r="L41" s="1033"/>
      <c r="M41" s="478"/>
      <c r="N41" s="479" t="s">
        <v>285</v>
      </c>
      <c r="O41" s="445" t="s">
        <v>285</v>
      </c>
    </row>
    <row r="42" spans="1:16" ht="27" customHeight="1">
      <c r="A42" s="418"/>
      <c r="B42" s="1034" t="s">
        <v>286</v>
      </c>
      <c r="C42" s="1035"/>
      <c r="D42" s="1035"/>
      <c r="E42" s="1035"/>
      <c r="F42" s="1035"/>
      <c r="G42" s="1035"/>
      <c r="H42" s="1035"/>
      <c r="I42" s="480">
        <f>+'EXCISE SALES DETAILS'!DC94</f>
        <v>0</v>
      </c>
      <c r="J42" s="481"/>
      <c r="K42" s="1036">
        <f>+I42</f>
        <v>0</v>
      </c>
      <c r="L42" s="1037"/>
      <c r="M42" s="478"/>
      <c r="N42" s="482" t="s">
        <v>285</v>
      </c>
      <c r="O42" s="375" t="s">
        <v>285</v>
      </c>
    </row>
    <row r="43" spans="1:16" ht="26.25" customHeight="1">
      <c r="N43" s="459"/>
      <c r="O43" s="459"/>
    </row>
    <row r="44" spans="1:16" ht="37.5" customHeight="1">
      <c r="A44" s="419" t="s">
        <v>20</v>
      </c>
      <c r="B44" s="420" t="s">
        <v>287</v>
      </c>
      <c r="C44" s="421" t="s">
        <v>288</v>
      </c>
      <c r="D44" s="422"/>
      <c r="E44" s="1016" t="s">
        <v>73</v>
      </c>
      <c r="F44" s="1017"/>
      <c r="G44" s="423"/>
      <c r="H44" s="424" t="s">
        <v>289</v>
      </c>
      <c r="I44" s="483" t="s">
        <v>161</v>
      </c>
      <c r="J44" s="424"/>
      <c r="K44" s="484" t="s">
        <v>10</v>
      </c>
      <c r="L44" s="485" t="s">
        <v>290</v>
      </c>
      <c r="M44" s="486"/>
      <c r="N44" s="486"/>
      <c r="O44" s="487">
        <f>+'EXCISE SALES DETAILS'!BW94</f>
        <v>19.86</v>
      </c>
    </row>
    <row r="45" spans="1:16" ht="36.75" customHeight="1">
      <c r="A45" s="195"/>
      <c r="B45" s="196"/>
      <c r="C45" s="197"/>
      <c r="D45" s="425"/>
      <c r="E45" s="1018"/>
      <c r="F45" s="1019"/>
      <c r="G45" s="426"/>
      <c r="H45" s="427">
        <f>+'EXCISE SALES DETAILS'!AT93</f>
        <v>0</v>
      </c>
      <c r="I45" s="488">
        <f>+'EXCISE SALES DETAILS'!AT78</f>
        <v>22.408000000000001</v>
      </c>
      <c r="J45" s="489"/>
      <c r="K45" s="490">
        <f>SUM(H45:I45)</f>
        <v>22.408000000000001</v>
      </c>
      <c r="L45" s="491" t="s">
        <v>291</v>
      </c>
      <c r="M45" s="492"/>
      <c r="N45" s="492"/>
      <c r="O45" s="493">
        <f>+'EXCISE SALES DETAILS'!CL94</f>
        <v>12.48</v>
      </c>
    </row>
    <row r="46" spans="1:16">
      <c r="A46" s="195"/>
      <c r="B46" s="196"/>
      <c r="C46" s="199"/>
      <c r="D46" s="425"/>
      <c r="F46" s="428"/>
      <c r="G46" s="428"/>
      <c r="H46" s="428"/>
      <c r="I46" s="428"/>
      <c r="J46" s="428"/>
      <c r="K46" s="428"/>
      <c r="L46" s="438" t="s">
        <v>10</v>
      </c>
      <c r="M46" s="494"/>
      <c r="N46" s="494"/>
      <c r="O46" s="495">
        <f>O44+O45</f>
        <v>32.340000000000003</v>
      </c>
    </row>
    <row r="47" spans="1:16" ht="24.75" customHeight="1">
      <c r="A47" s="429"/>
      <c r="B47" s="196"/>
      <c r="C47" s="430"/>
      <c r="D47" s="431"/>
      <c r="F47" s="1014" t="s">
        <v>292</v>
      </c>
      <c r="G47" s="432"/>
      <c r="H47" s="424" t="s">
        <v>289</v>
      </c>
      <c r="I47" s="483" t="s">
        <v>161</v>
      </c>
      <c r="J47" s="424"/>
      <c r="K47" s="484" t="s">
        <v>10</v>
      </c>
    </row>
    <row r="48" spans="1:16" ht="44.25" customHeight="1">
      <c r="A48" s="429"/>
      <c r="B48" s="433"/>
      <c r="C48" s="434"/>
      <c r="D48" s="435"/>
      <c r="F48" s="1015"/>
      <c r="G48" s="436"/>
      <c r="H48" s="437">
        <f>+'39-6-OZ'!K48</f>
        <v>0.71550262499999995</v>
      </c>
      <c r="I48" s="455">
        <f>+'TYPE A GOV'!G42+'767 GMS 500 PCS'!G42</f>
        <v>1.4224499999999998</v>
      </c>
      <c r="J48" s="450"/>
      <c r="K48" s="496">
        <f>SUM(H48:I48)</f>
        <v>2.1379526249999996</v>
      </c>
    </row>
    <row r="49" spans="1:18" ht="44.25" customHeight="1">
      <c r="A49" s="1022" t="s">
        <v>293</v>
      </c>
      <c r="B49" s="1023"/>
      <c r="C49" s="439">
        <f>SUM(C45:C48)</f>
        <v>0</v>
      </c>
      <c r="D49" s="440"/>
      <c r="E49" s="441"/>
      <c r="F49" s="442" t="s">
        <v>294</v>
      </c>
      <c r="G49" s="443"/>
      <c r="H49" s="444">
        <f>+'39-6-OZ'!O47</f>
        <v>0.81918112499999995</v>
      </c>
      <c r="I49" s="497">
        <f>+'TYPE A GOV'!L42+'767 GMS 500 PCS'!L42</f>
        <v>2.0814749999999997</v>
      </c>
      <c r="J49" s="498"/>
      <c r="K49" s="490">
        <f>SUM(H49:I49)</f>
        <v>2.9006561249999998</v>
      </c>
      <c r="N49" s="441"/>
      <c r="O49" s="499"/>
      <c r="P49" s="499"/>
      <c r="Q49" s="505"/>
      <c r="R49" s="506"/>
    </row>
    <row r="50" spans="1:18" ht="33.75" customHeight="1">
      <c r="E50" s="441"/>
      <c r="N50" s="459"/>
      <c r="O50" s="500"/>
      <c r="P50" s="501"/>
      <c r="Q50" s="507"/>
      <c r="R50" s="431"/>
    </row>
    <row r="51" spans="1:18" ht="39" customHeight="1">
      <c r="A51" s="349" t="s">
        <v>20</v>
      </c>
      <c r="B51" s="349" t="s">
        <v>295</v>
      </c>
      <c r="C51" s="349" t="s">
        <v>21</v>
      </c>
      <c r="D51" s="349"/>
      <c r="E51" s="445" t="s">
        <v>296</v>
      </c>
      <c r="F51" s="1024" t="s">
        <v>297</v>
      </c>
      <c r="G51" s="1024"/>
      <c r="H51" s="1024"/>
      <c r="I51" s="1024"/>
      <c r="J51" s="499"/>
      <c r="N51" s="459"/>
      <c r="O51" s="500"/>
      <c r="P51" s="501"/>
      <c r="Q51" s="507"/>
      <c r="R51" s="431"/>
    </row>
    <row r="52" spans="1:18" ht="32.25" customHeight="1">
      <c r="A52" s="429"/>
      <c r="B52" s="447"/>
      <c r="C52" s="448"/>
      <c r="D52" s="449"/>
      <c r="E52" s="450"/>
      <c r="F52" s="451"/>
      <c r="G52" s="451"/>
      <c r="H52" s="451"/>
      <c r="I52" s="451"/>
      <c r="J52" s="441"/>
      <c r="K52" s="502"/>
      <c r="L52" s="441"/>
      <c r="M52" s="441"/>
      <c r="N52" s="441"/>
      <c r="O52" s="499"/>
    </row>
    <row r="53" spans="1:18">
      <c r="A53" s="429"/>
      <c r="B53" s="349"/>
      <c r="C53" s="349"/>
      <c r="D53" s="452"/>
      <c r="E53" s="453"/>
    </row>
    <row r="54" spans="1:18">
      <c r="A54" s="349"/>
      <c r="B54" s="349"/>
      <c r="C54" s="349"/>
      <c r="D54" s="349"/>
      <c r="E54" s="445"/>
    </row>
    <row r="55" spans="1:18">
      <c r="A55" s="1025" t="s">
        <v>298</v>
      </c>
      <c r="B55" s="1023"/>
      <c r="C55" s="454">
        <f>SUM(C52:C54)</f>
        <v>0</v>
      </c>
      <c r="D55" s="454"/>
      <c r="E55" s="455">
        <f>SUM(E52:E54)</f>
        <v>0</v>
      </c>
    </row>
    <row r="56" spans="1:18" ht="24" thickBot="1"/>
    <row r="57" spans="1:18">
      <c r="A57" s="503"/>
      <c r="B57" s="1038"/>
      <c r="C57" s="1039"/>
      <c r="D57" s="1039"/>
      <c r="E57" s="1039"/>
      <c r="F57" s="1039"/>
      <c r="G57" s="1039"/>
      <c r="H57" s="1039"/>
      <c r="I57" s="1039"/>
      <c r="J57" s="1039"/>
      <c r="K57" s="1040"/>
    </row>
    <row r="58" spans="1:18" ht="24" thickBot="1">
      <c r="A58" s="503"/>
      <c r="B58" s="1041"/>
      <c r="C58" s="1042"/>
      <c r="D58" s="1042"/>
      <c r="E58" s="1042"/>
      <c r="F58" s="1042"/>
      <c r="G58" s="1042"/>
      <c r="H58" s="1042"/>
      <c r="I58" s="1042"/>
      <c r="J58" s="1042"/>
      <c r="K58" s="1043"/>
    </row>
    <row r="59" spans="1:18">
      <c r="A59" s="503"/>
      <c r="B59" s="1011"/>
      <c r="C59" s="1011"/>
      <c r="D59" s="1011"/>
      <c r="E59" s="1011"/>
      <c r="F59" s="1011"/>
      <c r="G59" s="1011"/>
      <c r="H59" s="1011"/>
      <c r="I59" s="441"/>
    </row>
    <row r="60" spans="1:18">
      <c r="A60" s="503"/>
      <c r="B60" s="503"/>
      <c r="C60" s="503"/>
      <c r="D60" s="503"/>
      <c r="E60" s="441"/>
      <c r="F60" s="441"/>
      <c r="G60" s="441"/>
      <c r="H60" s="441"/>
      <c r="I60" s="441"/>
    </row>
  </sheetData>
  <sheetProtection algorithmName="SHA-512" hashValue="gHsyEofw6hL7Ot4xpazes6BLUDQbf86E/DKuI5Y2QrkYScrBEBAenq4hCVzujKzo2aE2qb6/n+GQX7cUGKDL3Q==" saltValue="y0bHUqo0XZ/WRUjWUCCHtA==" spinCount="100000" sheet="1" objects="1" scenarios="1"/>
  <mergeCells count="30">
    <mergeCell ref="A32:C32"/>
    <mergeCell ref="A33:E33"/>
    <mergeCell ref="A34:O34"/>
    <mergeCell ref="A37:C37"/>
    <mergeCell ref="A22:C22"/>
    <mergeCell ref="B23:O23"/>
    <mergeCell ref="A25:C25"/>
    <mergeCell ref="A26:O26"/>
    <mergeCell ref="A31:C31"/>
    <mergeCell ref="A1:O1"/>
    <mergeCell ref="E3:G3"/>
    <mergeCell ref="H3:J3"/>
    <mergeCell ref="K3:M3"/>
    <mergeCell ref="N3:P3"/>
    <mergeCell ref="J39:K39"/>
    <mergeCell ref="B59:H59"/>
    <mergeCell ref="C3:C4"/>
    <mergeCell ref="F47:F48"/>
    <mergeCell ref="E44:F45"/>
    <mergeCell ref="B39:H39"/>
    <mergeCell ref="A49:B49"/>
    <mergeCell ref="F51:I51"/>
    <mergeCell ref="A55:B55"/>
    <mergeCell ref="B40:O40"/>
    <mergeCell ref="B41:H41"/>
    <mergeCell ref="K41:L41"/>
    <mergeCell ref="B42:H42"/>
    <mergeCell ref="K42:L42"/>
    <mergeCell ref="B57:K58"/>
    <mergeCell ref="A4:B4"/>
  </mergeCells>
  <pageMargins left="0.27559055118110237" right="0.19685039370078741" top="0.23622047244094491" bottom="0.15748031496062992" header="0.19685039370078741" footer="0.31496062992125984"/>
  <pageSetup paperSize="9" scale="40" pageOrder="overThenDown" orientation="landscape" r:id="rId1"/>
  <rowBreaks count="1" manualBreakCount="1">
    <brk id="33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40"/>
  <sheetViews>
    <sheetView topLeftCell="B1" zoomScale="80" zoomScaleNormal="80" workbookViewId="0">
      <pane ySplit="6" topLeftCell="A20" activePane="bottomLeft" state="frozen"/>
      <selection pane="bottomLeft" activeCell="S22" sqref="S22"/>
    </sheetView>
  </sheetViews>
  <sheetFormatPr defaultColWidth="9" defaultRowHeight="15"/>
  <cols>
    <col min="1" max="1" width="9" hidden="1" customWidth="1"/>
    <col min="3" max="3" width="9" hidden="1" customWidth="1"/>
    <col min="4" max="4" width="16.85546875" customWidth="1"/>
    <col min="5" max="5" width="15.85546875" customWidth="1"/>
    <col min="6" max="6" width="9" hidden="1" customWidth="1"/>
    <col min="7" max="7" width="15" customWidth="1"/>
    <col min="8" max="8" width="16" customWidth="1"/>
    <col min="9" max="9" width="14.85546875" customWidth="1"/>
    <col min="10" max="10" width="13" customWidth="1"/>
    <col min="11" max="11" width="12.42578125" customWidth="1"/>
    <col min="12" max="12" width="19.42578125" customWidth="1"/>
    <col min="13" max="13" width="13.85546875" customWidth="1"/>
    <col min="14" max="14" width="16.7109375" customWidth="1"/>
    <col min="15" max="15" width="4.85546875" customWidth="1"/>
  </cols>
  <sheetData>
    <row r="1" spans="1:15" ht="21">
      <c r="B1" s="937" t="s">
        <v>2</v>
      </c>
      <c r="C1" s="938"/>
      <c r="D1" s="938"/>
      <c r="E1" s="938"/>
      <c r="F1" s="938"/>
      <c r="G1" s="938"/>
      <c r="H1" s="938"/>
      <c r="I1" s="938"/>
      <c r="J1" s="938"/>
      <c r="K1" s="938"/>
      <c r="L1" s="938"/>
      <c r="M1" s="938"/>
      <c r="N1" s="938"/>
      <c r="O1" s="170"/>
    </row>
    <row r="2" spans="1:15">
      <c r="A2" s="940" t="s">
        <v>299</v>
      </c>
      <c r="B2" s="940"/>
      <c r="C2" s="940"/>
      <c r="D2" s="940"/>
      <c r="E2" s="940"/>
      <c r="F2" s="940"/>
      <c r="G2" s="940"/>
      <c r="H2" s="940"/>
      <c r="I2" s="940"/>
      <c r="J2" s="940"/>
      <c r="K2" s="940"/>
      <c r="L2" s="940"/>
      <c r="M2" s="940"/>
      <c r="N2" s="940"/>
      <c r="O2" s="170"/>
    </row>
    <row r="3" spans="1:15" ht="8.25" customHeight="1">
      <c r="A3" s="1073"/>
      <c r="B3" s="1073"/>
      <c r="C3" s="1073"/>
      <c r="D3" s="1073"/>
      <c r="E3" s="1073"/>
      <c r="F3" s="1073"/>
      <c r="G3" s="1073"/>
      <c r="H3" s="1073"/>
      <c r="I3" s="1073"/>
      <c r="J3" s="1073"/>
      <c r="K3" s="1073"/>
      <c r="L3" s="1073"/>
      <c r="M3" s="1073"/>
      <c r="N3" s="1073"/>
      <c r="O3" s="170"/>
    </row>
    <row r="4" spans="1:15">
      <c r="B4" s="1070" t="s">
        <v>20</v>
      </c>
      <c r="C4" s="214"/>
      <c r="D4" s="934" t="s">
        <v>8</v>
      </c>
      <c r="E4" s="934"/>
      <c r="F4" s="934"/>
      <c r="G4" s="934" t="s">
        <v>9</v>
      </c>
      <c r="H4" s="934"/>
      <c r="I4" s="934" t="s">
        <v>10</v>
      </c>
      <c r="J4" s="934"/>
      <c r="K4" s="934" t="s">
        <v>11</v>
      </c>
      <c r="L4" s="934"/>
      <c r="M4" s="934" t="s">
        <v>13</v>
      </c>
      <c r="N4" s="934"/>
      <c r="O4" s="170"/>
    </row>
    <row r="5" spans="1:15">
      <c r="B5" s="1071"/>
      <c r="C5" s="216"/>
      <c r="D5" s="217" t="s">
        <v>16</v>
      </c>
      <c r="E5" s="217" t="s">
        <v>17</v>
      </c>
      <c r="F5" s="217"/>
      <c r="G5" s="217" t="s">
        <v>16</v>
      </c>
      <c r="H5" s="217" t="s">
        <v>17</v>
      </c>
      <c r="I5" s="217" t="s">
        <v>16</v>
      </c>
      <c r="J5" s="217" t="s">
        <v>17</v>
      </c>
      <c r="K5" s="217" t="s">
        <v>16</v>
      </c>
      <c r="L5" s="217" t="s">
        <v>17</v>
      </c>
      <c r="M5" s="217" t="s">
        <v>16</v>
      </c>
      <c r="N5" s="217" t="s">
        <v>17</v>
      </c>
      <c r="O5" s="170"/>
    </row>
    <row r="6" spans="1:15">
      <c r="B6" s="1072"/>
      <c r="C6" s="216"/>
      <c r="D6" s="217" t="s">
        <v>21</v>
      </c>
      <c r="E6" s="217" t="s">
        <v>22</v>
      </c>
      <c r="F6" s="217"/>
      <c r="G6" s="217" t="s">
        <v>21</v>
      </c>
      <c r="H6" s="217" t="s">
        <v>22</v>
      </c>
      <c r="I6" s="217" t="s">
        <v>21</v>
      </c>
      <c r="J6" s="217" t="s">
        <v>22</v>
      </c>
      <c r="K6" s="217" t="s">
        <v>21</v>
      </c>
      <c r="L6" s="217" t="s">
        <v>22</v>
      </c>
      <c r="M6" s="217" t="s">
        <v>21</v>
      </c>
      <c r="N6" s="217" t="s">
        <v>22</v>
      </c>
      <c r="O6" s="170"/>
    </row>
    <row r="7" spans="1:15" ht="20.100000000000001" customHeight="1">
      <c r="B7" s="216">
        <v>1</v>
      </c>
      <c r="C7" s="216"/>
      <c r="D7" s="346">
        <f>+'39-6-OZ'!D9+'20 X10 '!D9+'38-8.12-OZ '!D9+'44-8.12 OZ'!D9+'40-4.5-OZ'!D9+'36-4.05 OZ'!D9+'34-9.82'!D9+'54-6.5'!D9+'44-7.15 '!D9+'48-8.4-OZ  '!D9+'40-6.5'!D9+'51-11.36-OZ '!D9+'48-7.80 EXP'!D9+'40-5-OZ-EXP'!D9+'44-5 OZ'!D9</f>
        <v>90</v>
      </c>
      <c r="E7" s="347">
        <f>+'39-6-OZ'!E9+'20 X10 '!E9+'38-8.12-OZ '!E9+'44-8.12 OZ'!E9+'40-4.5-OZ'!E9+'36-4.05 OZ'!E9+'34-9.82'!E9+'54-6.5'!E9+'44-7.15 '!E9+'48-8.4-OZ  '!E9+'40-6.5'!E9+'51-11.36-OZ '!E9+'48-7.80 EXP'!E9+'40-5-OZ-EXP'!E9</f>
        <v>34.595627874999998</v>
      </c>
      <c r="F7" s="346"/>
      <c r="G7" s="348">
        <f>+'39-6-OZ'!G9+'20 X10 '!G9+'38-8.12-OZ '!G9+'44-8.12 OZ'!G9+'40-4.5-OZ'!G9+'36-4.05 OZ'!G9+'34-9.82'!G9+'54-6.5'!G9+'44-7.15 '!G9+'48-8.4-OZ  '!G9+'40-6.5'!G9+'51-11.36-OZ '!G9+'48-7.80 EXP'!G9+'40-5-OZ-EXP'!G9+'44-5 OZ'!G9+'44-5 OZ (2)'!G9</f>
        <v>16</v>
      </c>
      <c r="H7" s="347">
        <f>+'39-6-OZ'!H9+'20 X10 '!H9+'38-8.12-OZ '!H9+'44-8.12 OZ'!H9+'40-4.5-OZ'!H9+'36-4.05 OZ'!H9+'34-9.82'!H9+'54-6.5'!H9+'44-7.15 '!H9+'48-8.4-OZ  '!H9+'40-6.5'!H9+'51-11.36-OZ '!H9+'48-7.80 EXP'!H9+'40-5-OZ-EXP'!H9+'48-6 EXPORT'!H9+'51 X51 LENO'!G8+'EXPORT 100FT'!H9+'EXPORT 30 FT)'!H9+'JUTE LENO'!H9+JUCO!H9+BLEACH!H9+YARN!H9+'44-5 OZ'!H9</f>
        <v>5.3469280000000001</v>
      </c>
      <c r="I7" s="346">
        <f>D7+G7</f>
        <v>106</v>
      </c>
      <c r="J7" s="347">
        <f>+E7+H7</f>
        <v>39.942555874999996</v>
      </c>
      <c r="K7" s="348">
        <f>+'39-6-OZ'!K9+'20 X10 '!K9+'38-8.12-OZ '!K9+'44-8.12 OZ'!K9+'40-4.5-OZ'!K9+'36-4.05 OZ'!K9+'34-9.82'!K9+'54-6.5'!K9+'44-7.15 '!K9+'48-8.4-OZ  '!K9+'40-6.5'!K9+'51-11.36-OZ '!K9+'48-7.80 EXP'!K9+'40-5-OZ-EXP'!K9+'EXPORT '!K9+'48-6 EXPORT'!K9</f>
        <v>40</v>
      </c>
      <c r="L7" s="347">
        <f>+'39-6-OZ'!M9+'38-8.12-OZ '!M9+'44-8.12 OZ'!L9+'40-4.5-OZ'!M9+'36-4.05 OZ'!M9+'34-9.82'!M9+'40-6.5'!M9+'44-5 OZ'!M9</f>
        <v>17.626559999999998</v>
      </c>
      <c r="M7" s="346">
        <f>I7-K7</f>
        <v>66</v>
      </c>
      <c r="N7" s="347">
        <f>J7-L7</f>
        <v>22.315995874999999</v>
      </c>
      <c r="O7" s="170"/>
    </row>
    <row r="8" spans="1:15" ht="20.100000000000001" customHeight="1">
      <c r="B8" s="216">
        <v>2</v>
      </c>
      <c r="C8" s="216"/>
      <c r="D8" s="348">
        <f>+M7</f>
        <v>66</v>
      </c>
      <c r="E8" s="347">
        <f>+'39-6-OZ'!E10+'20 X10 '!E10+'38-8.12-OZ '!E10+'44-8.12 OZ'!E10+'40-4.5-OZ'!E10+'36-4.05 OZ'!E10+'34-9.82'!E10+'54-6.5'!E10+'44-7.15 '!E10+'48-8.4-OZ  '!E10+'40-6.5'!E10+'51-11.36-OZ '!E10+'48-7.80 EXP'!E10+'40-5-OZ-EXP'!E10</f>
        <v>22.315995874999999</v>
      </c>
      <c r="F8" s="346"/>
      <c r="G8" s="348">
        <f>+'39-6-OZ'!G10+'20 X10 '!G10+'38-8.12-OZ '!G10+'44-8.12 OZ'!G10+'40-4.5-OZ'!G10+'36-4.05 OZ'!G10+'34-9.82'!G10+'54-6.5'!G10+'44-7.15 '!G10+'48-8.4-OZ  '!G10+'40-6.5'!G10+'51-11.36-OZ '!G10+'48-7.80 EXP'!G10+'40-5-OZ-EXP'!G10+'44-5 OZ'!G10</f>
        <v>10</v>
      </c>
      <c r="H8" s="347">
        <f>+'39-6-OZ'!H10+'20 X10 '!H10+'38-8.12-OZ '!H10+'44-8.12 OZ'!H10+'40-4.5-OZ'!H10+'36-4.05 OZ'!H10+'34-9.82'!H10+'54-6.5'!H10+'44-7.15 '!H10+'48-8.4-OZ  '!H10+'40-6.5'!H10+'51-11.36-OZ '!H10+'48-7.80 EXP'!H10+'40-5-OZ-EXP'!H10+'48-6 EXPORT'!H10+'51 X51 LENO'!G9+'EXPORT 100FT'!H10+'EXPORT 30 FT)'!H10+'JUTE LENO'!H10+JUCO!H10+BLEACH!H10+YARN!H10+'44-5 OZ'!H10</f>
        <v>3.6612730000000004</v>
      </c>
      <c r="I8" s="346">
        <f t="shared" ref="I8:I37" si="0">D8+G8</f>
        <v>76</v>
      </c>
      <c r="J8" s="347">
        <f t="shared" ref="J8:J37" si="1">+E8+H8</f>
        <v>25.977268875</v>
      </c>
      <c r="K8" s="348">
        <f>+'39-6-OZ'!K10+'20 X10 '!K10+'38-8.12-OZ '!K10+'44-8.12 OZ'!K10+'40-4.5-OZ'!K10+'36-4.05 OZ'!K10+'34-9.82'!K10+'54-6.5'!K10+'44-7.15 '!K10+'48-8.4-OZ  '!K10+'40-6.5'!K10+'51-11.36-OZ '!K10+'48-7.80 EXP'!K10+'40-5-OZ-EXP'!K10+'EXPORT '!K10+'48-6 EXPORT'!K10</f>
        <v>0</v>
      </c>
      <c r="L8" s="347">
        <f>+'39-6-OZ'!M10+'38-8.12-OZ '!M10+'44-8.12 OZ'!L10+'40-4.5-OZ'!M10+'36-4.05 OZ'!M10+'34-9.82'!M10+'40-6.5'!M10+'44-5 OZ'!M10</f>
        <v>0</v>
      </c>
      <c r="M8" s="346">
        <f t="shared" ref="M8:M37" si="2">I8-K8</f>
        <v>76</v>
      </c>
      <c r="N8" s="347">
        <f>J8-L8</f>
        <v>25.977268875</v>
      </c>
    </row>
    <row r="9" spans="1:15" ht="20.100000000000001" customHeight="1">
      <c r="B9" s="216">
        <v>3</v>
      </c>
      <c r="C9" s="216"/>
      <c r="D9" s="348">
        <f t="shared" ref="D9:D37" si="3">+M8</f>
        <v>76</v>
      </c>
      <c r="E9" s="347">
        <f>+'39-6-OZ'!E11+'20 X10 '!E11+'38-8.12-OZ '!E11+'44-8.12 OZ'!E11+'40-4.5-OZ'!E11+'36-4.05 OZ'!E11+'34-9.82'!E11+'54-6.5'!E11+'44-7.15 '!E11+'48-8.4-OZ  '!E11+'40-6.5'!E11+'51-11.36-OZ '!E11+'48-7.80 EXP'!E11+'40-5-OZ-EXP'!E11</f>
        <v>25.977268875000004</v>
      </c>
      <c r="F9" s="346"/>
      <c r="G9" s="348">
        <f>+'39-6-OZ'!G11+'20 X10 '!G11+'38-8.12-OZ '!G11+'44-8.12 OZ'!G11+'40-4.5-OZ'!G11+'36-4.05 OZ'!G11+'34-9.82'!G11+'54-6.5'!G11+'44-7.15 '!G11+'48-8.4-OZ  '!G11+'40-6.5'!G11+'51-11.36-OZ '!G11+'48-7.80 EXP'!G11+'40-5-OZ-EXP'!G11+'44-5 OZ'!G11</f>
        <v>10</v>
      </c>
      <c r="H9" s="347">
        <f>+'39-6-OZ'!H11+'20 X10 '!H11+'38-8.12-OZ '!H11+'44-8.12 OZ'!H11+'40-4.5-OZ'!H11+'36-4.05 OZ'!H11+'34-9.82'!H11+'54-6.5'!H11+'44-7.15 '!H11+'48-8.4-OZ  '!H11+'40-6.5'!H11+'51-11.36-OZ '!H11+'48-7.80 EXP'!H11+'40-5-OZ-EXP'!H11+'48-6 EXPORT'!H11+'51 X51 LENO'!G10+'EXPORT 100FT'!H11+'EXPORT 30 FT)'!H11+'JUTE LENO'!H11+JUCO!H11+BLEACH!H11+YARN!H11+'44-5 OZ'!H11</f>
        <v>4.0912730000000002</v>
      </c>
      <c r="I9" s="346">
        <f t="shared" si="0"/>
        <v>86</v>
      </c>
      <c r="J9" s="347">
        <f t="shared" si="1"/>
        <v>30.068541875000005</v>
      </c>
      <c r="K9" s="348">
        <f>+'39-6-OZ'!K11+'20 X10 '!K11+'38-8.12-OZ '!K11+'44-8.12 OZ'!K11+'40-4.5-OZ'!K11+'36-4.05 OZ'!K11+'34-9.82'!K11+'54-6.5'!K11+'44-7.15 '!K11+'48-8.4-OZ  '!K11+'40-6.5'!K11+'51-11.36-OZ '!K11+'48-7.80 EXP'!K11+'40-5-OZ-EXP'!K11+'EXPORT '!K11+'48-6 EXPORT'!K11</f>
        <v>0</v>
      </c>
      <c r="L9" s="347">
        <f>+'39-6-OZ'!M11+'38-8.12-OZ '!M11+'44-8.12 OZ'!L11+'40-4.5-OZ'!M11+'36-4.05 OZ'!M11+'34-9.82'!M11+'40-6.5'!M11+'44-5 OZ'!M11+0.43</f>
        <v>0.43</v>
      </c>
      <c r="M9" s="346">
        <f t="shared" si="2"/>
        <v>86</v>
      </c>
      <c r="N9" s="347">
        <f t="shared" ref="N9:N37" si="4">J9-L9</f>
        <v>29.638541875000005</v>
      </c>
    </row>
    <row r="10" spans="1:15" ht="20.100000000000001" customHeight="1">
      <c r="B10" s="216">
        <v>4</v>
      </c>
      <c r="C10" s="216"/>
      <c r="D10" s="348">
        <f t="shared" si="3"/>
        <v>86</v>
      </c>
      <c r="E10" s="347">
        <f>+'39-6-OZ'!E12+'20 X10 '!E12+'38-8.12-OZ '!E12+'44-8.12 OZ'!E12+'40-4.5-OZ'!E12+'36-4.05 OZ'!E12+'34-9.82'!E12+'54-6.5'!E12+'44-7.15 '!E12+'48-8.4-OZ  '!E12+'40-6.5'!E12+'51-11.36-OZ '!E12+'48-7.80 EXP'!E12+'40-5-OZ-EXP'!E12</f>
        <v>29.638541874999998</v>
      </c>
      <c r="F10" s="346"/>
      <c r="G10" s="348">
        <f>+'39-6-OZ'!G12+'20 X10 '!G12+'38-8.12-OZ '!G12+'44-8.12 OZ'!G12+'40-4.5-OZ'!G12+'36-4.05 OZ'!G12+'34-9.82'!G12+'54-6.5'!G12+'44-7.15 '!G12+'48-8.4-OZ  '!G12+'40-6.5'!G12+'51-11.36-OZ '!G12+'48-7.80 EXP'!G12+'40-5-OZ-EXP'!G12+'44-5 OZ'!G12</f>
        <v>12</v>
      </c>
      <c r="H10" s="347">
        <f>+'39-6-OZ'!H12+'20 X10 '!H12+'38-8.12-OZ '!H12+'44-8.12 OZ'!H12+'40-4.5-OZ'!H12+'36-4.05 OZ'!H12+'34-9.82'!H12+'54-6.5'!H12+'44-7.15 '!H12+'48-8.4-OZ  '!H12+'40-6.5'!H12+'51-11.36-OZ '!H12+'48-7.80 EXP'!H12+'40-5-OZ-EXP'!H12+'48-6 EXPORT'!H12+'51 X51 LENO'!G11+'EXPORT 100FT'!H12+'EXPORT 30 FT)'!H12+'JUTE LENO'!H12+JUCO!H12+BLEACH!H12+YARN!H12+'44-5 OZ'!H12</f>
        <v>4.3296390000000002</v>
      </c>
      <c r="I10" s="346">
        <f t="shared" si="0"/>
        <v>98</v>
      </c>
      <c r="J10" s="347">
        <f t="shared" si="1"/>
        <v>33.968180875000002</v>
      </c>
      <c r="K10" s="348">
        <f>+'39-6-OZ'!K12+'20 X10 '!K12+'38-8.12-OZ '!K12+'44-8.12 OZ'!K12+'40-4.5-OZ'!K12+'36-4.05 OZ'!K12+'34-9.82'!K12+'54-6.5'!K12+'44-7.15 '!K12+'48-8.4-OZ  '!K12+'40-6.5'!K12+'51-11.36-OZ '!K12+'48-7.80 EXP'!K12+'40-5-OZ-EXP'!K12+'EXPORT '!K12+'48-6 EXPORT'!K12</f>
        <v>0</v>
      </c>
      <c r="L10" s="347">
        <f>+'39-6-OZ'!M12+'38-8.12-OZ '!M12+'44-8.12 OZ'!L12+'40-4.5-OZ'!M12+'36-4.05 OZ'!M12+'34-9.82'!M12+'40-6.5'!M12+'44-5 OZ'!M12</f>
        <v>0</v>
      </c>
      <c r="M10" s="346">
        <f t="shared" si="2"/>
        <v>98</v>
      </c>
      <c r="N10" s="347">
        <f t="shared" si="4"/>
        <v>33.968180875000002</v>
      </c>
    </row>
    <row r="11" spans="1:15" ht="20.100000000000001" customHeight="1">
      <c r="B11" s="216">
        <v>5</v>
      </c>
      <c r="C11" s="216"/>
      <c r="D11" s="348">
        <f t="shared" si="3"/>
        <v>98</v>
      </c>
      <c r="E11" s="347">
        <f>+'39-6-OZ'!E13+'20 X10 '!E13+'38-8.12-OZ '!E13+'44-8.12 OZ'!E13+'40-4.5-OZ'!E13+'36-4.05 OZ'!E13+'34-9.82'!E13+'54-6.5'!E13+'44-7.15 '!E13+'48-8.4-OZ  '!E13+'40-6.5'!E13+'51-11.36-OZ '!E13+'48-7.80 EXP'!E13+'40-5-OZ-EXP'!E13</f>
        <v>33.968180875000002</v>
      </c>
      <c r="F11" s="346"/>
      <c r="G11" s="348">
        <f>+'39-6-OZ'!G13+'20 X10 '!G13+'38-8.12-OZ '!G13+'44-8.12 OZ'!G13+'40-4.5-OZ'!G13+'36-4.05 OZ'!G13+'34-9.82'!G13+'54-6.5'!G13+'44-7.15 '!G13+'48-8.4-OZ  '!G13+'40-6.5'!G13+'51-11.36-OZ '!G13+'48-7.80 EXP'!G13+'40-5-OZ-EXP'!G13+'44-5 OZ'!G13</f>
        <v>26</v>
      </c>
      <c r="H11" s="347">
        <f>+'39-6-OZ'!H13+'20 X10 '!H13+'38-8.12-OZ '!H13+'44-8.12 OZ'!H13+'40-4.5-OZ'!H13+'36-4.05 OZ'!H13+'34-9.82'!H13+'54-6.5'!H13+'44-7.15 '!H13+'48-8.4-OZ  '!H13+'40-6.5'!H13+'51-11.36-OZ '!H13+'48-7.80 EXP'!H13+'40-5-OZ-EXP'!H13+'48-6 EXPORT'!H13+'51 X51 LENO'!G12+'EXPORT 100FT'!H13+'EXPORT 30 FT)'!H13+'JUTE LENO'!H13+JUCO!H13+BLEACH!H13+YARN!H13+'44-5 OZ'!H13</f>
        <v>9.6148682499999989</v>
      </c>
      <c r="I11" s="346">
        <f t="shared" si="0"/>
        <v>124</v>
      </c>
      <c r="J11" s="347">
        <f t="shared" si="1"/>
        <v>43.583049125000002</v>
      </c>
      <c r="K11" s="348">
        <f>+'39-6-OZ'!K13+'20 X10 '!K13+'38-8.12-OZ '!K13+'44-8.12 OZ'!K13+'40-4.5-OZ'!K13+'36-4.05 OZ'!K13+'34-9.82'!K13+'54-6.5'!K13+'44-7.15 '!K13+'48-8.4-OZ  '!K13+'40-6.5'!K13+'51-11.36-OZ '!K13+'48-7.80 EXP'!K13+'40-5-OZ-EXP'!K13+'EXPORT '!K13+'48-6 EXPORT'!K13</f>
        <v>22</v>
      </c>
      <c r="L11" s="347">
        <f>+'39-6-OZ'!M13+'38-8.12-OZ '!M13+'44-8.12 OZ'!L13+'40-4.5-OZ'!M13+'36-4.05 OZ'!M13+'34-9.82'!M13+'40-6.5'!M13+'44-5 OZ'!M13</f>
        <v>8.8897158750000003</v>
      </c>
      <c r="M11" s="346">
        <f t="shared" si="2"/>
        <v>102</v>
      </c>
      <c r="N11" s="347">
        <f t="shared" si="4"/>
        <v>34.693333250000002</v>
      </c>
    </row>
    <row r="12" spans="1:15" ht="20.100000000000001" customHeight="1">
      <c r="B12" s="216">
        <v>6</v>
      </c>
      <c r="C12" s="216"/>
      <c r="D12" s="348">
        <f t="shared" si="3"/>
        <v>102</v>
      </c>
      <c r="E12" s="347">
        <f>+'39-6-OZ'!E14+'20 X10 '!E14+'38-8.12-OZ '!E14+'44-8.12 OZ'!E14+'40-4.5-OZ'!E14+'36-4.05 OZ'!E14+'34-9.82'!E14+'54-6.5'!E14+'44-7.15 '!E14+'48-8.4-OZ  '!E14+'40-6.5'!E14+'51-11.36-OZ '!E14+'48-7.80 EXP'!E14+'40-5-OZ-EXP'!E14</f>
        <v>34.693333250000002</v>
      </c>
      <c r="F12" s="346"/>
      <c r="G12" s="348">
        <f>+'39-6-OZ'!G14+'20 X10 '!G14+'38-8.12-OZ '!G14+'44-8.12 OZ'!G14+'40-4.5-OZ'!G14+'36-4.05 OZ'!G14+'34-9.82'!G14+'54-6.5'!G14+'44-7.15 '!G14+'48-8.4-OZ  '!G14+'40-6.5'!G14+'51-11.36-OZ '!G14+'48-7.80 EXP'!G14+'40-5-OZ-EXP'!G14+'44-5 OZ'!G14</f>
        <v>18</v>
      </c>
      <c r="H12" s="347">
        <f>+'39-6-OZ'!H14+'20 X10 '!H14+'38-8.12-OZ '!H14+'44-8.12 OZ'!H14+'40-4.5-OZ'!H14+'36-4.05 OZ'!H14+'34-9.82'!H14+'54-6.5'!H14+'44-7.15 '!H14+'48-8.4-OZ  '!H14+'40-6.5'!H14+'51-11.36-OZ '!H14+'48-7.80 EXP'!H14+'40-5-OZ-EXP'!H14+'48-6 EXPORT'!H14+'51 X51 LENO'!G13+'EXPORT 100FT'!H14+'EXPORT 30 FT)'!H14+'JUTE LENO'!H14+JUCO!H14+BLEACH!H14+YARN!H14+'44-5 OZ'!H14</f>
        <v>6.8769667500000002</v>
      </c>
      <c r="I12" s="346">
        <f t="shared" si="0"/>
        <v>120</v>
      </c>
      <c r="J12" s="347">
        <f t="shared" si="1"/>
        <v>41.570300000000003</v>
      </c>
      <c r="K12" s="348">
        <f>+'39-6-OZ'!K14+'20 X10 '!K14+'38-8.12-OZ '!K14+'44-8.12 OZ'!K14+'40-4.5-OZ'!K14+'36-4.05 OZ'!K14+'34-9.82'!K14+'54-6.5'!K14+'44-7.15 '!K14+'48-8.4-OZ  '!K14+'40-6.5'!K14+'51-11.36-OZ '!K14+'48-7.80 EXP'!K14+'40-5-OZ-EXP'!K14+'EXPORT '!K14+'48-6 EXPORT'!K14</f>
        <v>0</v>
      </c>
      <c r="L12" s="347">
        <f>+'39-6-OZ'!M14+'38-8.12-OZ '!M14+'44-8.12 OZ'!L14+'40-4.5-OZ'!M14+'36-4.05 OZ'!M14+'34-9.82'!M14+'40-6.5'!M14+'44-5 OZ'!M14</f>
        <v>0</v>
      </c>
      <c r="M12" s="346">
        <f t="shared" si="2"/>
        <v>120</v>
      </c>
      <c r="N12" s="347">
        <f t="shared" si="4"/>
        <v>41.570300000000003</v>
      </c>
    </row>
    <row r="13" spans="1:15" ht="20.100000000000001" customHeight="1">
      <c r="B13" s="216">
        <v>7</v>
      </c>
      <c r="C13" s="216"/>
      <c r="D13" s="348">
        <f t="shared" si="3"/>
        <v>120</v>
      </c>
      <c r="E13" s="347">
        <f>+'39-6-OZ'!E15+'20 X10 '!E15+'38-8.12-OZ '!E15+'44-8.12 OZ'!E15+'40-4.5-OZ'!E15+'36-4.05 OZ'!E15+'34-9.82'!E15+'54-6.5'!E15+'44-7.15 '!E15+'48-8.4-OZ  '!E15+'40-6.5'!E15+'51-11.36-OZ '!E15+'48-7.80 EXP'!E15+'40-5-OZ-EXP'!E15</f>
        <v>41.570299999999996</v>
      </c>
      <c r="F13" s="346"/>
      <c r="G13" s="348">
        <f>+'39-6-OZ'!G15+'20 X10 '!G15+'38-8.12-OZ '!G15+'44-8.12 OZ'!G15+'40-4.5-OZ'!G15+'36-4.05 OZ'!G15+'34-9.82'!G15+'54-6.5'!G15+'44-7.15 '!G15+'48-8.4-OZ  '!G15+'40-6.5'!G15+'51-11.36-OZ '!G15+'48-7.80 EXP'!G15+'40-5-OZ-EXP'!G15+'44-5 OZ'!G15</f>
        <v>4</v>
      </c>
      <c r="H13" s="347">
        <f>+'39-6-OZ'!H15+'20 X10 '!H15+'38-8.12-OZ '!H15+'44-8.12 OZ'!H15+'40-4.5-OZ'!H15+'36-4.05 OZ'!H15+'34-9.82'!H15+'54-6.5'!H15+'44-7.15 '!H15+'48-8.4-OZ  '!H15+'40-6.5'!H15+'51-11.36-OZ '!H15+'48-7.80 EXP'!H15+'40-5-OZ-EXP'!H15+'48-6 EXPORT'!H15+'51 X51 LENO'!G14+'EXPORT 100FT'!H15+'EXPORT 30 FT)'!H15+'JUTE LENO'!H15+JUCO!H15+BLEACH!H15+YARN!H15+'44-5 OZ'!H15</f>
        <v>1.762656</v>
      </c>
      <c r="I13" s="346">
        <f t="shared" si="0"/>
        <v>124</v>
      </c>
      <c r="J13" s="347">
        <f t="shared" si="1"/>
        <v>43.332955999999996</v>
      </c>
      <c r="K13" s="348">
        <f>+'39-6-OZ'!K15+'20 X10 '!K15+'38-8.12-OZ '!K15+'44-8.12 OZ'!K15+'40-4.5-OZ'!K15+'36-4.05 OZ'!K15+'34-9.82'!K15+'54-6.5'!K15+'44-7.15 '!K15+'48-8.4-OZ  '!K15+'40-6.5'!K15+'51-11.36-OZ '!K15+'48-7.80 EXP'!K15+'40-5-OZ-EXP'!K15+'EXPORT '!K15+'48-6 EXPORT'!K15</f>
        <v>0</v>
      </c>
      <c r="L13" s="347">
        <f>+'39-6-OZ'!M15+'38-8.12-OZ '!M15+'44-8.12 OZ'!L15+'40-4.5-OZ'!M15+'36-4.05 OZ'!M15+'34-9.82'!M15+'40-6.5'!M15+'44-5 OZ'!M15</f>
        <v>0</v>
      </c>
      <c r="M13" s="346">
        <f t="shared" si="2"/>
        <v>124</v>
      </c>
      <c r="N13" s="347">
        <f t="shared" si="4"/>
        <v>43.332955999999996</v>
      </c>
    </row>
    <row r="14" spans="1:15" ht="20.100000000000001" customHeight="1">
      <c r="B14" s="216">
        <v>8</v>
      </c>
      <c r="C14" s="216"/>
      <c r="D14" s="348">
        <f t="shared" si="3"/>
        <v>124</v>
      </c>
      <c r="E14" s="347">
        <f>+'39-6-OZ'!E16+'20 X10 '!E16+'38-8.12-OZ '!E16+'44-8.12 OZ'!E16+'40-4.5-OZ'!E16+'36-4.05 OZ'!E16+'34-9.82'!E16+'54-6.5'!E16+'44-7.15 '!E16+'48-8.4-OZ  '!E16+'40-6.5'!E16+'51-11.36-OZ '!E16+'48-7.80 EXP'!E16+'40-5-OZ-EXP'!E16</f>
        <v>43.332955999999996</v>
      </c>
      <c r="F14" s="346"/>
      <c r="G14" s="348">
        <f>+'39-6-OZ'!G16+'20 X10 '!G16+'38-8.12-OZ '!G16+'44-8.12 OZ'!G16+'40-4.5-OZ'!G16+'36-4.05 OZ'!G16+'34-9.82'!G16+'54-6.5'!G16+'44-7.15 '!G16+'48-8.4-OZ  '!G16+'40-6.5'!G16+'51-11.36-OZ '!G16+'48-7.80 EXP'!G16+'40-5-OZ-EXP'!G16+'44-5 OZ'!G16</f>
        <v>0</v>
      </c>
      <c r="H14" s="347">
        <f>+'39-6-OZ'!H16+'20 X10 '!H16+'38-8.12-OZ '!H16+'44-8.12 OZ'!H16+'40-4.5-OZ'!H16+'36-4.05 OZ'!H16+'34-9.82'!H16+'54-6.5'!H16+'44-7.15 '!H16+'48-8.4-OZ  '!H16+'40-6.5'!H16+'51-11.36-OZ '!H16+'48-7.80 EXP'!H16+'40-5-OZ-EXP'!H16+'48-6 EXPORT'!H16+'51 X51 LENO'!G15+'EXPORT 100FT'!H16+'EXPORT 30 FT)'!H16+'JUTE LENO'!H16+JUCO!H16+BLEACH!H16+YARN!H16+'44-5 OZ'!H16</f>
        <v>0</v>
      </c>
      <c r="I14" s="346">
        <f t="shared" si="0"/>
        <v>124</v>
      </c>
      <c r="J14" s="347">
        <f t="shared" si="1"/>
        <v>43.332955999999996</v>
      </c>
      <c r="K14" s="348">
        <f>+'39-6-OZ'!K16+'20 X10 '!K16+'38-8.12-OZ '!K16+'44-8.12 OZ'!K16+'40-4.5-OZ'!K16+'36-4.05 OZ'!K16+'34-9.82'!K16+'54-6.5'!K16+'44-7.15 '!K16+'48-8.4-OZ  '!K16+'40-6.5'!K16+'51-11.36-OZ '!K16+'48-7.80 EXP'!K16+'40-5-OZ-EXP'!K16+'EXPORT '!K16+'48-6 EXPORT'!K16</f>
        <v>0</v>
      </c>
      <c r="L14" s="347">
        <f>+'39-6-OZ'!M16+'38-8.12-OZ '!M16+'44-8.12 OZ'!L16+'40-4.5-OZ'!M16+'36-4.05 OZ'!M16+'34-9.82'!M16+'40-6.5'!M16+'44-5 OZ'!M16+14.815</f>
        <v>14.815</v>
      </c>
      <c r="M14" s="346">
        <f t="shared" si="2"/>
        <v>124</v>
      </c>
      <c r="N14" s="347">
        <f t="shared" si="4"/>
        <v>28.517955999999998</v>
      </c>
    </row>
    <row r="15" spans="1:15" ht="20.100000000000001" customHeight="1">
      <c r="B15" s="216">
        <v>9</v>
      </c>
      <c r="C15" s="216"/>
      <c r="D15" s="348">
        <f t="shared" si="3"/>
        <v>124</v>
      </c>
      <c r="E15" s="347">
        <f>+'39-6-OZ'!E17+'20 X10 '!E17+'38-8.12-OZ '!E17+'44-8.12 OZ'!E17+'40-4.5-OZ'!E17+'36-4.05 OZ'!E17+'34-9.82'!E17+'54-6.5'!E17+'44-7.15 '!E17+'48-8.4-OZ  '!E17+'40-6.5'!E17+'51-11.36-OZ '!E17+'48-7.80 EXP'!E17+'40-5-OZ-EXP'!E17</f>
        <v>43.332955999999996</v>
      </c>
      <c r="F15" s="346"/>
      <c r="G15" s="348">
        <f>+'39-6-OZ'!G17+'20 X10 '!G17+'38-8.12-OZ '!G17+'44-8.12 OZ'!G17+'40-4.5-OZ'!G17+'36-4.05 OZ'!G17+'34-9.82'!G17+'54-6.5'!G17+'44-7.15 '!G17+'48-8.4-OZ  '!G17+'40-6.5'!G17+'51-11.36-OZ '!G17+'48-7.80 EXP'!G17+'40-5-OZ-EXP'!G17+'44-5 OZ'!G17</f>
        <v>27</v>
      </c>
      <c r="H15" s="347">
        <f>+'39-6-OZ'!H17+'20 X10 '!H17+'38-8.12-OZ '!H17+'44-8.12 OZ'!H17+'40-4.5-OZ'!H17+'36-4.05 OZ'!H17+'34-9.82'!H17+'54-6.5'!H17+'44-7.15 '!H17+'48-8.4-OZ  '!H17+'40-6.5'!H17+'51-11.36-OZ '!H17+'48-7.80 EXP'!H17+'40-5-OZ-EXP'!H17+'48-6 EXPORT'!H17+'51 X51 LENO'!G16+'EXPORT 100FT'!H17+'EXPORT 30 FT)'!H17+'JUTE LENO'!H17+JUCO!H17+BLEACH!H17+YARN!H17+'44-5 OZ'!H17</f>
        <v>10.213881500000001</v>
      </c>
      <c r="I15" s="346">
        <f t="shared" si="0"/>
        <v>151</v>
      </c>
      <c r="J15" s="347">
        <f t="shared" si="1"/>
        <v>53.546837499999995</v>
      </c>
      <c r="K15" s="348">
        <f>+'39-6-OZ'!K17+'20 X10 '!K17+'38-8.12-OZ '!K17+'44-8.12 OZ'!K17+'40-4.5-OZ'!K17+'36-4.05 OZ'!K17+'34-9.82'!K17+'54-6.5'!K17+'44-7.15 '!K17+'48-8.4-OZ  '!K17+'40-6.5'!K17+'51-11.36-OZ '!K17+'48-7.80 EXP'!K17+'40-5-OZ-EXP'!K17+'EXPORT '!K17+'48-6 EXPORT'!K17</f>
        <v>22</v>
      </c>
      <c r="L15" s="347">
        <f>+'39-6-OZ'!M17+'38-8.12-OZ '!M17+'44-8.12 OZ'!L17+'40-4.5-OZ'!M17+'36-4.05 OZ'!M17+'34-9.82'!M17+'40-6.5'!M17+'44-5 OZ'!M17</f>
        <v>9.6946080000000006</v>
      </c>
      <c r="M15" s="346">
        <f t="shared" si="2"/>
        <v>129</v>
      </c>
      <c r="N15" s="347">
        <f t="shared" si="4"/>
        <v>43.852229499999993</v>
      </c>
    </row>
    <row r="16" spans="1:15" ht="20.100000000000001" customHeight="1">
      <c r="B16" s="216">
        <v>10</v>
      </c>
      <c r="C16" s="216"/>
      <c r="D16" s="348">
        <f t="shared" si="3"/>
        <v>129</v>
      </c>
      <c r="E16" s="347">
        <f>+'39-6-OZ'!E18+'20 X10 '!E18+'38-8.12-OZ '!E18+'44-8.12 OZ'!E18+'40-4.5-OZ'!E18+'36-4.05 OZ'!E18+'34-9.82'!E18+'54-6.5'!E18+'44-7.15 '!E18+'48-8.4-OZ  '!E18+'40-6.5'!E18+'51-11.36-OZ '!E18+'48-7.80 EXP'!E18+'40-5-OZ-EXP'!E18</f>
        <v>43.8522295</v>
      </c>
      <c r="F16" s="346"/>
      <c r="G16" s="348">
        <f>+'39-6-OZ'!G18+'20 X10 '!G18+'38-8.12-OZ '!G18+'44-8.12 OZ'!G18+'40-4.5-OZ'!G18+'36-4.05 OZ'!G18+'34-9.82'!G18+'54-6.5'!G18+'44-7.15 '!G18+'48-8.4-OZ  '!G18+'40-6.5'!G18+'51-11.36-OZ '!G18+'48-7.80 EXP'!G18+'40-5-OZ-EXP'!G18+'44-5 OZ'!G18</f>
        <v>0</v>
      </c>
      <c r="H16" s="347">
        <f>+'39-6-OZ'!H18+'20 X10 '!H18+'38-8.12-OZ '!H18+'44-8.12 OZ'!H18+'40-4.5-OZ'!H18+'36-4.05 OZ'!H18+'34-9.82'!H18+'54-6.5'!H18+'44-7.15 '!H18+'48-8.4-OZ  '!H18+'40-6.5'!H18+'51-11.36-OZ '!H18+'48-7.80 EXP'!H18+'40-5-OZ-EXP'!H18+'48-6 EXPORT'!H18+'51 X51 LENO'!G17+'EXPORT 100FT'!H18+'EXPORT 30 FT)'!H18+'JUTE LENO'!H18+JUCO!H18+BLEACH!H18+YARN!H18+'44-5 OZ'!H18+0.2</f>
        <v>0.2</v>
      </c>
      <c r="I16" s="346">
        <f t="shared" si="0"/>
        <v>129</v>
      </c>
      <c r="J16" s="347">
        <f t="shared" si="1"/>
        <v>44.052229500000003</v>
      </c>
      <c r="K16" s="348">
        <f>+'39-6-OZ'!K18+'20 X10 '!K18+'38-8.12-OZ '!K18+'44-8.12 OZ'!K18+'40-4.5-OZ'!K18+'36-4.05 OZ'!K18+'34-9.82'!K18+'54-6.5'!K18+'44-7.15 '!K18+'48-8.4-OZ  '!K18+'40-6.5'!K18+'51-11.36-OZ '!K18+'48-7.80 EXP'!K18+'40-5-OZ-EXP'!K18+'EXPORT '!K18+'48-6 EXPORT'!K18</f>
        <v>0</v>
      </c>
      <c r="L16" s="347">
        <f>+'39-6-OZ'!M18+'38-8.12-OZ '!M18+'44-8.12 OZ'!L18+'40-4.5-OZ'!M18+'36-4.05 OZ'!M18+'34-9.82'!M18+'40-6.5'!M18+'44-5 OZ'!M18+0.2</f>
        <v>0.2</v>
      </c>
      <c r="M16" s="346">
        <f t="shared" si="2"/>
        <v>129</v>
      </c>
      <c r="N16" s="347">
        <f t="shared" si="4"/>
        <v>43.8522295</v>
      </c>
    </row>
    <row r="17" spans="2:14" ht="20.100000000000001" customHeight="1">
      <c r="B17" s="13">
        <v>11</v>
      </c>
      <c r="C17" s="13"/>
      <c r="D17" s="348">
        <f t="shared" si="3"/>
        <v>129</v>
      </c>
      <c r="E17" s="347">
        <f>+'39-6-OZ'!E19+'20 X10 '!E19+'38-8.12-OZ '!E19+'44-8.12 OZ'!E19+'40-4.5-OZ'!E19+'36-4.05 OZ'!E19+'34-9.82'!E19+'54-6.5'!E19+'44-7.15 '!E19+'48-8.4-OZ  '!E19+'40-6.5'!E19+'51-11.36-OZ '!E19+'48-7.80 EXP'!E19+'40-5-OZ-EXP'!E19</f>
        <v>43.8522295</v>
      </c>
      <c r="F17" s="349"/>
      <c r="G17" s="348">
        <f>+'39-6-OZ'!G19+'20 X10 '!G19+'38-8.12-OZ '!G19+'44-8.12 OZ'!G19+'40-4.5-OZ'!G19+'36-4.05 OZ'!G19+'34-9.82'!G19+'54-6.5'!G19+'44-7.15 '!G19+'48-8.4-OZ  '!G19+'40-6.5'!G19+'51-11.36-OZ '!G19+'48-7.80 EXP'!G19+'40-5-OZ-EXP'!G19+'44-5 OZ'!G19</f>
        <v>0</v>
      </c>
      <c r="H17" s="347">
        <f>+'39-6-OZ'!H19+'20 X10 '!H19+'38-8.12-OZ '!H19+'44-8.12 OZ'!H19+'40-4.5-OZ'!H19+'36-4.05 OZ'!H19+'34-9.82'!H19+'54-6.5'!H19+'44-7.15 '!H19+'48-8.4-OZ  '!H19+'40-6.5'!H19+'51-11.36-OZ '!H19+'48-7.80 EXP'!H19+'40-5-OZ-EXP'!H19+'48-6 EXPORT'!H19+'51 X51 LENO'!G18+'EXPORT 100FT'!H19+'EXPORT 30 FT)'!H19+'JUTE LENO'!H19+JUCO!H19+BLEACH!H19+YARN!H19+'44-5 OZ'!H19</f>
        <v>0</v>
      </c>
      <c r="I17" s="349">
        <f t="shared" si="0"/>
        <v>129</v>
      </c>
      <c r="J17" s="347">
        <f t="shared" si="1"/>
        <v>43.8522295</v>
      </c>
      <c r="K17" s="348">
        <f>+'39-6-OZ'!K19+'20 X10 '!K19+'38-8.12-OZ '!K19+'44-8.12 OZ'!K19+'40-4.5-OZ'!K19+'36-4.05 OZ'!K19+'34-9.82'!K19+'54-6.5'!K19+'44-7.15 '!K19+'48-8.4-OZ  '!K19+'40-6.5'!K19+'51-11.36-OZ '!K19+'48-7.80 EXP'!K19+'40-5-OZ-EXP'!K19+'EXPORT '!K19+'48-6 EXPORT'!K19+'44-5 OZ'!K9</f>
        <v>0</v>
      </c>
      <c r="L17" s="347">
        <f>+'39-6-OZ'!M19+'38-8.12-OZ '!M19+'44-8.12 OZ'!L19+'40-4.5-OZ'!M19+'36-4.05 OZ'!M19+'34-9.82'!M19+'40-6.5'!M19+'44-5 OZ'!M19</f>
        <v>0</v>
      </c>
      <c r="M17" s="349">
        <f t="shared" si="2"/>
        <v>129</v>
      </c>
      <c r="N17" s="347">
        <f t="shared" si="4"/>
        <v>43.8522295</v>
      </c>
    </row>
    <row r="18" spans="2:14" ht="20.100000000000001" customHeight="1">
      <c r="B18" s="216">
        <v>12</v>
      </c>
      <c r="C18" s="216"/>
      <c r="D18" s="348">
        <f t="shared" si="3"/>
        <v>129</v>
      </c>
      <c r="E18" s="347">
        <f>+'39-6-OZ'!E20+'20 X10 '!E20+'38-8.12-OZ '!E20+'44-8.12 OZ'!E20+'40-4.5-OZ'!E20+'36-4.05 OZ'!E20+'34-9.82'!E20+'54-6.5'!E20+'44-7.15 '!E20+'48-8.4-OZ  '!E20+'40-6.5'!E20+'51-11.36-OZ '!E20+'48-7.80 EXP'!E20+'40-5-OZ-EXP'!E20</f>
        <v>43.8522295</v>
      </c>
      <c r="F18" s="346"/>
      <c r="G18" s="348">
        <f>+'39-6-OZ'!G20+'20 X10 '!G20+'38-8.12-OZ '!G20+'44-8.12 OZ'!G20+'40-4.5-OZ'!G20+'36-4.05 OZ'!G20+'34-9.82'!G20+'54-6.5'!G20+'44-7.15 '!G20+'48-8.4-OZ  '!G20+'40-6.5'!G20+'51-11.36-OZ '!G20+'48-7.80 EXP'!G20+'40-5-OZ-EXP'!G20+'44-5 OZ'!G20</f>
        <v>10</v>
      </c>
      <c r="H18" s="347">
        <f>+'39-6-OZ'!H20+'20 X10 '!H20+'38-8.12-OZ '!H20+'44-8.12 OZ'!H20+'40-4.5-OZ'!H20+'36-4.05 OZ'!H20+'34-9.82'!H20+'54-6.5'!H20+'44-7.15 '!H20+'48-8.4-OZ  '!H20+'40-6.5'!H20+'51-11.36-OZ '!H20+'48-7.80 EXP'!H20+'40-5-OZ-EXP'!H20+'48-6 EXPORT'!H20+'51 X51 LENO'!G19+'EXPORT 100FT'!H20+'EXPORT 30 FT)'!H20+'JUTE LENO'!H20+JUCO!H20+BLEACH!H20+YARN!H20+'44-5 OZ'!H20</f>
        <v>3.8147098750000001</v>
      </c>
      <c r="I18" s="346">
        <f t="shared" si="0"/>
        <v>139</v>
      </c>
      <c r="J18" s="347">
        <f t="shared" si="1"/>
        <v>47.666939374999998</v>
      </c>
      <c r="K18" s="348">
        <f>+'39-6-OZ'!K20+'20 X10 '!K20+'38-8.12-OZ '!K20+'44-8.12 OZ'!K20+'40-4.5-OZ'!K20+'36-4.05 OZ'!K20+'34-9.82'!K20+'54-6.5'!K20+'44-7.15 '!K20+'48-8.4-OZ  '!K20+'40-6.5'!K20+'51-11.36-OZ '!K20+'48-7.80 EXP'!K20+'40-5-OZ-EXP'!K20+'EXPORT '!K20+'48-6 EXPORT'!K20+'44-5 OZ'!K10</f>
        <v>0</v>
      </c>
      <c r="L18" s="347">
        <f>+'39-6-OZ'!M20+'38-8.12-OZ '!M20+'44-8.12 OZ'!L20+'40-4.5-OZ'!M20+'36-4.05 OZ'!M20+'34-9.82'!M20+'40-6.5'!M20+'44-5 OZ'!M20</f>
        <v>0</v>
      </c>
      <c r="M18" s="346">
        <f t="shared" si="2"/>
        <v>139</v>
      </c>
      <c r="N18" s="347">
        <f t="shared" si="4"/>
        <v>47.666939374999998</v>
      </c>
    </row>
    <row r="19" spans="2:14" ht="20.100000000000001" customHeight="1">
      <c r="B19" s="216">
        <v>13</v>
      </c>
      <c r="C19" s="216"/>
      <c r="D19" s="348">
        <f t="shared" si="3"/>
        <v>139</v>
      </c>
      <c r="E19" s="347">
        <f>+'39-6-OZ'!E21+'20 X10 '!E21+'38-8.12-OZ '!E21+'44-8.12 OZ'!E21+'40-4.5-OZ'!E21+'36-4.05 OZ'!E21+'34-9.82'!E21+'54-6.5'!E21+'44-7.15 '!E21+'48-8.4-OZ  '!E21+'40-6.5'!E21+'51-11.36-OZ '!E21+'48-7.80 EXP'!E21+'40-5-OZ-EXP'!E21</f>
        <v>47.666939374999998</v>
      </c>
      <c r="F19" s="346"/>
      <c r="G19" s="348">
        <f>+'39-6-OZ'!G21+'20 X10 '!G21+'38-8.12-OZ '!G21+'44-8.12 OZ'!G21+'40-4.5-OZ'!G21+'36-4.05 OZ'!G21+'34-9.82'!G21+'54-6.5'!G21+'44-7.15 '!G21+'48-8.4-OZ  '!G21+'40-6.5'!G21+'51-11.36-OZ '!G21+'48-7.80 EXP'!G21+'40-5-OZ-EXP'!G21+'44-5 OZ'!G21</f>
        <v>0</v>
      </c>
      <c r="H19" s="347">
        <f>+'39-6-OZ'!H21+'20 X10 '!H21+'38-8.12-OZ '!H21+'44-8.12 OZ'!H21+'40-4.5-OZ'!H21+'36-4.05 OZ'!H21+'34-9.82'!H21+'54-6.5'!H21+'44-7.15 '!H21+'48-8.4-OZ  '!H21+'40-6.5'!H21+'51-11.36-OZ '!H21+'48-7.80 EXP'!H21+'40-5-OZ-EXP'!H21+'48-6 EXPORT'!H21+'51 X51 LENO'!G20+'EXPORT 100FT'!H21+'EXPORT 30 FT)'!H21+'JUTE LENO'!H21+JUCO!H21+BLEACH!H21+YARN!H21+'44-5 OZ'!H21</f>
        <v>0</v>
      </c>
      <c r="I19" s="346">
        <f t="shared" si="0"/>
        <v>139</v>
      </c>
      <c r="J19" s="347">
        <f t="shared" si="1"/>
        <v>47.666939374999998</v>
      </c>
      <c r="K19" s="348">
        <f>+'39-6-OZ'!K21+'20 X10 '!K21+'38-8.12-OZ '!K21+'44-8.12 OZ'!K21+'40-4.5-OZ'!K21+'36-4.05 OZ'!K21+'34-9.82'!K21+'54-6.5'!K21+'44-7.15 '!K21+'48-8.4-OZ  '!K21+'40-6.5'!K21+'51-11.36-OZ '!K21+'48-7.80 EXP'!K21+'40-5-OZ-EXP'!K21+'EXPORT '!K21+'48-6 EXPORT'!K21+'44-5 OZ'!K11</f>
        <v>0</v>
      </c>
      <c r="L19" s="347">
        <f>+'39-6-OZ'!M21+'38-8.12-OZ '!M21+'44-8.12 OZ'!L21+'40-4.5-OZ'!M21+'36-4.05 OZ'!M21+'34-9.82'!M21+'40-6.5'!M21+'44-5 OZ'!M21</f>
        <v>0</v>
      </c>
      <c r="M19" s="346">
        <f t="shared" si="2"/>
        <v>139</v>
      </c>
      <c r="N19" s="347">
        <f t="shared" si="4"/>
        <v>47.666939374999998</v>
      </c>
    </row>
    <row r="20" spans="2:14" ht="20.100000000000001" customHeight="1">
      <c r="B20" s="216">
        <v>14</v>
      </c>
      <c r="C20" s="216"/>
      <c r="D20" s="348">
        <f t="shared" si="3"/>
        <v>139</v>
      </c>
      <c r="E20" s="347">
        <f>+'39-6-OZ'!E22+'20 X10 '!E22+'38-8.12-OZ '!E22+'44-8.12 OZ'!E22+'40-4.5-OZ'!E22+'36-4.05 OZ'!E22+'34-9.82'!E22+'54-6.5'!E22+'44-7.15 '!E22+'48-8.4-OZ  '!E22+'40-6.5'!E22+'51-11.36-OZ '!E22+'48-7.80 EXP'!E22+'40-5-OZ-EXP'!E22</f>
        <v>47.666939374999998</v>
      </c>
      <c r="F20" s="346"/>
      <c r="G20" s="348">
        <f>+'39-6-OZ'!G22+'20 X10 '!G22+'38-8.12-OZ '!G22+'44-8.12 OZ'!G22+'40-4.5-OZ'!G22+'36-4.05 OZ'!G22+'34-9.82'!G22+'54-6.5'!G22+'44-7.15 '!G22+'48-8.4-OZ  '!G22+'40-6.5'!G22+'51-11.36-OZ '!G22+'48-7.80 EXP'!G22+'40-5-OZ-EXP'!G22+'44-5 OZ'!G22</f>
        <v>0</v>
      </c>
      <c r="H20" s="347">
        <f>+'39-6-OZ'!H22+'20 X10 '!H22+'38-8.12-OZ '!H22+'44-8.12 OZ'!H22+'40-4.5-OZ'!H22+'36-4.05 OZ'!H22+'34-9.82'!H22+'54-6.5'!H22+'44-7.15 '!H22+'48-8.4-OZ  '!H22+'40-6.5'!H22+'51-11.36-OZ '!H22+'48-7.80 EXP'!H22+'40-5-OZ-EXP'!H22+'48-6 EXPORT'!H22+'51 X51 LENO'!G21+'EXPORT 100FT'!H22+'EXPORT 30 FT)'!H22+'JUTE LENO'!H22+JUCO!H22+BLEACH!H22+YARN!H22+'44-5 OZ'!H22</f>
        <v>0</v>
      </c>
      <c r="I20" s="346">
        <f t="shared" si="0"/>
        <v>139</v>
      </c>
      <c r="J20" s="347">
        <f t="shared" si="1"/>
        <v>47.666939374999998</v>
      </c>
      <c r="K20" s="348">
        <f>+'39-6-OZ'!K22+'20 X10 '!K22+'38-8.12-OZ '!K22+'44-8.12 OZ'!K22+'40-4.5-OZ'!K22+'36-4.05 OZ'!K22+'34-9.82'!K22+'54-6.5'!K22+'44-7.15 '!K22+'48-8.4-OZ  '!K22+'40-6.5'!K22+'51-11.36-OZ '!K22+'48-7.80 EXP'!K22+'40-5-OZ-EXP'!K22+'EXPORT '!K22+'48-6 EXPORT'!K22+'44-5 OZ'!K12</f>
        <v>0</v>
      </c>
      <c r="L20" s="347">
        <f>+'39-6-OZ'!M22+'38-8.12-OZ '!M22+'44-8.12 OZ'!L22+'40-4.5-OZ'!M22+'36-4.05 OZ'!M22+'34-9.82'!M22+'40-6.5'!M22+'44-5 OZ'!M22</f>
        <v>0</v>
      </c>
      <c r="M20" s="346">
        <f t="shared" si="2"/>
        <v>139</v>
      </c>
      <c r="N20" s="347">
        <f t="shared" si="4"/>
        <v>47.666939374999998</v>
      </c>
    </row>
    <row r="21" spans="2:14" ht="20.100000000000001" customHeight="1">
      <c r="B21" s="216">
        <v>15</v>
      </c>
      <c r="C21" s="216"/>
      <c r="D21" s="348">
        <f t="shared" si="3"/>
        <v>139</v>
      </c>
      <c r="E21" s="347">
        <f>+'39-6-OZ'!E23+'20 X10 '!E23+'38-8.12-OZ '!E23+'44-8.12 OZ'!E23+'40-4.5-OZ'!E23+'36-4.05 OZ'!E23+'34-9.82'!E23+'54-6.5'!E23+'44-7.15 '!E23+'48-8.4-OZ  '!E23+'40-6.5'!E23+'51-11.36-OZ '!E23+'48-7.80 EXP'!E23+'40-5-OZ-EXP'!E23</f>
        <v>47.666939374999998</v>
      </c>
      <c r="F21" s="346"/>
      <c r="G21" s="348">
        <f>+'39-6-OZ'!G23+'20 X10 '!G23+'38-8.12-OZ '!G23+'44-8.12 OZ'!G23+'40-4.5-OZ'!G23+'36-4.05 OZ'!G23+'34-9.82'!G23+'54-6.5'!G23+'44-7.15 '!G23+'48-8.4-OZ  '!G23+'40-6.5'!G23+'51-11.36-OZ '!G23+'48-7.80 EXP'!G23+'40-5-OZ-EXP'!G23+'44-5 OZ'!G23</f>
        <v>0</v>
      </c>
      <c r="H21" s="347">
        <f>+'39-6-OZ'!H23+'20 X10 '!H23+'38-8.12-OZ '!H23+'44-8.12 OZ'!H23+'40-4.5-OZ'!H23+'36-4.05 OZ'!H23+'34-9.82'!H23+'54-6.5'!H23+'44-7.15 '!H23+'48-8.4-OZ  '!H23+'40-6.5'!H23+'51-11.36-OZ '!H23+'48-7.80 EXP'!H23+'40-5-OZ-EXP'!H23+'48-6 EXPORT'!H23+'51 X51 LENO'!G22+'EXPORT 100FT'!H23+'EXPORT 30 FT)'!H23+'JUTE LENO'!H23+JUCO!H23+BLEACH!H23+YARN!H23+'44-5 OZ'!H23</f>
        <v>0</v>
      </c>
      <c r="I21" s="346">
        <f t="shared" si="0"/>
        <v>139</v>
      </c>
      <c r="J21" s="347">
        <f t="shared" si="1"/>
        <v>47.666939374999998</v>
      </c>
      <c r="K21" s="348">
        <f>+'39-6-OZ'!K23+'20 X10 '!K23+'38-8.12-OZ '!K23+'44-8.12 OZ'!K23+'40-4.5-OZ'!K23+'36-4.05 OZ'!K23+'34-9.82'!K23+'54-6.5'!K23+'44-7.15 '!K23+'48-8.4-OZ  '!K23+'40-6.5'!K23+'51-11.36-OZ '!K23+'48-7.80 EXP'!K23+'40-5-OZ-EXP'!K23+'EXPORT '!K23+'48-6 EXPORT'!K23+'44-5 OZ'!K13</f>
        <v>0</v>
      </c>
      <c r="L21" s="347">
        <f>+'39-6-OZ'!M23+'38-8.12-OZ '!M23+'44-8.12 OZ'!L23+'40-4.5-OZ'!M23+'36-4.05 OZ'!M23+'34-9.82'!M23+'40-6.5'!M23+'44-5 OZ'!M23</f>
        <v>0</v>
      </c>
      <c r="M21" s="346">
        <f t="shared" si="2"/>
        <v>139</v>
      </c>
      <c r="N21" s="347">
        <f t="shared" si="4"/>
        <v>47.666939374999998</v>
      </c>
    </row>
    <row r="22" spans="2:14" ht="20.100000000000001" customHeight="1">
      <c r="B22" s="216">
        <v>16</v>
      </c>
      <c r="C22" s="216"/>
      <c r="D22" s="348">
        <f t="shared" si="3"/>
        <v>139</v>
      </c>
      <c r="E22" s="347">
        <f>+'39-6-OZ'!E24+'20 X10 '!E24+'38-8.12-OZ '!E24+'44-8.12 OZ'!E24+'40-4.5-OZ'!E24+'36-4.05 OZ'!E24+'34-9.82'!E24+'54-6.5'!E24+'44-7.15 '!E24+'48-8.4-OZ  '!E24+'40-6.5'!E24+'51-11.36-OZ '!E24+'48-7.80 EXP'!E24+'40-5-OZ-EXP'!E24</f>
        <v>47.666939374999998</v>
      </c>
      <c r="F22" s="346"/>
      <c r="G22" s="348">
        <f>+'39-6-OZ'!G24+'20 X10 '!G24+'38-8.12-OZ '!G24+'44-8.12 OZ'!G24+'40-4.5-OZ'!G24+'36-4.05 OZ'!G24+'34-9.82'!G24+'54-6.5'!G24+'44-7.15 '!G24+'48-8.4-OZ  '!G24+'40-6.5'!G24+'51-11.36-OZ '!G24+'48-7.80 EXP'!G24+'40-5-OZ-EXP'!G24+'44-5 OZ'!G24</f>
        <v>18</v>
      </c>
      <c r="H22" s="347">
        <f>+'39-6-OZ'!H24+'20 X10 '!H24+'38-8.12-OZ '!H24+'44-8.12 OZ'!H24+'40-4.5-OZ'!H24+'36-4.05 OZ'!H24+'34-9.82'!H24+'54-6.5'!H24+'44-7.15 '!H24+'48-8.4-OZ  '!H24+'40-6.5'!H24+'51-11.36-OZ '!H24+'48-7.80 EXP'!H24+'40-5-OZ-EXP'!H24+'48-6 EXPORT'!H24+'51 X51 LENO'!G23+'EXPORT 100FT'!H24+'EXPORT 30 FT)'!H24+'JUTE LENO'!H24+JUCO!H24+BLEACH!H24+YARN!H24+'44-5 OZ'!H24</f>
        <v>7.0948411250000003</v>
      </c>
      <c r="I22" s="346">
        <f t="shared" si="0"/>
        <v>157</v>
      </c>
      <c r="J22" s="347">
        <f t="shared" si="1"/>
        <v>54.7617805</v>
      </c>
      <c r="K22" s="348">
        <f>+'39-6-OZ'!K24+'20 X10 '!K24+'38-8.12-OZ '!K24+'44-8.12 OZ'!K24+'40-4.5-OZ'!K24+'36-4.05 OZ'!K24+'34-9.82'!K24+'54-6.5'!K24+'44-7.15 '!K24+'48-8.4-OZ  '!K24+'40-6.5'!K24+'51-11.36-OZ '!K24+'48-7.80 EXP'!K24+'40-5-OZ-EXP'!K24+'EXPORT '!K24+'48-6 EXPORT'!K24+'44-5 OZ'!K14</f>
        <v>153</v>
      </c>
      <c r="L22" s="347">
        <f>+'39-6-OZ'!M24+'38-8.12-OZ '!M24+'44-8.12 OZ'!L24+'40-4.5-OZ'!M24+'36-4.05 OZ'!M24+'34-9.82'!M24+'40-6.5'!M24+'44-5 OZ'!M24</f>
        <v>52.999124500000001</v>
      </c>
      <c r="M22" s="346">
        <f t="shared" si="2"/>
        <v>4</v>
      </c>
      <c r="N22" s="347">
        <f t="shared" si="4"/>
        <v>1.7626559999999998</v>
      </c>
    </row>
    <row r="23" spans="2:14" ht="20.100000000000001" customHeight="1">
      <c r="B23" s="216">
        <v>17</v>
      </c>
      <c r="C23" s="216"/>
      <c r="D23" s="348">
        <f t="shared" si="3"/>
        <v>4</v>
      </c>
      <c r="E23" s="347">
        <f>+'39-6-OZ'!E25+'20 X10 '!E25+'38-8.12-OZ '!E25+'44-8.12 OZ'!E25+'40-4.5-OZ'!E25+'36-4.05 OZ'!E25+'34-9.82'!E25+'54-6.5'!E25+'44-7.15 '!E25+'48-8.4-OZ  '!E25+'40-6.5'!E25+'51-11.36-OZ '!E25+'48-7.80 EXP'!E25+'40-5-OZ-EXP'!E25</f>
        <v>1.762656</v>
      </c>
      <c r="F23" s="346"/>
      <c r="G23" s="348">
        <f>+'39-6-OZ'!G25+'20 X10 '!G25+'38-8.12-OZ '!G25+'44-8.12 OZ'!G25+'40-4.5-OZ'!G25+'36-4.05 OZ'!G25+'34-9.82'!G25+'54-6.5'!G25+'44-7.15 '!G25+'48-8.4-OZ  '!G25+'40-6.5'!G25+'51-11.36-OZ '!G25+'48-7.80 EXP'!G25+'40-5-OZ-EXP'!G25+'44-5 OZ'!G25+'44-5 OZ (2)'!G25</f>
        <v>0</v>
      </c>
      <c r="H23" s="347">
        <f>+'39-6-OZ'!H25+'20 X10 '!H25+'38-8.12-OZ '!H25+'44-8.12 OZ'!H25+'40-4.5-OZ'!H25+'36-4.05 OZ'!H25+'34-9.82'!H25+'54-6.5'!H25+'44-7.15 '!H25+'48-8.4-OZ  '!H25+'40-6.5'!H25+'51-11.36-OZ '!H25+'48-7.80 EXP'!H25+'40-5-OZ-EXP'!H25+'48-6 EXPORT'!H25+'51 X51 LENO'!G24+'EXPORT 100FT'!H25+'EXPORT 30 FT)'!H25+'JUTE LENO'!H25+JUCO!H25+BLEACH!H25+YARN!H25+'44-5 OZ'!H25</f>
        <v>0</v>
      </c>
      <c r="I23" s="346">
        <f t="shared" si="0"/>
        <v>4</v>
      </c>
      <c r="J23" s="347">
        <f t="shared" si="1"/>
        <v>1.762656</v>
      </c>
      <c r="K23" s="348">
        <f>+'39-6-OZ'!K25+'20 X10 '!K25+'38-8.12-OZ '!K25+'44-8.12 OZ'!K25+'40-4.5-OZ'!K25+'36-4.05 OZ'!K25+'34-9.82'!K25+'54-6.5'!K25+'44-7.15 '!K25+'48-8.4-OZ  '!K25+'40-6.5'!K25+'51-11.36-OZ '!K25+'48-7.80 EXP'!K25+'40-5-OZ-EXP'!K25+'EXPORT '!K25+'48-6 EXPORT'!K25+'44-5 OZ'!K15+'44-5 OZ (2)'!K25</f>
        <v>0</v>
      </c>
      <c r="L23" s="347">
        <f>+'39-6-OZ'!M25+'38-8.12-OZ '!M25+'44-8.12 OZ'!L25+'40-4.5-OZ'!M25+'36-4.05 OZ'!M25+'34-9.82'!M25+'40-6.5'!M25+'44-5 OZ'!M25</f>
        <v>0</v>
      </c>
      <c r="M23" s="346">
        <f t="shared" si="2"/>
        <v>4</v>
      </c>
      <c r="N23" s="347">
        <f t="shared" si="4"/>
        <v>1.762656</v>
      </c>
    </row>
    <row r="24" spans="2:14" ht="20.100000000000001" customHeight="1">
      <c r="B24" s="216">
        <v>18</v>
      </c>
      <c r="C24" s="216"/>
      <c r="D24" s="348">
        <f t="shared" si="3"/>
        <v>4</v>
      </c>
      <c r="E24" s="347">
        <f>+'39-6-OZ'!E26+'20 X10 '!E26+'38-8.12-OZ '!E26+'44-8.12 OZ'!E26+'40-4.5-OZ'!E26+'36-4.05 OZ'!E26+'34-9.82'!E26+'54-6.5'!E26+'44-7.15 '!E26+'48-8.4-OZ  '!E26+'40-6.5'!E26+'51-11.36-OZ '!E26+'48-7.80 EXP'!E26+'40-5-OZ-EXP'!E26</f>
        <v>1.762656</v>
      </c>
      <c r="F24" s="346"/>
      <c r="G24" s="348">
        <f>+'39-6-OZ'!G26+'20 X10 '!G26+'38-8.12-OZ '!G26+'44-8.12 OZ'!G26+'40-4.5-OZ'!G26+'36-4.05 OZ'!G26+'34-9.82'!G26+'54-6.5'!G26+'44-7.15 '!G26+'48-8.4-OZ  '!G26+'40-6.5'!G26+'51-11.36-OZ '!G26+'48-7.80 EXP'!G26+'40-5-OZ-EXP'!G26+'44-5 OZ'!G26+'44-5 OZ (2)'!G26</f>
        <v>0</v>
      </c>
      <c r="H24" s="347">
        <f>+'39-6-OZ'!H26+'20 X10 '!H26+'38-8.12-OZ '!H26+'44-8.12 OZ'!H26+'40-4.5-OZ'!H26+'36-4.05 OZ'!H26+'34-9.82'!H26+'54-6.5'!H26+'44-7.15 '!H26+'48-8.4-OZ  '!H26+'40-6.5'!H26+'51-11.36-OZ '!H26+'48-7.80 EXP'!H26+'40-5-OZ-EXP'!H26+'48-6 EXPORT'!H26+'51 X51 LENO'!G25+'EXPORT 100FT'!H26+'EXPORT 30 FT)'!H26+'JUTE LENO'!H26+JUCO!H26+BLEACH!H26+YARN!H26+'44-5 OZ'!H26</f>
        <v>0</v>
      </c>
      <c r="I24" s="346">
        <f t="shared" si="0"/>
        <v>4</v>
      </c>
      <c r="J24" s="347">
        <f t="shared" si="1"/>
        <v>1.762656</v>
      </c>
      <c r="K24" s="348">
        <f>+'39-6-OZ'!K26+'20 X10 '!K26+'38-8.12-OZ '!K26+'44-8.12 OZ'!K26+'40-4.5-OZ'!K26+'36-4.05 OZ'!K26+'34-9.82'!K26+'54-6.5'!K26+'44-7.15 '!K26+'48-8.4-OZ  '!K26+'40-6.5'!K26+'51-11.36-OZ '!K26+'48-7.80 EXP'!K26+'40-5-OZ-EXP'!K26+'EXPORT '!K26+'48-6 EXPORT'!K26+'44-5 OZ'!K16</f>
        <v>0</v>
      </c>
      <c r="L24" s="347">
        <f>+'39-6-OZ'!M26+'38-8.12-OZ '!M26+'44-8.12 OZ'!L26+'40-4.5-OZ'!M26+'36-4.05 OZ'!M26+'34-9.82'!M26+'40-6.5'!M26+'44-5 OZ'!M26</f>
        <v>0</v>
      </c>
      <c r="M24" s="346">
        <f t="shared" si="2"/>
        <v>4</v>
      </c>
      <c r="N24" s="347">
        <f t="shared" si="4"/>
        <v>1.762656</v>
      </c>
    </row>
    <row r="25" spans="2:14" ht="20.100000000000001" customHeight="1">
      <c r="B25" s="216">
        <v>19</v>
      </c>
      <c r="C25" s="216"/>
      <c r="D25" s="348">
        <f t="shared" si="3"/>
        <v>4</v>
      </c>
      <c r="E25" s="347">
        <f>+'39-6-OZ'!E27+'20 X10 '!E27+'38-8.12-OZ '!E27+'44-8.12 OZ'!E27+'40-4.5-OZ'!E27+'36-4.05 OZ'!E27+'34-9.82'!E27+'54-6.5'!E27+'44-7.15 '!E27+'48-8.4-OZ  '!E27+'40-6.5'!E27+'51-11.36-OZ '!E27+'48-7.80 EXP'!E27+'40-5-OZ-EXP'!E27</f>
        <v>1.762656</v>
      </c>
      <c r="F25" s="346"/>
      <c r="G25" s="348">
        <f>+'39-6-OZ'!G27+'20 X10 '!G27+'38-8.12-OZ '!G27+'44-8.12 OZ'!G27+'40-4.5-OZ'!G27+'36-4.05 OZ'!G27+'34-9.82'!G27+'54-6.5'!G27+'44-7.15 '!G27+'48-8.4-OZ  '!G27+'40-6.5'!G27+'51-11.36-OZ '!G27+'48-7.80 EXP'!G27+'40-5-OZ-EXP'!G27+'44-5 OZ'!G27+'44-5 OZ (2)'!G27</f>
        <v>0</v>
      </c>
      <c r="H25" s="347">
        <f>+'39-6-OZ'!H27+'20 X10 '!H27+'38-8.12-OZ '!H27+'44-8.12 OZ'!H27+'40-4.5-OZ'!H27+'36-4.05 OZ'!H27+'34-9.82'!H27+'54-6.5'!H27+'44-7.15 '!H27+'48-8.4-OZ  '!H27+'40-6.5'!H27+'51-11.36-OZ '!H27+'48-7.80 EXP'!H27+'40-5-OZ-EXP'!H27+'48-6 EXPORT'!H27+'51 X51 LENO'!G26+'EXPORT 100FT'!H27+'EXPORT 30 FT)'!H27+'JUTE LENO'!H27+JUCO!H27+BLEACH!H27+YARN!H27+'44-5 OZ'!H27</f>
        <v>0</v>
      </c>
      <c r="I25" s="346">
        <f t="shared" si="0"/>
        <v>4</v>
      </c>
      <c r="J25" s="347">
        <f t="shared" si="1"/>
        <v>1.762656</v>
      </c>
      <c r="K25" s="348">
        <f>+'39-6-OZ'!K27+'20 X10 '!K27+'38-8.12-OZ '!K27+'44-8.12 OZ'!K27+'40-4.5-OZ'!K27+'36-4.05 OZ'!K27+'34-9.82'!K27+'54-6.5'!K27+'44-7.15 '!K27+'48-8.4-OZ  '!K27+'40-6.5'!K27+'51-11.36-OZ '!K27+'48-7.80 EXP'!K27+'40-5-OZ-EXP'!K27+'EXPORT '!K27+'48-6 EXPORT'!K27+'44-5 OZ'!K17</f>
        <v>0</v>
      </c>
      <c r="L25" s="347">
        <f>+'39-6-OZ'!M27+'38-8.12-OZ '!M27+'44-8.12 OZ'!L27+'40-4.5-OZ'!M27+'36-4.05 OZ'!M27+'34-9.82'!M27+'40-6.5'!M27+'44-5 OZ'!M27</f>
        <v>0</v>
      </c>
      <c r="M25" s="346">
        <f t="shared" si="2"/>
        <v>4</v>
      </c>
      <c r="N25" s="347">
        <f t="shared" si="4"/>
        <v>1.762656</v>
      </c>
    </row>
    <row r="26" spans="2:14" ht="20.100000000000001" customHeight="1">
      <c r="B26" s="216">
        <v>20</v>
      </c>
      <c r="C26" s="216"/>
      <c r="D26" s="348">
        <f t="shared" si="3"/>
        <v>4</v>
      </c>
      <c r="E26" s="347">
        <f>+'39-6-OZ'!E28+'20 X10 '!E28+'38-8.12-OZ '!E28+'44-8.12 OZ'!E28+'40-4.5-OZ'!E28+'36-4.05 OZ'!E28+'34-9.82'!E28+'54-6.5'!E28+'44-7.15 '!E28+'48-8.4-OZ  '!E28+'40-6.5'!E28+'51-11.36-OZ '!E28+'48-7.80 EXP'!E28+'40-5-OZ-EXP'!E28</f>
        <v>1.762656</v>
      </c>
      <c r="F26" s="346"/>
      <c r="G26" s="348">
        <f>+'39-6-OZ'!G28+'20 X10 '!G28+'38-8.12-OZ '!G28+'44-8.12 OZ'!G28+'40-4.5-OZ'!G28+'36-4.05 OZ'!G28+'34-9.82'!G28+'54-6.5'!G28+'44-7.15 '!G28+'48-8.4-OZ  '!G28+'40-6.5'!G28+'51-11.36-OZ '!G28+'48-7.80 EXP'!G28+'40-5-OZ-EXP'!G28+'44-5 OZ'!G28+'44-5 OZ (2)'!G28</f>
        <v>0</v>
      </c>
      <c r="H26" s="347">
        <f>+'39-6-OZ'!H28+'20 X10 '!H28+'38-8.12-OZ '!H28+'44-8.12 OZ'!H28+'40-4.5-OZ'!H28+'36-4.05 OZ'!H28+'34-9.82'!H28+'54-6.5'!H28+'44-7.15 '!H28+'48-8.4-OZ  '!H28+'40-6.5'!H28+'51-11.36-OZ '!H28+'48-7.80 EXP'!H28+'40-5-OZ-EXP'!H28+'48-6 EXPORT'!H28+'51 X51 LENO'!G27+'EXPORT 100FT'!H28+'EXPORT 30 FT)'!H28+'JUTE LENO'!H28+JUCO!H28+BLEACH!H28+YARN!H28+'44-5 OZ'!H28</f>
        <v>0</v>
      </c>
      <c r="I26" s="346">
        <f t="shared" si="0"/>
        <v>4</v>
      </c>
      <c r="J26" s="347">
        <f t="shared" si="1"/>
        <v>1.762656</v>
      </c>
      <c r="K26" s="348">
        <f>+'39-6-OZ'!K28+'20 X10 '!K28+'38-8.12-OZ '!K28+'44-8.12 OZ'!K28+'40-4.5-OZ'!K28+'36-4.05 OZ'!K28+'34-9.82'!K28+'54-6.5'!K28+'44-7.15 '!K28+'48-8.4-OZ  '!K28+'40-6.5'!K28+'51-11.36-OZ '!K28+'48-7.80 EXP'!K28+'40-5-OZ-EXP'!K28+'EXPORT '!K28+'48-6 EXPORT'!K28+'44-5 OZ'!K18</f>
        <v>0</v>
      </c>
      <c r="L26" s="347">
        <f>+'39-6-OZ'!M28+'38-8.12-OZ '!M28+'44-8.12 OZ'!L28+'40-4.5-OZ'!M28+'36-4.05 OZ'!M28+'34-9.82'!M28+'40-6.5'!M28+'44-5 OZ'!M28</f>
        <v>0</v>
      </c>
      <c r="M26" s="346">
        <f t="shared" si="2"/>
        <v>4</v>
      </c>
      <c r="N26" s="347">
        <f t="shared" si="4"/>
        <v>1.762656</v>
      </c>
    </row>
    <row r="27" spans="2:14" ht="20.100000000000001" customHeight="1">
      <c r="B27" s="216">
        <v>21</v>
      </c>
      <c r="C27" s="216"/>
      <c r="D27" s="348">
        <f t="shared" si="3"/>
        <v>4</v>
      </c>
      <c r="E27" s="347">
        <f>+'39-6-OZ'!E29+'20 X10 '!E29+'38-8.12-OZ '!E29+'44-8.12 OZ'!E29+'40-4.5-OZ'!E29+'36-4.05 OZ'!E29+'34-9.82'!E29+'54-6.5'!E29+'44-7.15 '!E29+'48-8.4-OZ  '!E29+'40-6.5'!E29+'51-11.36-OZ '!E29+'48-7.80 EXP'!E29+'40-5-OZ-EXP'!E29</f>
        <v>1.762656</v>
      </c>
      <c r="F27" s="346"/>
      <c r="G27" s="348">
        <f>+'39-6-OZ'!G29+'20 X10 '!G29+'38-8.12-OZ '!G29+'44-8.12 OZ'!G29+'40-4.5-OZ'!G29+'36-4.05 OZ'!G29+'34-9.82'!G29+'54-6.5'!G29+'44-7.15 '!G29+'48-8.4-OZ  '!G29+'40-6.5'!G29+'51-11.36-OZ '!G29+'48-7.80 EXP'!G29+'40-5-OZ-EXP'!G29+'44-5 OZ'!G29+'44-5 OZ (2)'!G29</f>
        <v>0</v>
      </c>
      <c r="H27" s="347">
        <f>+'39-6-OZ'!H29+'20 X10 '!H29+'38-8.12-OZ '!H29+'44-8.12 OZ'!H29+'40-4.5-OZ'!H29+'36-4.05 OZ'!H29+'34-9.82'!H29+'54-6.5'!H29+'44-7.15 '!H29+'48-8.4-OZ  '!H29+'40-6.5'!H29+'51-11.36-OZ '!H29+'48-7.80 EXP'!H29+'40-5-OZ-EXP'!H29+'48-6 EXPORT'!H29+'51 X51 LENO'!G28+'EXPORT 100FT'!H29+'EXPORT 30 FT)'!H29+'JUTE LENO'!H29+JUCO!H29+BLEACH!H29+YARN!H29+'44-5 OZ'!H29</f>
        <v>0</v>
      </c>
      <c r="I27" s="346">
        <f t="shared" si="0"/>
        <v>4</v>
      </c>
      <c r="J27" s="347">
        <f t="shared" si="1"/>
        <v>1.762656</v>
      </c>
      <c r="K27" s="348">
        <f>+'39-6-OZ'!K29+'20 X10 '!K29+'38-8.12-OZ '!K29+'44-8.12 OZ'!K29+'40-4.5-OZ'!K29+'36-4.05 OZ'!K29+'34-9.82'!K29+'54-6.5'!K29+'44-7.15 '!K29+'48-8.4-OZ  '!K29+'40-6.5'!K29+'51-11.36-OZ '!K29+'48-7.80 EXP'!K29+'40-5-OZ-EXP'!K29+'EXPORT '!K29+'48-6 EXPORT'!K29+'44-5 OZ'!K19</f>
        <v>0</v>
      </c>
      <c r="L27" s="347">
        <f>+'39-6-OZ'!M29+'38-8.12-OZ '!M29+'44-8.12 OZ'!L29+'40-4.5-OZ'!M29+'36-4.05 OZ'!M29+'34-9.82'!M29+'40-6.5'!M29+'44-5 OZ'!M29</f>
        <v>0</v>
      </c>
      <c r="M27" s="346">
        <f t="shared" si="2"/>
        <v>4</v>
      </c>
      <c r="N27" s="347">
        <f t="shared" si="4"/>
        <v>1.762656</v>
      </c>
    </row>
    <row r="28" spans="2:14" ht="20.100000000000001" customHeight="1">
      <c r="B28" s="216">
        <v>22</v>
      </c>
      <c r="C28" s="216"/>
      <c r="D28" s="348">
        <f t="shared" si="3"/>
        <v>4</v>
      </c>
      <c r="E28" s="347">
        <f>+N27</f>
        <v>1.762656</v>
      </c>
      <c r="F28" s="346"/>
      <c r="G28" s="348">
        <f>+'39-6-OZ'!G30+'20 X10 '!G30+'38-8.12-OZ '!G30+'44-8.12 OZ'!G30+'40-4.5-OZ'!G30+'36-4.05 OZ'!G30+'34-9.82'!G30+'54-6.5'!G30+'44-7.15 '!G30+'48-8.4-OZ  '!G30+'40-6.5'!G30+'51-11.36-OZ '!G30+'48-7.80 EXP'!G30+'40-5-OZ-EXP'!G30+'44-5 OZ'!G30+'44-5 OZ (2)'!G30</f>
        <v>6</v>
      </c>
      <c r="H28" s="347">
        <f>+'39-6-OZ'!H30+'20 X10 '!H30+'38-8.12-OZ '!H30+'44-8.12 OZ'!H30+'40-4.5-OZ'!H30+'36-4.05 OZ'!H30+'34-9.82'!H30+'54-6.5'!H30+'44-7.15 '!H30+'48-8.4-OZ  '!H30+'40-6.5'!H30+'51-11.36-OZ '!H30+'48-7.80 EXP'!H30+'40-5-OZ-EXP'!H30+'48-6 EXPORT'!H30+'51 X51 LENO'!G29+'EXPORT 100FT'!H30+'EXPORT 30 FT)'!H30+'JUTE LENO'!H30+JUCO!H30+BLEACH!H30+YARN!H30+'44-5 OZ'!H30</f>
        <v>2.2278847500000003</v>
      </c>
      <c r="I28" s="346">
        <f t="shared" si="0"/>
        <v>10</v>
      </c>
      <c r="J28" s="347">
        <f t="shared" si="1"/>
        <v>3.9905407500000001</v>
      </c>
      <c r="K28" s="348">
        <f>+'39-6-OZ'!K30+'20 X10 '!K30+'38-8.12-OZ '!K30+'44-8.12 OZ'!K30+'40-4.5-OZ'!K30+'36-4.05 OZ'!K30+'34-9.82'!K30+'54-6.5'!K30+'44-7.15 '!K30+'48-8.4-OZ  '!K30+'40-6.5'!K30+'51-11.36-OZ '!K30+'48-7.80 EXP'!K30+'40-5-OZ-EXP'!K30+'EXPORT '!K30+'48-6 EXPORT'!K30+'44-5 OZ'!K20</f>
        <v>0</v>
      </c>
      <c r="L28" s="347">
        <f>+'39-6-OZ'!M30+'38-8.12-OZ '!M30+'44-8.12 OZ'!L30+'40-4.5-OZ'!M30+'36-4.05 OZ'!M30+'34-9.82'!M30+'40-6.5'!M30+'44-5 OZ'!M30</f>
        <v>0</v>
      </c>
      <c r="M28" s="346">
        <f t="shared" si="2"/>
        <v>10</v>
      </c>
      <c r="N28" s="347">
        <f t="shared" si="4"/>
        <v>3.9905407500000001</v>
      </c>
    </row>
    <row r="29" spans="2:14" ht="20.100000000000001" customHeight="1">
      <c r="B29" s="216">
        <v>23</v>
      </c>
      <c r="C29" s="216"/>
      <c r="D29" s="348">
        <f t="shared" si="3"/>
        <v>10</v>
      </c>
      <c r="E29" s="347">
        <f t="shared" ref="E29:E37" si="5">+N28</f>
        <v>3.9905407500000001</v>
      </c>
      <c r="F29" s="346"/>
      <c r="G29" s="348">
        <f>+'39-6-OZ'!G31+'20 X10 '!G31+'38-8.12-OZ '!G31+'44-8.12 OZ'!G31+'40-4.5-OZ'!G31+'36-4.05 OZ'!G31+'34-9.82'!G31+'54-6.5'!G31+'44-7.15 '!G31+'48-8.4-OZ  '!G31+'40-6.5'!G31+'51-11.36-OZ '!G31+'48-7.80 EXP'!G31+'40-5-OZ-EXP'!G31+'44-5 OZ'!G31+'44-5 OZ (2)'!G31</f>
        <v>14</v>
      </c>
      <c r="H29" s="347">
        <f>+'39-6-OZ'!H31+'20 X10 '!H31+'38-8.12-OZ '!H31+'44-8.12 OZ'!H31+'40-4.5-OZ'!H31+'36-4.05 OZ'!H31+'34-9.82'!H31+'54-6.5'!H31+'44-7.15 '!H31+'48-8.4-OZ  '!H31+'40-6.5'!H31+'51-11.36-OZ '!H31+'48-7.80 EXP'!H31+'40-5-OZ-EXP'!H31+'48-6 EXPORT'!H31+'51 X51 LENO'!G30+'EXPORT 100FT'!H31+'EXPORT 30 FT)'!H31+'JUTE LENO'!H31+JUCO!H31+BLEACH!H31+YARN!H31+'44-5 OZ'!H31</f>
        <v>5.7160656249999997</v>
      </c>
      <c r="I29" s="346">
        <f t="shared" si="0"/>
        <v>24</v>
      </c>
      <c r="J29" s="347">
        <f t="shared" si="1"/>
        <v>9.7066063749999998</v>
      </c>
      <c r="K29" s="348">
        <f>+'39-6-OZ'!K31+'20 X10 '!K31+'38-8.12-OZ '!K31+'44-8.12 OZ'!K31+'40-4.5-OZ'!K31+'36-4.05 OZ'!K31+'34-9.82'!K31+'54-6.5'!K31+'44-7.15 '!K31+'48-8.4-OZ  '!K31+'40-6.5'!K31+'51-11.36-OZ '!K31+'48-7.80 EXP'!K31+'40-5-OZ-EXP'!K31+'EXPORT '!K31+'48-6 EXPORT'!K31+'44-5 OZ'!K21</f>
        <v>0</v>
      </c>
      <c r="L29" s="347">
        <f>+'39-6-OZ'!M31+'38-8.12-OZ '!M31+'44-8.12 OZ'!L31+'40-4.5-OZ'!M31+'36-4.05 OZ'!M31+'34-9.82'!M31+'40-6.5'!M31+'44-5 OZ'!M31</f>
        <v>0</v>
      </c>
      <c r="M29" s="346">
        <f t="shared" si="2"/>
        <v>24</v>
      </c>
      <c r="N29" s="347">
        <f t="shared" si="4"/>
        <v>9.7066063749999998</v>
      </c>
    </row>
    <row r="30" spans="2:14" ht="20.100000000000001" customHeight="1">
      <c r="B30" s="216">
        <v>24</v>
      </c>
      <c r="C30" s="216"/>
      <c r="D30" s="348">
        <f t="shared" si="3"/>
        <v>24</v>
      </c>
      <c r="E30" s="347">
        <f t="shared" si="5"/>
        <v>9.7066063749999998</v>
      </c>
      <c r="F30" s="346"/>
      <c r="G30" s="348">
        <f>+'39-6-OZ'!G32+'20 X10 '!G32+'38-8.12-OZ '!G32+'44-8.12 OZ'!G32+'40-4.5-OZ'!G32+'36-4.05 OZ'!G32+'34-9.82'!G32+'54-6.5'!G32+'44-7.15 '!G32+'48-8.4-OZ  '!G32+'40-6.5'!G32+'51-11.36-OZ '!G32+'48-7.80 EXP'!G32+'40-5-OZ-EXP'!G32+'44-5 OZ'!G32+'44-5 OZ (2)'!G32</f>
        <v>18</v>
      </c>
      <c r="H30" s="347">
        <f>+'39-6-OZ'!H32+'20 X10 '!H32+'38-8.12-OZ '!H32+'44-8.12 OZ'!H32+'40-4.5-OZ'!H32+'36-4.05 OZ'!H32+'34-9.82'!H32+'54-6.5'!H32+'44-7.15 '!H32+'48-8.4-OZ  '!H32+'40-6.5'!H32+'51-11.36-OZ '!H32+'48-7.80 EXP'!H32+'40-5-OZ-EXP'!H32+'48-6 EXPORT'!H32+'51 X51 LENO'!G31+'EXPORT 100FT'!H32+'EXPORT 30 FT)'!H32+'JUTE LENO'!H32+JUCO!H32+BLEACH!H32+YARN!H32+'44-5 OZ'!H32</f>
        <v>6.9932724999999998</v>
      </c>
      <c r="I30" s="346">
        <f t="shared" si="0"/>
        <v>42</v>
      </c>
      <c r="J30" s="347">
        <f t="shared" si="1"/>
        <v>16.699878875</v>
      </c>
      <c r="K30" s="348">
        <f>+'39-6-OZ'!K32+'20 X10 '!K32+'38-8.12-OZ '!K32+'44-8.12 OZ'!K32+'40-4.5-OZ'!K32+'36-4.05 OZ'!K32+'34-9.82'!K32+'54-6.5'!K32+'44-7.15 '!K32+'48-8.4-OZ  '!K32+'40-6.5'!K32+'51-11.36-OZ '!K32+'48-7.80 EXP'!K32+'40-5-OZ-EXP'!K32+'EXPORT '!K32+'48-6 EXPORT'!K32+'44-5 OZ'!K22</f>
        <v>0</v>
      </c>
      <c r="L30" s="347">
        <f>+'39-6-OZ'!M32+'38-8.12-OZ '!M32+'44-8.12 OZ'!L32+'40-4.5-OZ'!M32+'36-4.05 OZ'!M32+'34-9.82'!M32+'40-6.5'!M32+'44-5 OZ'!M32</f>
        <v>0</v>
      </c>
      <c r="M30" s="346">
        <f t="shared" si="2"/>
        <v>42</v>
      </c>
      <c r="N30" s="347">
        <f t="shared" si="4"/>
        <v>16.699878875</v>
      </c>
    </row>
    <row r="31" spans="2:14" ht="20.100000000000001" customHeight="1">
      <c r="B31" s="216">
        <v>25</v>
      </c>
      <c r="C31" s="216"/>
      <c r="D31" s="348">
        <f t="shared" si="3"/>
        <v>42</v>
      </c>
      <c r="E31" s="347">
        <f t="shared" si="5"/>
        <v>16.699878875</v>
      </c>
      <c r="F31" s="346"/>
      <c r="G31" s="348">
        <f>+'39-6-OZ'!G33+'20 X10 '!G33+'38-8.12-OZ '!G33+'44-8.12 OZ'!G33+'40-4.5-OZ'!G33+'36-4.05 OZ'!G33+'34-9.82'!G33+'54-6.5'!G33+'44-7.15 '!G33+'48-8.4-OZ  '!G33+'40-6.5'!G33+'51-11.36-OZ '!G33+'48-7.80 EXP'!G33+'40-5-OZ-EXP'!G33+'44-5 OZ'!G33+'44-5 OZ (2)'!G33</f>
        <v>0</v>
      </c>
      <c r="H31" s="347">
        <f>+'39-6-OZ'!H33+'20 X10 '!H33+'38-8.12-OZ '!H33+'44-8.12 OZ'!H33+'40-4.5-OZ'!H33+'36-4.05 OZ'!H33+'34-9.82'!H33+'54-6.5'!H33+'44-7.15 '!H33+'48-8.4-OZ  '!H33+'40-6.5'!H33+'51-11.36-OZ '!H33+'48-7.80 EXP'!H33+'40-5-OZ-EXP'!H33+'48-6 EXPORT'!H33+'51 X51 LENO'!G32+'EXPORT 100FT'!H33+'EXPORT 30 FT)'!H33+'JUTE LENO'!H33+JUCO!H33+BLEACH!H33+YARN!H33+'44-5 OZ'!H33</f>
        <v>0</v>
      </c>
      <c r="I31" s="346">
        <f t="shared" si="0"/>
        <v>42</v>
      </c>
      <c r="J31" s="347">
        <f t="shared" si="1"/>
        <v>16.699878875</v>
      </c>
      <c r="K31" s="348">
        <f>+'39-6-OZ'!K33+'20 X10 '!K33+'38-8.12-OZ '!K33+'44-8.12 OZ'!K33+'40-4.5-OZ'!K33+'36-4.05 OZ'!K33+'34-9.82'!K33+'54-6.5'!K33+'44-7.15 '!K33+'48-8.4-OZ  '!K33+'40-6.5'!K33+'51-11.36-OZ '!K33+'48-7.80 EXP'!K33+'40-5-OZ-EXP'!K33+'EXPORT '!K33+'48-6 EXPORT'!K33+'44-5 OZ'!K23</f>
        <v>0</v>
      </c>
      <c r="L31" s="347">
        <f>+'39-6-OZ'!M33+'38-8.12-OZ '!M33+'44-8.12 OZ'!L33+'40-4.5-OZ'!M33+'36-4.05 OZ'!M33+'34-9.82'!M33+'40-6.5'!M33+'44-5 OZ'!M33</f>
        <v>0</v>
      </c>
      <c r="M31" s="346">
        <f t="shared" si="2"/>
        <v>42</v>
      </c>
      <c r="N31" s="347">
        <f t="shared" si="4"/>
        <v>16.699878875</v>
      </c>
    </row>
    <row r="32" spans="2:14" ht="20.100000000000001" customHeight="1">
      <c r="B32" s="216">
        <v>26</v>
      </c>
      <c r="C32" s="216"/>
      <c r="D32" s="348">
        <f t="shared" si="3"/>
        <v>42</v>
      </c>
      <c r="E32" s="347">
        <f t="shared" si="5"/>
        <v>16.699878875</v>
      </c>
      <c r="F32" s="346"/>
      <c r="G32" s="348">
        <f>+'39-6-OZ'!G34+'20 X10 '!G34+'38-8.12-OZ '!G34+'44-8.12 OZ'!G34+'40-4.5-OZ'!G34+'36-4.05 OZ'!G34+'34-9.82'!G34+'54-6.5'!G34+'44-7.15 '!G34+'48-8.4-OZ  '!G34+'40-6.5'!G34+'51-11.36-OZ '!G34+'48-7.80 EXP'!G34+'40-5-OZ-EXP'!G34+'44-5 OZ'!G34+'44-5 OZ (2)'!G34</f>
        <v>8</v>
      </c>
      <c r="H32" s="347">
        <f>+'39-6-OZ'!H34+'20 X10 '!H34+'38-8.12-OZ '!H34+'44-8.12 OZ'!H34+'40-4.5-OZ'!H34+'36-4.05 OZ'!H34+'34-9.82'!H34+'54-6.5'!H34+'44-7.15 '!H34+'48-8.4-OZ  '!H34+'40-6.5'!H34+'51-11.36-OZ '!H34+'48-7.80 EXP'!H34+'40-5-OZ-EXP'!H34+'48-6 EXPORT'!H34+'51 X51 LENO'!G33+'EXPORT 100FT'!H34+'EXPORT 30 FT)'!H34+'JUTE LENO'!H34+JUCO!H34+BLEACH!H34+YARN!H34+'44-5 OZ'!H34+0.157</f>
        <v>3.2984315000000004</v>
      </c>
      <c r="I32" s="346">
        <f t="shared" si="0"/>
        <v>50</v>
      </c>
      <c r="J32" s="347">
        <f t="shared" si="1"/>
        <v>19.998310374999999</v>
      </c>
      <c r="K32" s="348">
        <f>+'39-6-OZ'!K34+'20 X10 '!K34+'38-8.12-OZ '!K34+'44-8.12 OZ'!K34+'40-4.5-OZ'!K34+'36-4.05 OZ'!K34+'34-9.82'!K34+'54-6.5'!K34+'44-7.15 '!K34+'48-8.4-OZ  '!K34+'40-6.5'!K34+'51-11.36-OZ '!K34+'48-7.80 EXP'!K34+'40-5-OZ-EXP'!K34+'EXPORT '!K34+'48-6 EXPORT'!K34+'44-5 OZ'!K24+44+1</f>
        <v>45</v>
      </c>
      <c r="L32" s="347">
        <f>+'39-6-OZ'!M34+'38-8.12-OZ '!M34+'44-8.12 OZ'!L34+'40-4.5-OZ'!M34+'36-4.05 OZ'!M34+'34-9.82'!M34+'40-6.5'!M34+'44-5 OZ'!M34+0.157+14.979</f>
        <v>15.135999999999999</v>
      </c>
      <c r="M32" s="346">
        <f t="shared" si="2"/>
        <v>5</v>
      </c>
      <c r="N32" s="347">
        <f t="shared" si="4"/>
        <v>4.8623103749999999</v>
      </c>
    </row>
    <row r="33" spans="2:14" ht="20.100000000000001" customHeight="1">
      <c r="B33" s="216">
        <v>27</v>
      </c>
      <c r="C33" s="216"/>
      <c r="D33" s="348">
        <f t="shared" si="3"/>
        <v>5</v>
      </c>
      <c r="E33" s="347">
        <f t="shared" si="5"/>
        <v>4.8623103749999999</v>
      </c>
      <c r="F33" s="346"/>
      <c r="G33" s="348">
        <f>+'39-6-OZ'!G35+'20 X10 '!G35+'38-8.12-OZ '!G35+'44-8.12 OZ'!G35+'40-4.5-OZ'!G35+'36-4.05 OZ'!G35+'34-9.82'!G35+'54-6.5'!G35+'44-7.15 '!G35+'48-8.4-OZ  '!G35+'40-6.5'!G35+'51-11.36-OZ '!G35+'48-7.80 EXP'!G35+'40-5-OZ-EXP'!G35+'44-5 OZ'!G35+'44-5 OZ (2)'!G35</f>
        <v>18</v>
      </c>
      <c r="H33" s="347">
        <f>+'39-6-OZ'!H35+'20 X10 '!H35+'38-8.12-OZ '!H35+'44-8.12 OZ'!H35+'40-4.5-OZ'!H35+'36-4.05 OZ'!H35+'34-9.82'!H35+'54-6.5'!H35+'44-7.15 '!H35+'48-8.4-OZ  '!H35+'40-6.5'!H35+'51-11.36-OZ '!H35+'48-7.80 EXP'!H35+'40-5-OZ-EXP'!H35+'48-6 EXPORT'!H35+'51 X51 LENO'!G34+'EXPORT 100FT'!H35+'EXPORT 30 FT)'!H35+'JUTE LENO'!H35+JUCO!H35+BLEACH!H35+YARN!H35+'44-5 OZ'!H35</f>
        <v>6.9883601249999998</v>
      </c>
      <c r="I33" s="346">
        <f t="shared" si="0"/>
        <v>23</v>
      </c>
      <c r="J33" s="347">
        <f t="shared" si="1"/>
        <v>11.8506705</v>
      </c>
      <c r="K33" s="348">
        <f>+'39-6-OZ'!K35+'20 X10 '!K35+'38-8.12-OZ '!K35+'44-8.12 OZ'!K35+'40-4.5-OZ'!K35+'36-4.05 OZ'!K35+'34-9.82'!K35+'54-6.5'!K35+'44-7.15 '!K35+'48-8.4-OZ  '!K35+'40-6.5'!K35+'51-11.36-OZ '!K35+'48-7.80 EXP'!K35+'40-5-OZ-EXP'!K35+'EXPORT '!K35+'48-6 EXPORT'!K35+'44-5 OZ'!K25</f>
        <v>52</v>
      </c>
      <c r="L33" s="347">
        <f>+'39-6-OZ'!M35+'38-8.12-OZ '!M35+'44-8.12 OZ'!L35+'40-4.5-OZ'!M35+'36-4.05 OZ'!M35+'34-9.82'!M35+'40-6.5'!M35+'44-5 OZ'!M35</f>
        <v>20.834031750000001</v>
      </c>
      <c r="M33" s="346">
        <f t="shared" si="2"/>
        <v>-29</v>
      </c>
      <c r="N33" s="347">
        <f t="shared" si="4"/>
        <v>-8.9833612500000015</v>
      </c>
    </row>
    <row r="34" spans="2:14" ht="20.100000000000001" customHeight="1">
      <c r="B34" s="216">
        <v>28</v>
      </c>
      <c r="C34" s="216"/>
      <c r="D34" s="348">
        <f t="shared" si="3"/>
        <v>-29</v>
      </c>
      <c r="E34" s="347">
        <f t="shared" si="5"/>
        <v>-8.9833612500000015</v>
      </c>
      <c r="F34" s="346"/>
      <c r="G34" s="348">
        <f>+'39-6-OZ'!G36+'20 X10 '!G36+'38-8.12-OZ '!G36+'44-8.12 OZ'!G36+'40-4.5-OZ'!G36+'36-4.05 OZ'!G36+'34-9.82'!G36+'54-6.5'!G36+'44-7.15 '!G36+'48-8.4-OZ  '!G36+'40-6.5'!G36+'51-11.36-OZ '!G36+'48-7.80 EXP'!G36+'40-5-OZ-EXP'!G36+'44-5 OZ'!G36+'44-5 OZ (2)'!G36</f>
        <v>0</v>
      </c>
      <c r="H34" s="347">
        <f>+'39-6-OZ'!H36+'20 X10 '!H36+'38-8.12-OZ '!H36+'44-8.12 OZ'!H36+'40-4.5-OZ'!H36+'36-4.05 OZ'!H36+'34-9.82'!H36+'54-6.5'!H36+'44-7.15 '!H36+'48-8.4-OZ  '!H36+'40-6.5'!H36+'51-11.36-OZ '!H36+'48-7.80 EXP'!H36+'40-5-OZ-EXP'!H36+'48-6 EXPORT'!H36+'51 X51 LENO'!G35+'EXPORT 100FT'!H36+'EXPORT 30 FT)'!H36+'JUTE LENO'!H36+JUCO!H36+BLEACH!H36+YARN!H36+'44-5 OZ'!H36</f>
        <v>0</v>
      </c>
      <c r="I34" s="346">
        <f t="shared" si="0"/>
        <v>-29</v>
      </c>
      <c r="J34" s="347">
        <f t="shared" si="1"/>
        <v>-8.9833612500000015</v>
      </c>
      <c r="K34" s="348">
        <f>+'39-6-OZ'!K36+'20 X10 '!K36+'38-8.12-OZ '!K36+'44-8.12 OZ'!K36+'40-4.5-OZ'!K36+'36-4.05 OZ'!K36+'34-9.82'!K36+'54-6.5'!K36+'44-7.15 '!K36+'48-8.4-OZ  '!K36+'40-6.5'!K36+'51-11.36-OZ '!K36+'48-7.80 EXP'!K36+'40-5-OZ-EXP'!K36+'EXPORT '!K36+'48-6 EXPORT'!K36+'44-5 OZ'!K26</f>
        <v>0</v>
      </c>
      <c r="L34" s="347">
        <f>+'39-6-OZ'!M36+'38-8.12-OZ '!M36+'44-8.12 OZ'!L36+'40-4.5-OZ'!M36+'36-4.05 OZ'!M36+'34-9.82'!M36+'40-6.5'!M36+'44-5 OZ'!M36</f>
        <v>0</v>
      </c>
      <c r="M34" s="346">
        <f t="shared" si="2"/>
        <v>-29</v>
      </c>
      <c r="N34" s="347">
        <f t="shared" si="4"/>
        <v>-8.9833612500000015</v>
      </c>
    </row>
    <row r="35" spans="2:14" ht="20.100000000000001" customHeight="1">
      <c r="B35" s="216">
        <v>29</v>
      </c>
      <c r="C35" s="216"/>
      <c r="D35" s="348">
        <f t="shared" si="3"/>
        <v>-29</v>
      </c>
      <c r="E35" s="347">
        <f t="shared" si="5"/>
        <v>-8.9833612500000015</v>
      </c>
      <c r="F35" s="346"/>
      <c r="G35" s="348">
        <f>+'39-6-OZ'!G37+'20 X10 '!G37+'38-8.12-OZ '!G37+'44-8.12 OZ'!G37+'40-4.5-OZ'!G37+'36-4.05 OZ'!G37+'34-9.82'!G37+'54-6.5'!G37+'44-7.15 '!G37+'48-8.4-OZ  '!G37+'40-6.5'!G37+'51-11.36-OZ '!G37+'48-7.80 EXP'!G37+'40-5-OZ-EXP'!G37+'44-5 OZ'!G37+'44-5 OZ (2)'!G37</f>
        <v>10</v>
      </c>
      <c r="H35" s="347">
        <f>+'39-6-OZ'!H37+'20 X10 '!H37+'38-8.12-OZ '!H37+'44-8.12 OZ'!H37+'40-4.5-OZ'!H37+'36-4.05 OZ'!H37+'34-9.82'!H37+'54-6.5'!H37+'44-7.15 '!H37+'48-8.4-OZ  '!H37+'40-6.5'!H37+'51-11.36-OZ '!H37+'48-7.80 EXP'!H37+'40-5-OZ-EXP'!H37+'48-6 EXPORT'!H37+'51 X51 LENO'!G36+'EXPORT 100FT'!H37+'EXPORT 30 FT)'!H37+'JUTE LENO'!H37+JUCO!H37+BLEACH!H37+YARN!H37+'44-5 OZ'!H37</f>
        <v>3.7033164999999997</v>
      </c>
      <c r="I35" s="346">
        <f t="shared" si="0"/>
        <v>-19</v>
      </c>
      <c r="J35" s="347">
        <f t="shared" si="1"/>
        <v>-5.2800447500000018</v>
      </c>
      <c r="K35" s="348">
        <f>+'39-6-OZ'!K37+'20 X10 '!K37+'38-8.12-OZ '!K37+'44-8.12 OZ'!K37+'40-4.5-OZ'!K37+'36-4.05 OZ'!K37+'34-9.82'!K37+'54-6.5'!K37+'44-7.15 '!K37+'48-8.4-OZ  '!K37+'40-6.5'!K37+'51-11.36-OZ '!K37+'48-7.80 EXP'!K37+'40-5-OZ-EXP'!K37+'EXPORT '!K37+'48-6 EXPORT'!K37+'44-5 OZ'!K27</f>
        <v>0</v>
      </c>
      <c r="L35" s="347">
        <f>+'39-6-OZ'!M37+'38-8.12-OZ '!M37+'44-8.12 OZ'!L37+'40-4.5-OZ'!M37+'36-4.05 OZ'!M37+'34-9.82'!M37+'40-6.5'!M37+'44-5 OZ'!M37</f>
        <v>0</v>
      </c>
      <c r="M35" s="346">
        <f t="shared" si="2"/>
        <v>-19</v>
      </c>
      <c r="N35" s="347">
        <f t="shared" si="4"/>
        <v>-5.2800447500000018</v>
      </c>
    </row>
    <row r="36" spans="2:14" ht="20.100000000000001" customHeight="1">
      <c r="B36" s="216">
        <v>30</v>
      </c>
      <c r="C36" s="350"/>
      <c r="D36" s="348">
        <f t="shared" si="3"/>
        <v>-19</v>
      </c>
      <c r="E36" s="347">
        <f t="shared" si="5"/>
        <v>-5.2800447500000018</v>
      </c>
      <c r="F36" s="351"/>
      <c r="G36" s="348">
        <f>+'39-6-OZ'!G38+'20 X10 '!G38+'38-8.12-OZ '!G38+'44-8.12 OZ'!G38+'40-4.5-OZ'!G38+'36-4.05 OZ'!G38+'34-9.82'!G38+'54-6.5'!G38+'44-7.15 '!G38+'48-8.4-OZ  '!G38+'40-6.5'!G38+'51-11.36-OZ '!G38+'48-7.80 EXP'!G38+'40-5-OZ-EXP'!G38+'44-5 OZ'!G38+'44-5 OZ (2)'!G38</f>
        <v>22</v>
      </c>
      <c r="H36" s="347">
        <f>+'39-6-OZ'!H38+'20 X10 '!H38+'38-8.12-OZ '!H38+'44-8.12 OZ'!H38+'40-4.5-OZ'!H38+'36-4.05 OZ'!H38+'34-9.82'!H38+'54-6.5'!H38+'44-7.15 '!H38+'48-8.4-OZ  '!H38+'40-6.5'!H38+'51-11.36-OZ '!H38+'48-7.80 EXP'!H38+'40-5-OZ-EXP'!H38+'48-6 EXPORT'!H38+'51 X51 LENO'!G37+'EXPORT 100FT'!H38+'EXPORT 30 FT)'!H38+'JUTE LENO'!H38+JUCO!H38+BLEACH!H38+YARN!H38+'44-5 OZ'!H38</f>
        <v>8.5702728750000006</v>
      </c>
      <c r="I36" s="346">
        <f t="shared" si="0"/>
        <v>3</v>
      </c>
      <c r="J36" s="347">
        <f t="shared" si="1"/>
        <v>3.2902281249999987</v>
      </c>
      <c r="K36" s="348">
        <f>+'39-6-OZ'!K38+'20 X10 '!K38+'38-8.12-OZ '!K38+'44-8.12 OZ'!K38+'40-4.5-OZ'!K38+'36-4.05 OZ'!K38+'34-9.82'!K38+'54-6.5'!K38+'44-7.15 '!K38+'48-8.4-OZ  '!K38+'40-6.5'!K38+'51-11.36-OZ '!K38+'48-7.80 EXP'!K38+'40-5-OZ-EXP'!K38+'EXPORT '!K38+'48-6 EXPORT'!K38+'44-5 OZ'!K28</f>
        <v>0</v>
      </c>
      <c r="L36" s="347">
        <f>+'39-6-OZ'!M38+'38-8.12-OZ '!M38+'44-8.12 OZ'!L38+'40-4.5-OZ'!M38+'36-4.05 OZ'!M38+'34-9.82'!M38+'40-6.5'!M38+'44-5 OZ'!M38</f>
        <v>0</v>
      </c>
      <c r="M36" s="346">
        <f t="shared" si="2"/>
        <v>3</v>
      </c>
      <c r="N36" s="347">
        <f t="shared" si="4"/>
        <v>3.2902281249999987</v>
      </c>
    </row>
    <row r="37" spans="2:14" ht="20.100000000000001" customHeight="1">
      <c r="B37" s="222">
        <v>31</v>
      </c>
      <c r="C37" s="350"/>
      <c r="D37" s="348">
        <f t="shared" si="3"/>
        <v>3</v>
      </c>
      <c r="E37" s="347">
        <f t="shared" si="5"/>
        <v>3.2902281249999987</v>
      </c>
      <c r="F37" s="352"/>
      <c r="G37" s="348">
        <f>+'39-6-OZ'!G39+'20 X10 '!G39+'38-8.12-OZ '!G39+'44-8.12 OZ'!G39+'40-4.5-OZ'!G39+'36-4.05 OZ'!G39+'34-9.82'!G39+'54-6.5'!G39+'44-7.15 '!G39+'48-8.4-OZ  '!G39+'40-6.5'!G39+'51-11.36-OZ '!G39+'48-7.80 EXP'!G39+'40-5-OZ-EXP'!G39+'44-5 OZ'!G39+'44-5 OZ (2)'!G39</f>
        <v>6</v>
      </c>
      <c r="H37" s="347">
        <f>+'39-6-OZ'!H39+'20 X10 '!H39+'38-8.12-OZ '!H39+'44-8.12 OZ'!H39+'40-4.5-OZ'!H39+'36-4.05 OZ'!H39+'34-9.82'!H39+'54-6.5'!H39+'44-7.15 '!H39+'48-8.4-OZ  '!H39+'40-6.5'!H39+'51-11.36-OZ '!H39+'48-7.80 EXP'!H39+'40-5-OZ-EXP'!H39+'48-6 EXPORT'!H39+'51 X51 LENO'!G38+'EXPORT 100FT'!H39+'EXPORT 30 FT)'!H39+'JUTE LENO'!H39+JUCO!H39+BLEACH!H39+YARN!H39+'44-5 OZ'!H39</f>
        <v>2.3988032500000003</v>
      </c>
      <c r="I37" s="346">
        <f t="shared" si="0"/>
        <v>9</v>
      </c>
      <c r="J37" s="347">
        <f t="shared" si="1"/>
        <v>5.689031374999999</v>
      </c>
      <c r="K37" s="348">
        <f>+'39-6-OZ'!K39+'20 X10 '!K39+'38-8.12-OZ '!K39+'44-8.12 OZ'!K39+'40-4.5-OZ'!K39+'36-4.05 OZ'!K39+'34-9.82'!K39+'54-6.5'!K39+'44-7.15 '!K39+'48-8.4-OZ  '!K39+'40-6.5'!K39+'51-11.36-OZ '!K39+'48-7.80 EXP'!K39+'40-5-OZ-EXP'!K39+'EXPORT '!K39+'48-6 EXPORT'!K39+'44-5 OZ'!K29</f>
        <v>0</v>
      </c>
      <c r="L37" s="347">
        <f>+'39-6-OZ'!M39+'38-8.12-OZ '!M39+'44-8.12 OZ'!L39+'40-4.5-OZ'!M39+'36-4.05 OZ'!M39+'34-9.82'!M39+'40-6.5'!M39+'44-5 OZ'!M39</f>
        <v>0</v>
      </c>
      <c r="M37" s="346">
        <f t="shared" si="2"/>
        <v>9</v>
      </c>
      <c r="N37" s="347">
        <f t="shared" si="4"/>
        <v>5.689031374999999</v>
      </c>
    </row>
    <row r="38" spans="2:14" ht="20.100000000000001" customHeight="1">
      <c r="B38" s="1066" t="s">
        <v>10</v>
      </c>
      <c r="C38" s="1067"/>
      <c r="D38" s="1067"/>
      <c r="E38" s="1068"/>
      <c r="F38" s="359">
        <f t="shared" ref="F38:L38" si="6">SUM(F7:F37)</f>
        <v>0</v>
      </c>
      <c r="G38" s="354">
        <f t="shared" si="6"/>
        <v>253</v>
      </c>
      <c r="H38" s="355">
        <f t="shared" si="6"/>
        <v>96.903443625000023</v>
      </c>
      <c r="I38" s="353"/>
      <c r="J38" s="353"/>
      <c r="K38" s="354">
        <f t="shared" si="6"/>
        <v>334</v>
      </c>
      <c r="L38" s="355">
        <f t="shared" si="6"/>
        <v>140.625040125</v>
      </c>
      <c r="M38" s="353"/>
      <c r="N38" s="353"/>
    </row>
    <row r="40" spans="2:14">
      <c r="B40" s="1069"/>
      <c r="C40" s="1069"/>
      <c r="D40" s="1069"/>
      <c r="E40" s="1069"/>
      <c r="F40" s="357"/>
      <c r="G40" s="358"/>
    </row>
  </sheetData>
  <sheetProtection password="CC51" sheet="1" objects="1" scenarios="1"/>
  <mergeCells count="10">
    <mergeCell ref="B38:E38"/>
    <mergeCell ref="B40:E40"/>
    <mergeCell ref="B4:B6"/>
    <mergeCell ref="A2:N3"/>
    <mergeCell ref="B1:N1"/>
    <mergeCell ref="D4:F4"/>
    <mergeCell ref="G4:H4"/>
    <mergeCell ref="I4:J4"/>
    <mergeCell ref="K4:L4"/>
    <mergeCell ref="M4:N4"/>
  </mergeCells>
  <pageMargins left="0.7" right="0.7" top="0.15" bottom="0.14000000000000001" header="0.15" footer="0.16"/>
  <pageSetup paperSize="9" scale="8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40"/>
  <sheetViews>
    <sheetView topLeftCell="B1" zoomScale="80" zoomScaleNormal="80" workbookViewId="0">
      <pane ySplit="6" topLeftCell="A7" activePane="bottomLeft" state="frozen"/>
      <selection pane="bottomLeft" activeCell="B9" sqref="A9:XFD9"/>
    </sheetView>
  </sheetViews>
  <sheetFormatPr defaultColWidth="9" defaultRowHeight="15"/>
  <cols>
    <col min="1" max="1" width="9" hidden="1" customWidth="1"/>
    <col min="3" max="3" width="9" hidden="1" customWidth="1"/>
    <col min="4" max="4" width="16.85546875" customWidth="1"/>
    <col min="5" max="5" width="15.85546875" customWidth="1"/>
    <col min="6" max="6" width="9" hidden="1" customWidth="1"/>
    <col min="7" max="7" width="15" customWidth="1"/>
    <col min="8" max="8" width="16" customWidth="1"/>
    <col min="9" max="9" width="14.85546875" customWidth="1"/>
    <col min="10" max="10" width="13" customWidth="1"/>
    <col min="11" max="11" width="12.42578125" customWidth="1"/>
    <col min="12" max="12" width="14" customWidth="1"/>
    <col min="13" max="13" width="13.85546875" customWidth="1"/>
    <col min="14" max="14" width="16.7109375" customWidth="1"/>
    <col min="15" max="15" width="4.85546875" customWidth="1"/>
  </cols>
  <sheetData>
    <row r="1" spans="1:15" ht="21">
      <c r="B1" s="937" t="s">
        <v>2</v>
      </c>
      <c r="C1" s="938"/>
      <c r="D1" s="938"/>
      <c r="E1" s="938"/>
      <c r="F1" s="938"/>
      <c r="G1" s="938"/>
      <c r="H1" s="938"/>
      <c r="I1" s="938"/>
      <c r="J1" s="938"/>
      <c r="K1" s="938"/>
      <c r="L1" s="938"/>
      <c r="M1" s="938"/>
      <c r="N1" s="938"/>
      <c r="O1" s="170"/>
    </row>
    <row r="2" spans="1:15">
      <c r="A2" s="940" t="s">
        <v>300</v>
      </c>
      <c r="B2" s="940"/>
      <c r="C2" s="940"/>
      <c r="D2" s="940"/>
      <c r="E2" s="940"/>
      <c r="F2" s="940"/>
      <c r="G2" s="940"/>
      <c r="H2" s="940"/>
      <c r="I2" s="940"/>
      <c r="J2" s="940"/>
      <c r="K2" s="940"/>
      <c r="L2" s="940"/>
      <c r="M2" s="940"/>
      <c r="N2" s="940"/>
      <c r="O2" s="170"/>
    </row>
    <row r="3" spans="1:15" ht="8.25" customHeight="1">
      <c r="A3" s="1073"/>
      <c r="B3" s="1073"/>
      <c r="C3" s="1073"/>
      <c r="D3" s="1073"/>
      <c r="E3" s="1073"/>
      <c r="F3" s="1073"/>
      <c r="G3" s="1073"/>
      <c r="H3" s="1073"/>
      <c r="I3" s="1073"/>
      <c r="J3" s="1073"/>
      <c r="K3" s="1073"/>
      <c r="L3" s="1073"/>
      <c r="M3" s="1073"/>
      <c r="N3" s="1073"/>
      <c r="O3" s="170"/>
    </row>
    <row r="4" spans="1:15">
      <c r="B4" s="1070" t="s">
        <v>20</v>
      </c>
      <c r="C4" s="214"/>
      <c r="D4" s="934" t="s">
        <v>8</v>
      </c>
      <c r="E4" s="934"/>
      <c r="F4" s="934"/>
      <c r="G4" s="934" t="s">
        <v>9</v>
      </c>
      <c r="H4" s="934"/>
      <c r="I4" s="934" t="s">
        <v>10</v>
      </c>
      <c r="J4" s="934"/>
      <c r="K4" s="934" t="s">
        <v>11</v>
      </c>
      <c r="L4" s="934"/>
      <c r="M4" s="934" t="s">
        <v>13</v>
      </c>
      <c r="N4" s="934"/>
      <c r="O4" s="170"/>
    </row>
    <row r="5" spans="1:15">
      <c r="B5" s="1071"/>
      <c r="C5" s="216"/>
      <c r="D5" s="217" t="s">
        <v>16</v>
      </c>
      <c r="E5" s="217" t="s">
        <v>17</v>
      </c>
      <c r="F5" s="217"/>
      <c r="G5" s="217" t="s">
        <v>16</v>
      </c>
      <c r="H5" s="217" t="s">
        <v>17</v>
      </c>
      <c r="I5" s="217" t="s">
        <v>16</v>
      </c>
      <c r="J5" s="217" t="s">
        <v>17</v>
      </c>
      <c r="K5" s="217" t="s">
        <v>16</v>
      </c>
      <c r="L5" s="217" t="s">
        <v>17</v>
      </c>
      <c r="M5" s="217" t="s">
        <v>16</v>
      </c>
      <c r="N5" s="217" t="s">
        <v>17</v>
      </c>
      <c r="O5" s="170"/>
    </row>
    <row r="6" spans="1:15">
      <c r="B6" s="1072"/>
      <c r="C6" s="216"/>
      <c r="D6" s="217" t="s">
        <v>21</v>
      </c>
      <c r="E6" s="217" t="s">
        <v>22</v>
      </c>
      <c r="F6" s="217"/>
      <c r="G6" s="217" t="s">
        <v>21</v>
      </c>
      <c r="H6" s="217" t="s">
        <v>22</v>
      </c>
      <c r="I6" s="217" t="s">
        <v>21</v>
      </c>
      <c r="J6" s="217" t="s">
        <v>22</v>
      </c>
      <c r="K6" s="217" t="s">
        <v>21</v>
      </c>
      <c r="L6" s="217" t="s">
        <v>22</v>
      </c>
      <c r="M6" s="217" t="s">
        <v>21</v>
      </c>
      <c r="N6" s="217" t="s">
        <v>22</v>
      </c>
      <c r="O6" s="170"/>
    </row>
    <row r="7" spans="1:15" ht="20.100000000000001" customHeight="1">
      <c r="B7" s="216">
        <v>1</v>
      </c>
      <c r="C7" s="216"/>
      <c r="D7" s="346">
        <f>+'TYPE A GOV'!D9+'767 GMS 500 PCS'!D9</f>
        <v>365</v>
      </c>
      <c r="E7" s="347">
        <f>+'TYPE A GOV'!E9+'767 GMS 500 PCS'!E9</f>
        <v>106.64387499999999</v>
      </c>
      <c r="F7" s="346"/>
      <c r="G7" s="346">
        <f>+'TYPE A GOV'!G9+'767 GMS 500 PCS'!G9</f>
        <v>28</v>
      </c>
      <c r="H7" s="347">
        <f>+'TYPE A GOV'!H9+'767 GMS 500 PCS'!H9</f>
        <v>8.1809000000000012</v>
      </c>
      <c r="I7" s="346">
        <f>D7+G7</f>
        <v>393</v>
      </c>
      <c r="J7" s="347">
        <f>+'TYPE A GOV'!J9+'767 GMS 500 PCS'!J9</f>
        <v>114.824775</v>
      </c>
      <c r="K7" s="346">
        <f>+'TYPE A GOV'!K9+'767 GMS 500 PCS'!K9</f>
        <v>336</v>
      </c>
      <c r="L7" s="347">
        <f>+'TYPE A GOV'!M9+'767 GMS 500 PCS'!M9</f>
        <v>98.1708</v>
      </c>
      <c r="M7" s="346">
        <f>I7-K7</f>
        <v>57</v>
      </c>
      <c r="N7" s="347">
        <f>J7-L7</f>
        <v>16.653975000000003</v>
      </c>
      <c r="O7" s="170"/>
    </row>
    <row r="8" spans="1:15" ht="20.100000000000001" customHeight="1">
      <c r="B8" s="216">
        <v>2</v>
      </c>
      <c r="C8" s="216"/>
      <c r="D8" s="348">
        <f>+M7</f>
        <v>57</v>
      </c>
      <c r="E8" s="347">
        <f>+'TYPE A GOV'!E10+'767 GMS 500 PCS'!E10</f>
        <v>16.653975000000003</v>
      </c>
      <c r="F8" s="346"/>
      <c r="G8" s="346">
        <f>+'TYPE A GOV'!G10+'767 GMS 500 PCS'!G10</f>
        <v>40</v>
      </c>
      <c r="H8" s="347">
        <f>+'TYPE A GOV'!H10+'767 GMS 500 PCS'!H10</f>
        <v>11.686999999999999</v>
      </c>
      <c r="I8" s="346">
        <f t="shared" ref="I8:I37" si="0">D8+G8</f>
        <v>97</v>
      </c>
      <c r="J8" s="347">
        <f>+'TYPE A GOV'!J10+'767 GMS 500 PCS'!J10</f>
        <v>28.340975000000004</v>
      </c>
      <c r="K8" s="346">
        <f>+'TYPE A GOV'!K10+'767 GMS 500 PCS'!K10</f>
        <v>0</v>
      </c>
      <c r="L8" s="347">
        <f>+'TYPE A GOV'!M10+'767 GMS 500 PCS'!M10</f>
        <v>0</v>
      </c>
      <c r="M8" s="346">
        <f t="shared" ref="M8:M37" si="1">I8-K8</f>
        <v>97</v>
      </c>
      <c r="N8" s="347">
        <f t="shared" ref="N8:N37" si="2">J8-L8</f>
        <v>28.340975000000004</v>
      </c>
    </row>
    <row r="9" spans="1:15" ht="20.100000000000001" customHeight="1">
      <c r="B9" s="216">
        <v>3</v>
      </c>
      <c r="C9" s="216"/>
      <c r="D9" s="348">
        <f t="shared" ref="D9:D37" si="3">+M8</f>
        <v>97</v>
      </c>
      <c r="E9" s="347">
        <f>+'TYPE A GOV'!E11+'767 GMS 500 PCS'!E11</f>
        <v>28.340975000000004</v>
      </c>
      <c r="F9" s="346"/>
      <c r="G9" s="346">
        <f>+'TYPE A GOV'!G11+'767 GMS 500 PCS'!G11</f>
        <v>44</v>
      </c>
      <c r="H9" s="347">
        <f>+'TYPE A GOV'!H11+'767 GMS 500 PCS'!H11</f>
        <v>12.855700000000001</v>
      </c>
      <c r="I9" s="346">
        <f t="shared" si="0"/>
        <v>141</v>
      </c>
      <c r="J9" s="347">
        <f>+'TYPE A GOV'!J11+'767 GMS 500 PCS'!J11</f>
        <v>41.196675000000006</v>
      </c>
      <c r="K9" s="346">
        <f>+'TYPE A GOV'!K11+'767 GMS 500 PCS'!K11</f>
        <v>0</v>
      </c>
      <c r="L9" s="347">
        <f>+'TYPE A GOV'!M11+'767 GMS 500 PCS'!M11</f>
        <v>0</v>
      </c>
      <c r="M9" s="346">
        <f t="shared" si="1"/>
        <v>141</v>
      </c>
      <c r="N9" s="347">
        <f t="shared" si="2"/>
        <v>41.196675000000006</v>
      </c>
    </row>
    <row r="10" spans="1:15" ht="20.100000000000001" customHeight="1">
      <c r="B10" s="216">
        <v>4</v>
      </c>
      <c r="C10" s="216"/>
      <c r="D10" s="348">
        <f t="shared" si="3"/>
        <v>141</v>
      </c>
      <c r="E10" s="347">
        <f>+'TYPE A GOV'!E12+'767 GMS 500 PCS'!E12</f>
        <v>41.196675000000006</v>
      </c>
      <c r="F10" s="346"/>
      <c r="G10" s="346">
        <f>+'TYPE A GOV'!G12+'767 GMS 500 PCS'!G12</f>
        <v>44</v>
      </c>
      <c r="H10" s="347">
        <f>+'TYPE A GOV'!H12+'767 GMS 500 PCS'!H12</f>
        <v>12.855700000000001</v>
      </c>
      <c r="I10" s="346">
        <f t="shared" si="0"/>
        <v>185</v>
      </c>
      <c r="J10" s="347">
        <f>+'TYPE A GOV'!J12+'767 GMS 500 PCS'!J12</f>
        <v>54.052374999999998</v>
      </c>
      <c r="K10" s="346">
        <f>+'TYPE A GOV'!K12+'767 GMS 500 PCS'!K12</f>
        <v>0</v>
      </c>
      <c r="L10" s="347">
        <f>+'TYPE A GOV'!M12+'767 GMS 500 PCS'!M12</f>
        <v>0</v>
      </c>
      <c r="M10" s="346">
        <f t="shared" si="1"/>
        <v>185</v>
      </c>
      <c r="N10" s="347">
        <f t="shared" si="2"/>
        <v>54.052374999999998</v>
      </c>
    </row>
    <row r="11" spans="1:15" ht="20.100000000000001" customHeight="1">
      <c r="B11" s="216">
        <v>5</v>
      </c>
      <c r="C11" s="216"/>
      <c r="D11" s="348">
        <f t="shared" si="3"/>
        <v>185</v>
      </c>
      <c r="E11" s="347">
        <f>+'TYPE A GOV'!E13+'767 GMS 500 PCS'!E13</f>
        <v>54.052374999999998</v>
      </c>
      <c r="F11" s="346"/>
      <c r="G11" s="346">
        <f>+'TYPE A GOV'!G13+'767 GMS 500 PCS'!G13</f>
        <v>46</v>
      </c>
      <c r="H11" s="347">
        <f>+'TYPE A GOV'!H13+'767 GMS 500 PCS'!H13</f>
        <v>13.440050000000001</v>
      </c>
      <c r="I11" s="346">
        <f t="shared" si="0"/>
        <v>231</v>
      </c>
      <c r="J11" s="347">
        <f>+'TYPE A GOV'!J13+'767 GMS 500 PCS'!J13</f>
        <v>67.492424999999997</v>
      </c>
      <c r="K11" s="346">
        <f>+'TYPE A GOV'!K13+'767 GMS 500 PCS'!K13</f>
        <v>48</v>
      </c>
      <c r="L11" s="347">
        <f>+'TYPE A GOV'!M13+'767 GMS 500 PCS'!M13</f>
        <v>14.024400000000002</v>
      </c>
      <c r="M11" s="346">
        <f t="shared" si="1"/>
        <v>183</v>
      </c>
      <c r="N11" s="347">
        <f t="shared" si="2"/>
        <v>53.468024999999997</v>
      </c>
    </row>
    <row r="12" spans="1:15" ht="20.100000000000001" customHeight="1">
      <c r="B12" s="216">
        <v>6</v>
      </c>
      <c r="C12" s="216"/>
      <c r="D12" s="348">
        <f t="shared" si="3"/>
        <v>183</v>
      </c>
      <c r="E12" s="347">
        <f>+'TYPE A GOV'!E14+'767 GMS 500 PCS'!E14</f>
        <v>53.468025000000004</v>
      </c>
      <c r="F12" s="346"/>
      <c r="G12" s="346">
        <f>+'TYPE A GOV'!G14+'767 GMS 500 PCS'!G14</f>
        <v>34</v>
      </c>
      <c r="H12" s="347">
        <f>+'TYPE A GOV'!H14+'767 GMS 500 PCS'!H14</f>
        <v>9.9339500000000012</v>
      </c>
      <c r="I12" s="346">
        <f t="shared" si="0"/>
        <v>217</v>
      </c>
      <c r="J12" s="347">
        <f>+'TYPE A GOV'!J14+'767 GMS 500 PCS'!J14</f>
        <v>63.401975000000007</v>
      </c>
      <c r="K12" s="346">
        <f>+'TYPE A GOV'!K14+'767 GMS 500 PCS'!K14</f>
        <v>0</v>
      </c>
      <c r="L12" s="347">
        <f>+'TYPE A GOV'!M14+'767 GMS 500 PCS'!M14</f>
        <v>0</v>
      </c>
      <c r="M12" s="346">
        <f t="shared" si="1"/>
        <v>217</v>
      </c>
      <c r="N12" s="347">
        <f t="shared" si="2"/>
        <v>63.401975000000007</v>
      </c>
    </row>
    <row r="13" spans="1:15" ht="20.100000000000001" customHeight="1">
      <c r="B13" s="216">
        <v>7</v>
      </c>
      <c r="C13" s="216"/>
      <c r="D13" s="348">
        <f t="shared" si="3"/>
        <v>217</v>
      </c>
      <c r="E13" s="347">
        <f>+'TYPE A GOV'!E15+'767 GMS 500 PCS'!E15</f>
        <v>63.401975000000007</v>
      </c>
      <c r="F13" s="346"/>
      <c r="G13" s="346">
        <f>+'TYPE A GOV'!G15+'767 GMS 500 PCS'!G15</f>
        <v>0</v>
      </c>
      <c r="H13" s="347">
        <f>+'TYPE A GOV'!H15+'767 GMS 500 PCS'!H15</f>
        <v>0</v>
      </c>
      <c r="I13" s="346">
        <f t="shared" si="0"/>
        <v>217</v>
      </c>
      <c r="J13" s="347">
        <f>+'TYPE A GOV'!J15+'767 GMS 500 PCS'!J15</f>
        <v>63.401975000000007</v>
      </c>
      <c r="K13" s="346">
        <f>+'TYPE A GOV'!K15+'767 GMS 500 PCS'!K15</f>
        <v>0</v>
      </c>
      <c r="L13" s="347">
        <f>+'TYPE A GOV'!M15+'767 GMS 500 PCS'!M15</f>
        <v>0</v>
      </c>
      <c r="M13" s="346">
        <f t="shared" si="1"/>
        <v>217</v>
      </c>
      <c r="N13" s="347">
        <f t="shared" si="2"/>
        <v>63.401975000000007</v>
      </c>
    </row>
    <row r="14" spans="1:15" ht="20.100000000000001" customHeight="1">
      <c r="B14" s="216">
        <v>8</v>
      </c>
      <c r="C14" s="216"/>
      <c r="D14" s="348">
        <f t="shared" si="3"/>
        <v>217</v>
      </c>
      <c r="E14" s="347">
        <f>+'TYPE A GOV'!E16+'767 GMS 500 PCS'!E16</f>
        <v>63.401975000000007</v>
      </c>
      <c r="F14" s="346"/>
      <c r="G14" s="346">
        <f>+'TYPE A GOV'!G16+'767 GMS 500 PCS'!G16</f>
        <v>56</v>
      </c>
      <c r="H14" s="347">
        <f>+'TYPE A GOV'!H16+'767 GMS 500 PCS'!H16</f>
        <v>16.361800000000002</v>
      </c>
      <c r="I14" s="346">
        <f t="shared" si="0"/>
        <v>273</v>
      </c>
      <c r="J14" s="347">
        <f>+'TYPE A GOV'!J16+'767 GMS 500 PCS'!J16</f>
        <v>79.76377500000001</v>
      </c>
      <c r="K14" s="346">
        <f>+'TYPE A GOV'!K16+'767 GMS 500 PCS'!K16</f>
        <v>0</v>
      </c>
      <c r="L14" s="347">
        <f>+'TYPE A GOV'!M16+'767 GMS 500 PCS'!M16</f>
        <v>0</v>
      </c>
      <c r="M14" s="346">
        <f t="shared" si="1"/>
        <v>273</v>
      </c>
      <c r="N14" s="347">
        <f t="shared" si="2"/>
        <v>79.76377500000001</v>
      </c>
    </row>
    <row r="15" spans="1:15" ht="20.100000000000001" customHeight="1">
      <c r="B15" s="216">
        <v>9</v>
      </c>
      <c r="C15" s="216"/>
      <c r="D15" s="348">
        <f t="shared" si="3"/>
        <v>273</v>
      </c>
      <c r="E15" s="347">
        <f>+'TYPE A GOV'!E17+'767 GMS 500 PCS'!E17</f>
        <v>79.76377500000001</v>
      </c>
      <c r="F15" s="346"/>
      <c r="G15" s="346">
        <f>+'TYPE A GOV'!G17+'767 GMS 500 PCS'!G17</f>
        <v>51</v>
      </c>
      <c r="H15" s="347">
        <f>+'TYPE A GOV'!H17+'767 GMS 500 PCS'!H17</f>
        <v>14.900925000000001</v>
      </c>
      <c r="I15" s="346">
        <f t="shared" si="0"/>
        <v>324</v>
      </c>
      <c r="J15" s="347">
        <f>+'TYPE A GOV'!J17+'767 GMS 500 PCS'!J17</f>
        <v>94.664699999999996</v>
      </c>
      <c r="K15" s="346">
        <f>+'TYPE A GOV'!K17+'767 GMS 500 PCS'!K17</f>
        <v>260</v>
      </c>
      <c r="L15" s="347">
        <f>+'TYPE A GOV'!M17+'767 GMS 500 PCS'!M17</f>
        <v>75.965500000000006</v>
      </c>
      <c r="M15" s="346">
        <f t="shared" si="1"/>
        <v>64</v>
      </c>
      <c r="N15" s="347">
        <f t="shared" si="2"/>
        <v>18.69919999999999</v>
      </c>
    </row>
    <row r="16" spans="1:15" ht="20.100000000000001" customHeight="1">
      <c r="B16" s="216">
        <v>10</v>
      </c>
      <c r="C16" s="216"/>
      <c r="D16" s="348">
        <f t="shared" si="3"/>
        <v>64</v>
      </c>
      <c r="E16" s="347">
        <f>+'TYPE A GOV'!E18+'767 GMS 500 PCS'!E18</f>
        <v>18.699200000000001</v>
      </c>
      <c r="F16" s="346"/>
      <c r="G16" s="346">
        <f>+'TYPE A GOV'!G18+'767 GMS 500 PCS'!G18</f>
        <v>0</v>
      </c>
      <c r="H16" s="347">
        <f>+'TYPE A GOV'!H18+'767 GMS 500 PCS'!H18</f>
        <v>0</v>
      </c>
      <c r="I16" s="346">
        <f t="shared" si="0"/>
        <v>64</v>
      </c>
      <c r="J16" s="347">
        <f>+'TYPE A GOV'!J18+'767 GMS 500 PCS'!J18</f>
        <v>18.699200000000001</v>
      </c>
      <c r="K16" s="346">
        <f>+'TYPE A GOV'!K18+'767 GMS 500 PCS'!K18</f>
        <v>0</v>
      </c>
      <c r="L16" s="347">
        <f>+'TYPE A GOV'!M18+'767 GMS 500 PCS'!M18</f>
        <v>0</v>
      </c>
      <c r="M16" s="346">
        <f t="shared" si="1"/>
        <v>64</v>
      </c>
      <c r="N16" s="347">
        <f t="shared" si="2"/>
        <v>18.699200000000001</v>
      </c>
    </row>
    <row r="17" spans="2:14" ht="20.100000000000001" customHeight="1">
      <c r="B17" s="13">
        <v>11</v>
      </c>
      <c r="C17" s="13"/>
      <c r="D17" s="348">
        <f t="shared" si="3"/>
        <v>64</v>
      </c>
      <c r="E17" s="347">
        <f>+'TYPE A GOV'!E19+'767 GMS 500 PCS'!E19</f>
        <v>18.699200000000001</v>
      </c>
      <c r="F17" s="349"/>
      <c r="G17" s="346">
        <f>+'TYPE A GOV'!G19+'767 GMS 500 PCS'!G19</f>
        <v>0</v>
      </c>
      <c r="H17" s="347">
        <f>+'TYPE A GOV'!H19+'767 GMS 500 PCS'!H19</f>
        <v>0</v>
      </c>
      <c r="I17" s="346">
        <f t="shared" si="0"/>
        <v>64</v>
      </c>
      <c r="J17" s="347">
        <f>+'TYPE A GOV'!J19+'767 GMS 500 PCS'!J19</f>
        <v>18.699200000000001</v>
      </c>
      <c r="K17" s="346">
        <f>+'TYPE A GOV'!K19+'767 GMS 500 PCS'!K19</f>
        <v>0</v>
      </c>
      <c r="L17" s="347">
        <f>+'TYPE A GOV'!M19+'767 GMS 500 PCS'!M19</f>
        <v>0</v>
      </c>
      <c r="M17" s="349">
        <f t="shared" si="1"/>
        <v>64</v>
      </c>
      <c r="N17" s="347">
        <f t="shared" si="2"/>
        <v>18.699200000000001</v>
      </c>
    </row>
    <row r="18" spans="2:14" ht="20.100000000000001" customHeight="1">
      <c r="B18" s="216">
        <v>12</v>
      </c>
      <c r="C18" s="216"/>
      <c r="D18" s="348">
        <f t="shared" si="3"/>
        <v>64</v>
      </c>
      <c r="E18" s="347">
        <f>+'TYPE A GOV'!E20+'767 GMS 500 PCS'!E20</f>
        <v>18.699200000000001</v>
      </c>
      <c r="F18" s="346"/>
      <c r="G18" s="346">
        <f>+'TYPE A GOV'!G20+'767 GMS 500 PCS'!G20</f>
        <v>43</v>
      </c>
      <c r="H18" s="347">
        <f>+'TYPE A GOV'!H20+'767 GMS 500 PCS'!H20</f>
        <v>12.563525</v>
      </c>
      <c r="I18" s="346">
        <f t="shared" si="0"/>
        <v>107</v>
      </c>
      <c r="J18" s="347">
        <f>+'TYPE A GOV'!J20+'767 GMS 500 PCS'!J20</f>
        <v>31.262725000000003</v>
      </c>
      <c r="K18" s="346">
        <f>+'TYPE A GOV'!K20+'767 GMS 500 PCS'!K20</f>
        <v>0</v>
      </c>
      <c r="L18" s="347">
        <f>+'TYPE A GOV'!M20+'767 GMS 500 PCS'!M20</f>
        <v>0</v>
      </c>
      <c r="M18" s="346">
        <f t="shared" si="1"/>
        <v>107</v>
      </c>
      <c r="N18" s="347">
        <f t="shared" si="2"/>
        <v>31.262725000000003</v>
      </c>
    </row>
    <row r="19" spans="2:14" ht="20.100000000000001" customHeight="1">
      <c r="B19" s="216">
        <v>13</v>
      </c>
      <c r="C19" s="216"/>
      <c r="D19" s="348">
        <f t="shared" si="3"/>
        <v>107</v>
      </c>
      <c r="E19" s="347">
        <f>+'TYPE A GOV'!E21+'767 GMS 500 PCS'!E21</f>
        <v>31.262725000000003</v>
      </c>
      <c r="F19" s="346"/>
      <c r="G19" s="346">
        <f>+'TYPE A GOV'!G21+'767 GMS 500 PCS'!G21</f>
        <v>0</v>
      </c>
      <c r="H19" s="347">
        <f>+'TYPE A GOV'!H21+'767 GMS 500 PCS'!H21</f>
        <v>0</v>
      </c>
      <c r="I19" s="346">
        <f t="shared" si="0"/>
        <v>107</v>
      </c>
      <c r="J19" s="347">
        <f>+'TYPE A GOV'!J21+'767 GMS 500 PCS'!J21</f>
        <v>31.262725000000003</v>
      </c>
      <c r="K19" s="346">
        <f>+'TYPE A GOV'!K21+'767 GMS 500 PCS'!K21</f>
        <v>0</v>
      </c>
      <c r="L19" s="347">
        <f>+'TYPE A GOV'!M21+'767 GMS 500 PCS'!M21</f>
        <v>0</v>
      </c>
      <c r="M19" s="346">
        <f t="shared" si="1"/>
        <v>107</v>
      </c>
      <c r="N19" s="347">
        <f t="shared" si="2"/>
        <v>31.262725000000003</v>
      </c>
    </row>
    <row r="20" spans="2:14" ht="20.100000000000001" customHeight="1">
      <c r="B20" s="216">
        <v>14</v>
      </c>
      <c r="C20" s="216"/>
      <c r="D20" s="348">
        <f t="shared" si="3"/>
        <v>107</v>
      </c>
      <c r="E20" s="347">
        <f>+'TYPE A GOV'!E22+'767 GMS 500 PCS'!E22</f>
        <v>31.262725000000003</v>
      </c>
      <c r="F20" s="346"/>
      <c r="G20" s="346">
        <f>+'TYPE A GOV'!G22+'767 GMS 500 PCS'!G22</f>
        <v>0</v>
      </c>
      <c r="H20" s="347">
        <f>+'TYPE A GOV'!H22+'767 GMS 500 PCS'!H22</f>
        <v>0</v>
      </c>
      <c r="I20" s="346">
        <f t="shared" si="0"/>
        <v>107</v>
      </c>
      <c r="J20" s="347">
        <f>+'TYPE A GOV'!J22+'767 GMS 500 PCS'!J22</f>
        <v>31.262725000000003</v>
      </c>
      <c r="K20" s="346">
        <f>+'TYPE A GOV'!K22+'767 GMS 500 PCS'!K22</f>
        <v>0</v>
      </c>
      <c r="L20" s="347">
        <f>+'TYPE A GOV'!M22+'767 GMS 500 PCS'!M22</f>
        <v>0</v>
      </c>
      <c r="M20" s="346">
        <f t="shared" si="1"/>
        <v>107</v>
      </c>
      <c r="N20" s="347">
        <f t="shared" si="2"/>
        <v>31.262725000000003</v>
      </c>
    </row>
    <row r="21" spans="2:14" ht="20.100000000000001" customHeight="1">
      <c r="B21" s="216">
        <v>15</v>
      </c>
      <c r="C21" s="216"/>
      <c r="D21" s="348">
        <f t="shared" si="3"/>
        <v>107</v>
      </c>
      <c r="E21" s="347">
        <f>+'TYPE A GOV'!E23+'767 GMS 500 PCS'!E23</f>
        <v>31.262725000000003</v>
      </c>
      <c r="F21" s="346"/>
      <c r="G21" s="346">
        <f>+'TYPE A GOV'!G23+'767 GMS 500 PCS'!G23</f>
        <v>0</v>
      </c>
      <c r="H21" s="347">
        <f>+'TYPE A GOV'!H23+'767 GMS 500 PCS'!H23</f>
        <v>0</v>
      </c>
      <c r="I21" s="346">
        <f t="shared" si="0"/>
        <v>107</v>
      </c>
      <c r="J21" s="347">
        <f>+'TYPE A GOV'!J23+'767 GMS 500 PCS'!J23</f>
        <v>31.262725000000003</v>
      </c>
      <c r="K21" s="346">
        <f>+'TYPE A GOV'!K23+'767 GMS 500 PCS'!K23</f>
        <v>0</v>
      </c>
      <c r="L21" s="347">
        <f>+'TYPE A GOV'!M23+'767 GMS 500 PCS'!M23</f>
        <v>0</v>
      </c>
      <c r="M21" s="346">
        <f t="shared" si="1"/>
        <v>107</v>
      </c>
      <c r="N21" s="347">
        <f t="shared" si="2"/>
        <v>31.262725000000003</v>
      </c>
    </row>
    <row r="22" spans="2:14" ht="20.100000000000001" customHeight="1">
      <c r="B22" s="216">
        <v>16</v>
      </c>
      <c r="C22" s="216"/>
      <c r="D22" s="348">
        <f t="shared" si="3"/>
        <v>107</v>
      </c>
      <c r="E22" s="347">
        <f>+'TYPE A GOV'!E24+'767 GMS 500 PCS'!E24</f>
        <v>31.262725000000003</v>
      </c>
      <c r="F22" s="346"/>
      <c r="G22" s="346">
        <f>+'TYPE A GOV'!G24+'767 GMS 500 PCS'!G24</f>
        <v>35</v>
      </c>
      <c r="H22" s="347">
        <f>+'TYPE A GOV'!H24+'767 GMS 500 PCS'!H24</f>
        <v>10.226125</v>
      </c>
      <c r="I22" s="346">
        <f t="shared" si="0"/>
        <v>142</v>
      </c>
      <c r="J22" s="347">
        <f>+'TYPE A GOV'!J24+'767 GMS 500 PCS'!J24</f>
        <v>41.488849999999999</v>
      </c>
      <c r="K22" s="346">
        <f>+'TYPE A GOV'!K24+'767 GMS 500 PCS'!K24</f>
        <v>25</v>
      </c>
      <c r="L22" s="347">
        <f>+'TYPE A GOV'!M24+'767 GMS 500 PCS'!M24</f>
        <v>7.3043750000000003</v>
      </c>
      <c r="M22" s="346">
        <f t="shared" si="1"/>
        <v>117</v>
      </c>
      <c r="N22" s="347">
        <f t="shared" si="2"/>
        <v>34.184474999999999</v>
      </c>
    </row>
    <row r="23" spans="2:14" ht="20.100000000000001" customHeight="1">
      <c r="B23" s="216">
        <v>17</v>
      </c>
      <c r="C23" s="216"/>
      <c r="D23" s="348">
        <f t="shared" si="3"/>
        <v>117</v>
      </c>
      <c r="E23" s="347">
        <f>+'TYPE A GOV'!E25+'767 GMS 500 PCS'!E25</f>
        <v>34.184474999999999</v>
      </c>
      <c r="F23" s="346"/>
      <c r="G23" s="346">
        <f>+'TYPE A GOV'!G25+'767 GMS 500 PCS'!G25</f>
        <v>0</v>
      </c>
      <c r="H23" s="347">
        <f>+'TYPE A GOV'!H25+'767 GMS 500 PCS'!H25</f>
        <v>0</v>
      </c>
      <c r="I23" s="346">
        <f t="shared" si="0"/>
        <v>117</v>
      </c>
      <c r="J23" s="347">
        <f>+'TYPE A GOV'!J25+'767 GMS 500 PCS'!J25</f>
        <v>34.184474999999999</v>
      </c>
      <c r="K23" s="346">
        <f>+'TYPE A GOV'!K25+'767 GMS 500 PCS'!K25</f>
        <v>0</v>
      </c>
      <c r="L23" s="347">
        <f>+'TYPE A GOV'!M25+'767 GMS 500 PCS'!M25</f>
        <v>0</v>
      </c>
      <c r="M23" s="346">
        <f t="shared" si="1"/>
        <v>117</v>
      </c>
      <c r="N23" s="347">
        <f t="shared" si="2"/>
        <v>34.184474999999999</v>
      </c>
    </row>
    <row r="24" spans="2:14" ht="20.100000000000001" customHeight="1">
      <c r="B24" s="216">
        <v>18</v>
      </c>
      <c r="C24" s="216"/>
      <c r="D24" s="348">
        <f t="shared" si="3"/>
        <v>117</v>
      </c>
      <c r="E24" s="347">
        <f>+'TYPE A GOV'!E26+'767 GMS 500 PCS'!E26</f>
        <v>34.184474999999999</v>
      </c>
      <c r="F24" s="346"/>
      <c r="G24" s="346">
        <f>+'TYPE A GOV'!G26+'767 GMS 500 PCS'!G26</f>
        <v>0</v>
      </c>
      <c r="H24" s="347">
        <f>+'TYPE A GOV'!H26+'767 GMS 500 PCS'!H26</f>
        <v>0</v>
      </c>
      <c r="I24" s="346">
        <f t="shared" si="0"/>
        <v>117</v>
      </c>
      <c r="J24" s="347">
        <f>+'TYPE A GOV'!J26+'767 GMS 500 PCS'!J26</f>
        <v>34.184474999999999</v>
      </c>
      <c r="K24" s="346">
        <f>+'TYPE A GOV'!K26+'767 GMS 500 PCS'!K26</f>
        <v>0</v>
      </c>
      <c r="L24" s="347">
        <f>+'TYPE A GOV'!M26+'767 GMS 500 PCS'!M26</f>
        <v>0</v>
      </c>
      <c r="M24" s="346">
        <f t="shared" si="1"/>
        <v>117</v>
      </c>
      <c r="N24" s="347">
        <f t="shared" si="2"/>
        <v>34.184474999999999</v>
      </c>
    </row>
    <row r="25" spans="2:14" ht="20.100000000000001" customHeight="1">
      <c r="B25" s="216">
        <v>19</v>
      </c>
      <c r="C25" s="216"/>
      <c r="D25" s="348">
        <f t="shared" si="3"/>
        <v>117</v>
      </c>
      <c r="E25" s="347">
        <f>+'TYPE A GOV'!E27+'767 GMS 500 PCS'!E27</f>
        <v>34.184474999999999</v>
      </c>
      <c r="F25" s="346"/>
      <c r="G25" s="346">
        <f>+'TYPE A GOV'!G27+'767 GMS 500 PCS'!G27</f>
        <v>0</v>
      </c>
      <c r="H25" s="347">
        <f>+'TYPE A GOV'!H27+'767 GMS 500 PCS'!H27</f>
        <v>0</v>
      </c>
      <c r="I25" s="346">
        <f t="shared" si="0"/>
        <v>117</v>
      </c>
      <c r="J25" s="347">
        <f>+'TYPE A GOV'!J27+'767 GMS 500 PCS'!J27</f>
        <v>34.184474999999999</v>
      </c>
      <c r="K25" s="346">
        <f>+'TYPE A GOV'!K27+'767 GMS 500 PCS'!K27</f>
        <v>0</v>
      </c>
      <c r="L25" s="347">
        <f>+'TYPE A GOV'!M27+'767 GMS 500 PCS'!M27</f>
        <v>0</v>
      </c>
      <c r="M25" s="346">
        <f t="shared" si="1"/>
        <v>117</v>
      </c>
      <c r="N25" s="347">
        <f t="shared" si="2"/>
        <v>34.184474999999999</v>
      </c>
    </row>
    <row r="26" spans="2:14" ht="20.100000000000001" customHeight="1">
      <c r="B26" s="216">
        <v>20</v>
      </c>
      <c r="C26" s="216"/>
      <c r="D26" s="348">
        <f t="shared" si="3"/>
        <v>117</v>
      </c>
      <c r="E26" s="347">
        <f>+'TYPE A GOV'!E28+'767 GMS 500 PCS'!E28</f>
        <v>34.184474999999999</v>
      </c>
      <c r="F26" s="346"/>
      <c r="G26" s="346">
        <f>+'TYPE A GOV'!G28+'767 GMS 500 PCS'!G28</f>
        <v>0</v>
      </c>
      <c r="H26" s="347">
        <f>+'TYPE A GOV'!H28+'767 GMS 500 PCS'!H28</f>
        <v>0</v>
      </c>
      <c r="I26" s="346">
        <f t="shared" si="0"/>
        <v>117</v>
      </c>
      <c r="J26" s="347">
        <f>+'TYPE A GOV'!J28+'767 GMS 500 PCS'!J28</f>
        <v>34.184474999999999</v>
      </c>
      <c r="K26" s="346">
        <f>+'TYPE A GOV'!K28+'767 GMS 500 PCS'!K28</f>
        <v>0</v>
      </c>
      <c r="L26" s="347">
        <f>+'TYPE A GOV'!M28+'767 GMS 500 PCS'!M28</f>
        <v>0</v>
      </c>
      <c r="M26" s="346">
        <f t="shared" si="1"/>
        <v>117</v>
      </c>
      <c r="N26" s="347">
        <f t="shared" si="2"/>
        <v>34.184474999999999</v>
      </c>
    </row>
    <row r="27" spans="2:14" ht="20.100000000000001" customHeight="1">
      <c r="B27" s="216">
        <v>21</v>
      </c>
      <c r="C27" s="216"/>
      <c r="D27" s="348">
        <f t="shared" si="3"/>
        <v>117</v>
      </c>
      <c r="E27" s="347">
        <f>+'TYPE A GOV'!E29+'767 GMS 500 PCS'!E29</f>
        <v>34.184474999999999</v>
      </c>
      <c r="F27" s="346"/>
      <c r="G27" s="346">
        <f>+'TYPE A GOV'!G29+'767 GMS 500 PCS'!G29</f>
        <v>0</v>
      </c>
      <c r="H27" s="347">
        <f>+'TYPE A GOV'!H29+'767 GMS 500 PCS'!H29</f>
        <v>0</v>
      </c>
      <c r="I27" s="346">
        <f t="shared" si="0"/>
        <v>117</v>
      </c>
      <c r="J27" s="347">
        <f>+'TYPE A GOV'!J29+'767 GMS 500 PCS'!J29</f>
        <v>34.184474999999999</v>
      </c>
      <c r="K27" s="346">
        <f>+'TYPE A GOV'!K29+'767 GMS 500 PCS'!K29</f>
        <v>0</v>
      </c>
      <c r="L27" s="347">
        <f>+'TYPE A GOV'!M29+'767 GMS 500 PCS'!M29</f>
        <v>0</v>
      </c>
      <c r="M27" s="346">
        <f t="shared" si="1"/>
        <v>117</v>
      </c>
      <c r="N27" s="347">
        <f t="shared" si="2"/>
        <v>34.184474999999999</v>
      </c>
    </row>
    <row r="28" spans="2:14" ht="20.100000000000001" customHeight="1">
      <c r="B28" s="216">
        <v>22</v>
      </c>
      <c r="C28" s="216"/>
      <c r="D28" s="348">
        <f t="shared" si="3"/>
        <v>117</v>
      </c>
      <c r="E28" s="347">
        <f>+'TYPE A GOV'!E30+'767 GMS 500 PCS'!E30</f>
        <v>34.184474999999999</v>
      </c>
      <c r="F28" s="346"/>
      <c r="G28" s="346">
        <f>+'TYPE A GOV'!G30+'767 GMS 500 PCS'!G30</f>
        <v>52</v>
      </c>
      <c r="H28" s="347">
        <f>+'TYPE A GOV'!H30+'767 GMS 500 PCS'!H30</f>
        <v>15.193100000000001</v>
      </c>
      <c r="I28" s="346">
        <f t="shared" si="0"/>
        <v>169</v>
      </c>
      <c r="J28" s="347">
        <f>+'TYPE A GOV'!J30+'767 GMS 500 PCS'!J30</f>
        <v>49.377575000000007</v>
      </c>
      <c r="K28" s="346">
        <f>+'TYPE A GOV'!K30+'767 GMS 500 PCS'!K30</f>
        <v>0</v>
      </c>
      <c r="L28" s="347">
        <f>+'TYPE A GOV'!M30+'767 GMS 500 PCS'!M30</f>
        <v>0</v>
      </c>
      <c r="M28" s="346">
        <f t="shared" si="1"/>
        <v>169</v>
      </c>
      <c r="N28" s="347">
        <f t="shared" si="2"/>
        <v>49.377575000000007</v>
      </c>
    </row>
    <row r="29" spans="2:14" ht="20.100000000000001" customHeight="1">
      <c r="B29" s="216">
        <v>23</v>
      </c>
      <c r="C29" s="216"/>
      <c r="D29" s="348">
        <f t="shared" si="3"/>
        <v>169</v>
      </c>
      <c r="E29" s="347">
        <f>+'TYPE A GOV'!E31+'767 GMS 500 PCS'!E31</f>
        <v>49.377575000000007</v>
      </c>
      <c r="F29" s="346"/>
      <c r="G29" s="346">
        <f>+'TYPE A GOV'!G31+'767 GMS 500 PCS'!G31</f>
        <v>28</v>
      </c>
      <c r="H29" s="347">
        <f>+'TYPE A GOV'!H31+'767 GMS 500 PCS'!H31</f>
        <v>8.1809000000000012</v>
      </c>
      <c r="I29" s="346">
        <f t="shared" si="0"/>
        <v>197</v>
      </c>
      <c r="J29" s="347">
        <f>+'TYPE A GOV'!J31+'767 GMS 500 PCS'!J31</f>
        <v>57.558475000000008</v>
      </c>
      <c r="K29" s="346">
        <f>+'TYPE A GOV'!K31+'767 GMS 500 PCS'!K31</f>
        <v>0</v>
      </c>
      <c r="L29" s="347">
        <f>+'TYPE A GOV'!M31+'767 GMS 500 PCS'!M31</f>
        <v>0</v>
      </c>
      <c r="M29" s="346">
        <f t="shared" si="1"/>
        <v>197</v>
      </c>
      <c r="N29" s="347">
        <f t="shared" si="2"/>
        <v>57.558475000000008</v>
      </c>
    </row>
    <row r="30" spans="2:14" ht="20.100000000000001" customHeight="1">
      <c r="B30" s="216">
        <v>24</v>
      </c>
      <c r="C30" s="216"/>
      <c r="D30" s="348">
        <f t="shared" si="3"/>
        <v>197</v>
      </c>
      <c r="E30" s="347">
        <f>+'TYPE A GOV'!E32+'767 GMS 500 PCS'!E32</f>
        <v>57.558475000000008</v>
      </c>
      <c r="F30" s="346"/>
      <c r="G30" s="346">
        <f>+'TYPE A GOV'!G32+'767 GMS 500 PCS'!G32</f>
        <v>31</v>
      </c>
      <c r="H30" s="347">
        <f>+'TYPE A GOV'!H32+'767 GMS 500 PCS'!H32</f>
        <v>9.0574250000000003</v>
      </c>
      <c r="I30" s="346">
        <f t="shared" si="0"/>
        <v>228</v>
      </c>
      <c r="J30" s="347">
        <f>+'TYPE A GOV'!J32+'767 GMS 500 PCS'!J32</f>
        <v>66.615900000000011</v>
      </c>
      <c r="K30" s="346">
        <f>+'TYPE A GOV'!K32+'767 GMS 500 PCS'!K32</f>
        <v>0</v>
      </c>
      <c r="L30" s="347">
        <f>+'TYPE A GOV'!M32+'767 GMS 500 PCS'!M32</f>
        <v>0</v>
      </c>
      <c r="M30" s="346">
        <f t="shared" si="1"/>
        <v>228</v>
      </c>
      <c r="N30" s="347">
        <f t="shared" si="2"/>
        <v>66.615900000000011</v>
      </c>
    </row>
    <row r="31" spans="2:14" ht="20.100000000000001" customHeight="1">
      <c r="B31" s="216">
        <v>25</v>
      </c>
      <c r="C31" s="216"/>
      <c r="D31" s="348">
        <f t="shared" si="3"/>
        <v>228</v>
      </c>
      <c r="E31" s="347">
        <f>+'TYPE A GOV'!E33+'767 GMS 500 PCS'!E33</f>
        <v>66.615900000000011</v>
      </c>
      <c r="F31" s="346"/>
      <c r="G31" s="346">
        <f>+'TYPE A GOV'!G33+'767 GMS 500 PCS'!G33</f>
        <v>0</v>
      </c>
      <c r="H31" s="347">
        <f>+'TYPE A GOV'!H33+'767 GMS 500 PCS'!H33</f>
        <v>0</v>
      </c>
      <c r="I31" s="346">
        <f t="shared" si="0"/>
        <v>228</v>
      </c>
      <c r="J31" s="347">
        <f>+'TYPE A GOV'!J33+'767 GMS 500 PCS'!J33</f>
        <v>66.615900000000011</v>
      </c>
      <c r="K31" s="346">
        <f>+'TYPE A GOV'!K33+'767 GMS 500 PCS'!K33</f>
        <v>0</v>
      </c>
      <c r="L31" s="347">
        <f>+'TYPE A GOV'!M33+'767 GMS 500 PCS'!M33</f>
        <v>0</v>
      </c>
      <c r="M31" s="346">
        <f t="shared" si="1"/>
        <v>228</v>
      </c>
      <c r="N31" s="347">
        <f t="shared" si="2"/>
        <v>66.615900000000011</v>
      </c>
    </row>
    <row r="32" spans="2:14" ht="20.100000000000001" customHeight="1">
      <c r="B32" s="216">
        <v>26</v>
      </c>
      <c r="C32" s="216"/>
      <c r="D32" s="348">
        <f t="shared" si="3"/>
        <v>228</v>
      </c>
      <c r="E32" s="347">
        <f>+'TYPE A GOV'!E34+'767 GMS 500 PCS'!E34</f>
        <v>66.615900000000011</v>
      </c>
      <c r="F32" s="346"/>
      <c r="G32" s="346">
        <f>+'TYPE A GOV'!G34+'767 GMS 500 PCS'!G34</f>
        <v>23</v>
      </c>
      <c r="H32" s="347">
        <f>+'TYPE A GOV'!H34+'767 GMS 500 PCS'!H34</f>
        <v>6.7200250000000006</v>
      </c>
      <c r="I32" s="346">
        <f t="shared" si="0"/>
        <v>251</v>
      </c>
      <c r="J32" s="347">
        <f>+'TYPE A GOV'!J34+'767 GMS 500 PCS'!J34</f>
        <v>73.335925000000003</v>
      </c>
      <c r="K32" s="346">
        <f>+'TYPE A GOV'!K34+'767 GMS 500 PCS'!K34</f>
        <v>192</v>
      </c>
      <c r="L32" s="347">
        <f>+'TYPE A GOV'!M34+'767 GMS 500 PCS'!M34</f>
        <v>56.097600000000007</v>
      </c>
      <c r="M32" s="346">
        <f t="shared" si="1"/>
        <v>59</v>
      </c>
      <c r="N32" s="347">
        <f t="shared" si="2"/>
        <v>17.238324999999996</v>
      </c>
    </row>
    <row r="33" spans="2:14" ht="20.100000000000001" customHeight="1">
      <c r="B33" s="216">
        <v>27</v>
      </c>
      <c r="C33" s="216"/>
      <c r="D33" s="348">
        <f t="shared" si="3"/>
        <v>59</v>
      </c>
      <c r="E33" s="347">
        <f>+'TYPE A GOV'!E35+'767 GMS 500 PCS'!E35</f>
        <v>17.238325</v>
      </c>
      <c r="F33" s="346"/>
      <c r="G33" s="346">
        <f>+'TYPE A GOV'!G35+'767 GMS 500 PCS'!G35</f>
        <v>27</v>
      </c>
      <c r="H33" s="347">
        <f>+'TYPE A GOV'!H35+'767 GMS 500 PCS'!H35</f>
        <v>7.888725</v>
      </c>
      <c r="I33" s="346">
        <f t="shared" si="0"/>
        <v>86</v>
      </c>
      <c r="J33" s="347">
        <f>+'TYPE A GOV'!J35+'767 GMS 500 PCS'!J35</f>
        <v>25.127050000000001</v>
      </c>
      <c r="K33" s="346">
        <f>+'TYPE A GOV'!K35+'767 GMS 500 PCS'!K35</f>
        <v>0</v>
      </c>
      <c r="L33" s="347">
        <f>+'TYPE A GOV'!M35+'767 GMS 500 PCS'!M35</f>
        <v>0</v>
      </c>
      <c r="M33" s="346">
        <f t="shared" si="1"/>
        <v>86</v>
      </c>
      <c r="N33" s="347">
        <f t="shared" si="2"/>
        <v>25.127050000000001</v>
      </c>
    </row>
    <row r="34" spans="2:14" ht="20.100000000000001" customHeight="1">
      <c r="B34" s="216">
        <v>28</v>
      </c>
      <c r="C34" s="216"/>
      <c r="D34" s="348">
        <f t="shared" si="3"/>
        <v>86</v>
      </c>
      <c r="E34" s="347">
        <f>+'TYPE A GOV'!E36+'767 GMS 500 PCS'!E36</f>
        <v>25.127050000000001</v>
      </c>
      <c r="F34" s="346"/>
      <c r="G34" s="346">
        <f>+'TYPE A GOV'!G36+'767 GMS 500 PCS'!G36</f>
        <v>0</v>
      </c>
      <c r="H34" s="347">
        <f>+'TYPE A GOV'!H36+'767 GMS 500 PCS'!H36</f>
        <v>0</v>
      </c>
      <c r="I34" s="346">
        <f t="shared" si="0"/>
        <v>86</v>
      </c>
      <c r="J34" s="347">
        <f>+'TYPE A GOV'!J36+'767 GMS 500 PCS'!J36</f>
        <v>25.127050000000001</v>
      </c>
      <c r="K34" s="346">
        <f>+'TYPE A GOV'!K36+'767 GMS 500 PCS'!K36</f>
        <v>0</v>
      </c>
      <c r="L34" s="347">
        <f>+'TYPE A GOV'!M36+'767 GMS 500 PCS'!M36</f>
        <v>0</v>
      </c>
      <c r="M34" s="346">
        <f t="shared" si="1"/>
        <v>86</v>
      </c>
      <c r="N34" s="347">
        <f t="shared" si="2"/>
        <v>25.127050000000001</v>
      </c>
    </row>
    <row r="35" spans="2:14" ht="20.100000000000001" customHeight="1">
      <c r="B35" s="216">
        <v>29</v>
      </c>
      <c r="C35" s="216"/>
      <c r="D35" s="348">
        <f t="shared" si="3"/>
        <v>86</v>
      </c>
      <c r="E35" s="347">
        <f>+'TYPE A GOV'!E37+'767 GMS 500 PCS'!E37</f>
        <v>25.127050000000001</v>
      </c>
      <c r="F35" s="346"/>
      <c r="G35" s="346">
        <f>+'TYPE A GOV'!G37+'767 GMS 500 PCS'!G37</f>
        <v>26</v>
      </c>
      <c r="H35" s="347">
        <f>+'TYPE A GOV'!H37+'767 GMS 500 PCS'!H37</f>
        <v>7.5965500000000006</v>
      </c>
      <c r="I35" s="346">
        <f t="shared" si="0"/>
        <v>112</v>
      </c>
      <c r="J35" s="347">
        <f>+'TYPE A GOV'!J37+'767 GMS 500 PCS'!J37</f>
        <v>32.723600000000005</v>
      </c>
      <c r="K35" s="346">
        <f>+'TYPE A GOV'!K37+'767 GMS 500 PCS'!K37</f>
        <v>0</v>
      </c>
      <c r="L35" s="347">
        <f>+'TYPE A GOV'!M37+'767 GMS 500 PCS'!M37</f>
        <v>0</v>
      </c>
      <c r="M35" s="346">
        <f t="shared" si="1"/>
        <v>112</v>
      </c>
      <c r="N35" s="347">
        <f t="shared" si="2"/>
        <v>32.723600000000005</v>
      </c>
    </row>
    <row r="36" spans="2:14" ht="20.100000000000001" customHeight="1">
      <c r="B36" s="216">
        <v>30</v>
      </c>
      <c r="C36" s="350"/>
      <c r="D36" s="348">
        <f t="shared" si="3"/>
        <v>112</v>
      </c>
      <c r="E36" s="347">
        <f>+'TYPE A GOV'!E38+'767 GMS 500 PCS'!E38</f>
        <v>32.723600000000005</v>
      </c>
      <c r="F36" s="351"/>
      <c r="G36" s="346">
        <f>+'TYPE A GOV'!G38+'767 GMS 500 PCS'!G38</f>
        <v>23</v>
      </c>
      <c r="H36" s="347">
        <f>+'TYPE A GOV'!H38+'767 GMS 500 PCS'!H38</f>
        <v>6.7200250000000006</v>
      </c>
      <c r="I36" s="346">
        <f t="shared" si="0"/>
        <v>135</v>
      </c>
      <c r="J36" s="347">
        <f>+'TYPE A GOV'!J38+'767 GMS 500 PCS'!J38</f>
        <v>39.443624999999997</v>
      </c>
      <c r="K36" s="346">
        <f>+'TYPE A GOV'!K38+'767 GMS 500 PCS'!K38</f>
        <v>96</v>
      </c>
      <c r="L36" s="347">
        <f>+'TYPE A GOV'!M38+'767 GMS 500 PCS'!M38</f>
        <v>28.048800000000004</v>
      </c>
      <c r="M36" s="346">
        <f t="shared" si="1"/>
        <v>39</v>
      </c>
      <c r="N36" s="347">
        <f t="shared" si="2"/>
        <v>11.394824999999994</v>
      </c>
    </row>
    <row r="37" spans="2:14" ht="20.100000000000001" customHeight="1">
      <c r="B37" s="222">
        <v>31</v>
      </c>
      <c r="C37" s="350"/>
      <c r="D37" s="348">
        <f t="shared" si="3"/>
        <v>39</v>
      </c>
      <c r="E37" s="347">
        <f>+'TYPE A GOV'!E39+'767 GMS 500 PCS'!E39</f>
        <v>11.394825000000001</v>
      </c>
      <c r="F37" s="352"/>
      <c r="G37" s="346">
        <f>+'TYPE A GOV'!G39+'767 GMS 500 PCS'!G39</f>
        <v>23</v>
      </c>
      <c r="H37" s="347">
        <f>+'TYPE A GOV'!H39+'767 GMS 500 PCS'!H39</f>
        <v>6.7200250000000006</v>
      </c>
      <c r="I37" s="346">
        <f t="shared" si="0"/>
        <v>62</v>
      </c>
      <c r="J37" s="347">
        <f>+'TYPE A GOV'!J39+'767 GMS 500 PCS'!J39</f>
        <v>18.114850000000001</v>
      </c>
      <c r="K37" s="346">
        <f>+'TYPE A GOV'!K39+'767 GMS 500 PCS'!K39</f>
        <v>0</v>
      </c>
      <c r="L37" s="347">
        <f>+'TYPE A GOV'!M39+'767 GMS 500 PCS'!M39</f>
        <v>0</v>
      </c>
      <c r="M37" s="346">
        <f t="shared" si="1"/>
        <v>62</v>
      </c>
      <c r="N37" s="347">
        <f t="shared" si="2"/>
        <v>18.114850000000001</v>
      </c>
    </row>
    <row r="38" spans="2:14" ht="20.100000000000001" customHeight="1">
      <c r="B38" s="1074" t="s">
        <v>10</v>
      </c>
      <c r="C38" s="1075"/>
      <c r="D38" s="1075"/>
      <c r="E38" s="1076"/>
      <c r="F38" s="353">
        <f t="shared" ref="F38:L38" si="4">SUM(F7:F37)</f>
        <v>0</v>
      </c>
      <c r="G38" s="354">
        <f t="shared" si="4"/>
        <v>654</v>
      </c>
      <c r="H38" s="355">
        <f t="shared" si="4"/>
        <v>191.08244999999999</v>
      </c>
      <c r="I38" s="353"/>
      <c r="J38" s="353"/>
      <c r="K38" s="354">
        <f t="shared" si="4"/>
        <v>957</v>
      </c>
      <c r="L38" s="355">
        <f t="shared" si="4"/>
        <v>279.61147500000004</v>
      </c>
      <c r="M38" s="353"/>
      <c r="N38" s="353"/>
    </row>
    <row r="40" spans="2:14">
      <c r="B40" s="1069"/>
      <c r="C40" s="1069"/>
      <c r="D40" s="1069"/>
      <c r="E40" s="1069"/>
      <c r="F40" s="357"/>
      <c r="G40" s="358"/>
    </row>
  </sheetData>
  <sheetProtection password="CC51" sheet="1" objects="1" scenarios="1"/>
  <mergeCells count="10">
    <mergeCell ref="B38:E38"/>
    <mergeCell ref="B40:E40"/>
    <mergeCell ref="B4:B6"/>
    <mergeCell ref="A2:N3"/>
    <mergeCell ref="B1:N1"/>
    <mergeCell ref="D4:F4"/>
    <mergeCell ref="G4:H4"/>
    <mergeCell ref="I4:J4"/>
    <mergeCell ref="K4:L4"/>
    <mergeCell ref="M4:N4"/>
  </mergeCells>
  <pageMargins left="0.7" right="0.7" top="0.15" bottom="0.14000000000000001" header="0.15" footer="0.16"/>
  <pageSetup paperSize="9" scale="8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2:F34"/>
  <sheetViews>
    <sheetView zoomScale="80" zoomScaleNormal="80" workbookViewId="0">
      <selection activeCell="B3" sqref="B3"/>
    </sheetView>
  </sheetViews>
  <sheetFormatPr defaultColWidth="9" defaultRowHeight="15"/>
  <cols>
    <col min="2" max="2" width="46.42578125" customWidth="1"/>
    <col min="3" max="3" width="42.140625" customWidth="1"/>
    <col min="4" max="4" width="17.85546875" customWidth="1"/>
    <col min="5" max="5" width="26.140625" customWidth="1"/>
    <col min="6" max="6" width="28.42578125" customWidth="1"/>
  </cols>
  <sheetData>
    <row r="2" spans="2:6" ht="21">
      <c r="B2" s="1085" t="s">
        <v>513</v>
      </c>
      <c r="C2" s="1086"/>
      <c r="D2" s="1086"/>
      <c r="E2" s="1086"/>
      <c r="F2" s="1087"/>
    </row>
    <row r="3" spans="2:6" ht="21">
      <c r="B3" s="309" t="s">
        <v>301</v>
      </c>
      <c r="C3" s="310" t="s">
        <v>302</v>
      </c>
      <c r="D3" s="311" t="s">
        <v>303</v>
      </c>
      <c r="E3" s="311" t="s">
        <v>304</v>
      </c>
      <c r="F3" s="311" t="s">
        <v>305</v>
      </c>
    </row>
    <row r="4" spans="2:6" ht="21">
      <c r="B4" s="1077" t="s">
        <v>3</v>
      </c>
      <c r="C4" s="1078"/>
      <c r="D4" s="1078"/>
      <c r="E4" s="1078"/>
      <c r="F4" s="1081"/>
    </row>
    <row r="5" spans="2:6" ht="21" hidden="1">
      <c r="B5" s="312"/>
      <c r="C5" s="313"/>
      <c r="D5" s="312"/>
      <c r="E5" s="312"/>
      <c r="F5" s="312"/>
    </row>
    <row r="6" spans="2:6" ht="21">
      <c r="B6" s="314" t="s">
        <v>306</v>
      </c>
      <c r="C6" s="314">
        <v>331.69499999999999</v>
      </c>
      <c r="D6" s="314">
        <v>2000</v>
      </c>
      <c r="E6" s="315">
        <f>+GROSS!H5</f>
        <v>89</v>
      </c>
      <c r="F6" s="316">
        <f>E6*C6/1000</f>
        <v>29.520855000000001</v>
      </c>
    </row>
    <row r="7" spans="2:6" ht="21">
      <c r="B7" s="312" t="s">
        <v>307</v>
      </c>
      <c r="C7" s="317">
        <v>417.59</v>
      </c>
      <c r="D7" s="312">
        <v>1500</v>
      </c>
      <c r="E7" s="318">
        <f>+GROSS!H15</f>
        <v>0</v>
      </c>
      <c r="F7" s="317">
        <f t="shared" ref="F7:F15" si="0">E7*C7/1000</f>
        <v>0</v>
      </c>
    </row>
    <row r="8" spans="2:6" ht="21">
      <c r="B8" s="312" t="s">
        <v>308</v>
      </c>
      <c r="C8" s="312">
        <v>437.38400000000001</v>
      </c>
      <c r="D8" s="312">
        <v>2000</v>
      </c>
      <c r="E8" s="318">
        <f>+GROSS!H6</f>
        <v>79</v>
      </c>
      <c r="F8" s="317">
        <f t="shared" si="0"/>
        <v>34.553336000000002</v>
      </c>
    </row>
    <row r="9" spans="2:6" ht="21">
      <c r="B9" s="312" t="s">
        <v>309</v>
      </c>
      <c r="C9" s="317">
        <v>144</v>
      </c>
      <c r="D9" s="312">
        <v>2000</v>
      </c>
      <c r="E9" s="318">
        <f>+GROSS!H24</f>
        <v>0</v>
      </c>
      <c r="F9" s="317">
        <f t="shared" si="0"/>
        <v>0</v>
      </c>
    </row>
    <row r="10" spans="2:6" ht="21">
      <c r="B10" s="312" t="s">
        <v>310</v>
      </c>
      <c r="C10" s="317">
        <v>368.55</v>
      </c>
      <c r="D10" s="312">
        <v>2000</v>
      </c>
      <c r="E10" s="312">
        <f>+GROSS!H7</f>
        <v>85</v>
      </c>
      <c r="F10" s="317">
        <f t="shared" si="0"/>
        <v>31.326750000000001</v>
      </c>
    </row>
    <row r="11" spans="2:6" ht="42">
      <c r="B11" s="319" t="s">
        <v>311</v>
      </c>
      <c r="C11" s="320">
        <v>255.15</v>
      </c>
      <c r="D11" s="321">
        <v>1828.8</v>
      </c>
      <c r="E11" s="321">
        <f>+GROSS!H12</f>
        <v>0</v>
      </c>
      <c r="F11" s="317">
        <f t="shared" si="0"/>
        <v>0</v>
      </c>
    </row>
    <row r="12" spans="2:6" ht="21">
      <c r="B12" s="322" t="s">
        <v>312</v>
      </c>
      <c r="C12" s="323">
        <v>405.40499999999997</v>
      </c>
      <c r="D12" s="321">
        <v>2000</v>
      </c>
      <c r="E12" s="324">
        <f>+'44-7.15 '!G40</f>
        <v>0</v>
      </c>
      <c r="F12" s="317">
        <f t="shared" si="0"/>
        <v>0</v>
      </c>
    </row>
    <row r="13" spans="2:6" ht="21">
      <c r="B13" s="325" t="s">
        <v>313</v>
      </c>
      <c r="C13" s="326">
        <v>155.92500000000001</v>
      </c>
      <c r="D13" s="327">
        <v>1000</v>
      </c>
      <c r="E13" s="324">
        <f>+'44-5 OZ (2)'!G40</f>
        <v>0</v>
      </c>
      <c r="F13" s="317">
        <f t="shared" si="0"/>
        <v>0</v>
      </c>
    </row>
    <row r="14" spans="2:6" ht="42">
      <c r="B14" s="325" t="s">
        <v>314</v>
      </c>
      <c r="C14" s="326">
        <v>229.63</v>
      </c>
      <c r="D14" s="327">
        <v>1828.8</v>
      </c>
      <c r="E14" s="324">
        <f>+GROSS!H16</f>
        <v>0</v>
      </c>
      <c r="F14" s="317">
        <f t="shared" si="0"/>
        <v>0</v>
      </c>
    </row>
    <row r="15" spans="2:6" ht="42">
      <c r="B15" s="325" t="s">
        <v>315</v>
      </c>
      <c r="C15" s="326">
        <v>379.83300000000003</v>
      </c>
      <c r="D15" s="327">
        <v>1500</v>
      </c>
      <c r="E15" s="324">
        <f>+'44-8.12 OZ (2)'!G40</f>
        <v>0</v>
      </c>
      <c r="F15" s="317">
        <f t="shared" si="0"/>
        <v>0</v>
      </c>
    </row>
    <row r="16" spans="2:6" ht="21">
      <c r="B16" s="1092" t="s">
        <v>316</v>
      </c>
      <c r="C16" s="1092"/>
      <c r="D16" s="1092"/>
      <c r="E16" s="1092"/>
      <c r="F16" s="317">
        <f>SUM(F6:F15)</f>
        <v>95.400941000000003</v>
      </c>
    </row>
    <row r="17" spans="2:6" ht="21.75" customHeight="1">
      <c r="B17" s="1093" t="s">
        <v>317</v>
      </c>
      <c r="C17" s="1094"/>
      <c r="D17" s="1094"/>
      <c r="E17" s="1095"/>
      <c r="F17" s="328">
        <f>+F16*0.75%</f>
        <v>0.71550705749999999</v>
      </c>
    </row>
    <row r="18" spans="2:6" ht="21">
      <c r="B18" s="1085" t="s">
        <v>318</v>
      </c>
      <c r="C18" s="1086"/>
      <c r="D18" s="1087"/>
      <c r="E18" s="329">
        <f>SUM(E6:E15)</f>
        <v>253</v>
      </c>
      <c r="F18" s="330">
        <f>SUM(F16:F17)</f>
        <v>96.116448057500008</v>
      </c>
    </row>
    <row r="19" spans="2:6" ht="21">
      <c r="B19" s="1085" t="s">
        <v>5</v>
      </c>
      <c r="C19" s="1086"/>
      <c r="D19" s="1086"/>
      <c r="E19" s="1086"/>
      <c r="F19" s="1087"/>
    </row>
    <row r="20" spans="2:6" ht="21">
      <c r="B20" s="1085" t="s">
        <v>319</v>
      </c>
      <c r="C20" s="1087"/>
      <c r="D20" s="331" t="s">
        <v>320</v>
      </c>
      <c r="E20" s="311" t="s">
        <v>304</v>
      </c>
      <c r="F20" s="311" t="s">
        <v>305</v>
      </c>
    </row>
    <row r="21" spans="2:6" ht="21">
      <c r="B21" s="314" t="s">
        <v>321</v>
      </c>
      <c r="C21" s="316">
        <v>290</v>
      </c>
      <c r="D21" s="312">
        <v>500</v>
      </c>
      <c r="E21" s="318">
        <f>+GROSS!H36</f>
        <v>654</v>
      </c>
      <c r="F21" s="317">
        <f>E21*C21/1000</f>
        <v>189.66</v>
      </c>
    </row>
    <row r="22" spans="2:6" ht="21">
      <c r="B22" s="404" t="s">
        <v>510</v>
      </c>
      <c r="C22" s="317">
        <v>383.5</v>
      </c>
      <c r="D22" s="312">
        <v>500</v>
      </c>
      <c r="E22" s="312">
        <f>+GROSS!H35</f>
        <v>0</v>
      </c>
      <c r="F22" s="317">
        <f>E22*C22/1000</f>
        <v>0</v>
      </c>
    </row>
    <row r="23" spans="2:6" ht="21">
      <c r="B23" s="321"/>
      <c r="C23" s="326"/>
      <c r="D23" s="321"/>
      <c r="E23" s="321"/>
      <c r="F23" s="317">
        <f>E23*C23</f>
        <v>0</v>
      </c>
    </row>
    <row r="24" spans="2:6" ht="21">
      <c r="B24" s="321"/>
      <c r="C24" s="326"/>
      <c r="D24" s="321"/>
      <c r="E24" s="321"/>
      <c r="F24" s="317">
        <f>E24*C24</f>
        <v>0</v>
      </c>
    </row>
    <row r="25" spans="2:6" ht="21">
      <c r="B25" s="1088" t="s">
        <v>316</v>
      </c>
      <c r="C25" s="1089"/>
      <c r="D25" s="1089"/>
      <c r="E25" s="1090"/>
      <c r="F25" s="326">
        <f>SUM(F21:F24)</f>
        <v>189.66</v>
      </c>
    </row>
    <row r="26" spans="2:6" ht="21">
      <c r="B26" s="1085" t="s">
        <v>23</v>
      </c>
      <c r="C26" s="1086"/>
      <c r="D26" s="1086"/>
      <c r="E26" s="1087"/>
      <c r="F26" s="332">
        <f>+F25*0.75%</f>
        <v>1.42245</v>
      </c>
    </row>
    <row r="27" spans="2:6" ht="21">
      <c r="B27" s="1085" t="s">
        <v>322</v>
      </c>
      <c r="C27" s="1086"/>
      <c r="D27" s="1091"/>
      <c r="E27" s="333">
        <f>SUM(E21:E26)</f>
        <v>654</v>
      </c>
      <c r="F27" s="334">
        <f>SUM(F25:F26)</f>
        <v>191.08244999999999</v>
      </c>
    </row>
    <row r="28" spans="2:6" ht="21">
      <c r="B28" s="1077" t="s">
        <v>323</v>
      </c>
      <c r="C28" s="1078"/>
      <c r="D28" s="1079"/>
      <c r="E28" s="335">
        <f>+E18+E27</f>
        <v>907</v>
      </c>
      <c r="F28" s="336">
        <f>F18+F27</f>
        <v>287.1988980575</v>
      </c>
    </row>
    <row r="29" spans="2:6" ht="21">
      <c r="B29" s="337" t="s">
        <v>324</v>
      </c>
      <c r="C29" s="1080" t="s">
        <v>272</v>
      </c>
      <c r="D29" s="1078"/>
      <c r="E29" s="1081"/>
      <c r="F29" s="338">
        <f>+'JUTE LENO'!H40</f>
        <v>0</v>
      </c>
    </row>
    <row r="30" spans="2:6" ht="21">
      <c r="B30" s="339" t="s">
        <v>325</v>
      </c>
      <c r="C30" s="339"/>
      <c r="D30" s="340" t="s">
        <v>272</v>
      </c>
      <c r="E30" s="313"/>
      <c r="F30" s="341">
        <f>+'EXPORT 100FT'!H40</f>
        <v>0</v>
      </c>
    </row>
    <row r="31" spans="2:6" ht="20.25" customHeight="1">
      <c r="B31" s="339" t="s">
        <v>326</v>
      </c>
      <c r="C31" s="342"/>
      <c r="D31" s="340" t="s">
        <v>272</v>
      </c>
      <c r="E31" s="313"/>
      <c r="F31" s="312">
        <f>+'EXPORT 30 FT)'!H40</f>
        <v>0</v>
      </c>
    </row>
    <row r="32" spans="2:6" ht="21" customHeight="1">
      <c r="B32" s="1082" t="s">
        <v>66</v>
      </c>
      <c r="C32" s="1083"/>
      <c r="D32" s="340" t="s">
        <v>272</v>
      </c>
      <c r="E32" s="3"/>
      <c r="F32" s="312">
        <f>+'EXPORT '!H40</f>
        <v>0</v>
      </c>
    </row>
    <row r="33" spans="2:6" ht="21" customHeight="1">
      <c r="B33" s="343" t="s">
        <v>327</v>
      </c>
      <c r="C33" s="344"/>
      <c r="D33" s="129" t="s">
        <v>328</v>
      </c>
      <c r="E33" s="3"/>
      <c r="F33" s="317"/>
    </row>
    <row r="34" spans="2:6" ht="16.5" customHeight="1">
      <c r="B34" s="345" t="s">
        <v>329</v>
      </c>
      <c r="C34" s="1084" t="s">
        <v>330</v>
      </c>
      <c r="D34" s="1084"/>
      <c r="E34" s="1084"/>
      <c r="F34" s="317"/>
    </row>
  </sheetData>
  <mergeCells count="14">
    <mergeCell ref="B2:F2"/>
    <mergeCell ref="B4:F4"/>
    <mergeCell ref="B16:E16"/>
    <mergeCell ref="B17:E17"/>
    <mergeCell ref="B18:D18"/>
    <mergeCell ref="B28:D28"/>
    <mergeCell ref="C29:E29"/>
    <mergeCell ref="B32:C32"/>
    <mergeCell ref="C34:E34"/>
    <mergeCell ref="B19:F19"/>
    <mergeCell ref="B20:C20"/>
    <mergeCell ref="B25:E25"/>
    <mergeCell ref="B26:E26"/>
    <mergeCell ref="B27:D27"/>
  </mergeCells>
  <pageMargins left="0.3" right="0.48" top="0.33" bottom="0.16" header="0.3" footer="0.3"/>
  <pageSetup paperSize="9" scale="75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61"/>
  <sheetViews>
    <sheetView zoomScale="80" zoomScaleNormal="80" workbookViewId="0">
      <pane ySplit="6" topLeftCell="A7" activePane="bottomLeft" state="frozen"/>
      <selection pane="bottomLeft" activeCell="Q17" sqref="Q17"/>
    </sheetView>
  </sheetViews>
  <sheetFormatPr defaultColWidth="9" defaultRowHeight="15"/>
  <cols>
    <col min="1" max="1" width="10.42578125" customWidth="1"/>
    <col min="2" max="2" width="7.85546875" customWidth="1"/>
    <col min="3" max="3" width="10.42578125" customWidth="1"/>
    <col min="4" max="4" width="8.28515625" customWidth="1"/>
    <col min="5" max="5" width="11.140625" customWidth="1"/>
    <col min="6" max="6" width="11.5703125" customWidth="1"/>
    <col min="7" max="7" width="17.42578125" customWidth="1"/>
    <col min="8" max="8" width="12.85546875" customWidth="1"/>
    <col min="9" max="9" width="11.42578125" customWidth="1"/>
    <col min="10" max="12" width="10.28515625" customWidth="1"/>
    <col min="13" max="13" width="8.5703125" customWidth="1"/>
    <col min="14" max="14" width="8.28515625" customWidth="1"/>
    <col min="16" max="16" width="11" customWidth="1"/>
    <col min="19" max="19" width="16.5703125" bestFit="1" customWidth="1"/>
  </cols>
  <sheetData>
    <row r="1" spans="1:18">
      <c r="A1" s="247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6"/>
    </row>
    <row r="2" spans="1:18">
      <c r="A2" s="1112" t="s">
        <v>515</v>
      </c>
      <c r="B2" s="1113"/>
      <c r="C2" s="1113"/>
      <c r="D2" s="1113"/>
      <c r="E2" s="1113"/>
      <c r="F2" s="1113"/>
      <c r="G2" s="1114"/>
      <c r="H2" s="1115" t="s">
        <v>516</v>
      </c>
      <c r="I2" s="1113"/>
      <c r="J2" s="1113"/>
      <c r="K2" s="1113"/>
      <c r="L2" s="1113"/>
      <c r="M2" s="1113"/>
      <c r="N2" s="1114"/>
    </row>
    <row r="3" spans="1:18" ht="15" customHeight="1">
      <c r="A3" s="1130" t="s">
        <v>331</v>
      </c>
      <c r="B3" s="1116" t="s">
        <v>247</v>
      </c>
      <c r="C3" s="1117"/>
      <c r="D3" s="1118" t="s">
        <v>332</v>
      </c>
      <c r="E3" s="1072"/>
      <c r="F3" s="1072" t="s">
        <v>333</v>
      </c>
      <c r="G3" s="1072"/>
      <c r="H3" s="895" t="s">
        <v>272</v>
      </c>
      <c r="I3" s="1097" t="s">
        <v>334</v>
      </c>
      <c r="J3" s="1097" t="s">
        <v>335</v>
      </c>
      <c r="K3" s="1099" t="s">
        <v>336</v>
      </c>
      <c r="L3" s="1101" t="s">
        <v>287</v>
      </c>
      <c r="M3" s="1119" t="s">
        <v>295</v>
      </c>
      <c r="N3" s="1122" t="s">
        <v>337</v>
      </c>
      <c r="O3" s="1096" t="s">
        <v>338</v>
      </c>
      <c r="P3" s="1096" t="s">
        <v>339</v>
      </c>
      <c r="Q3" s="909">
        <v>45717</v>
      </c>
    </row>
    <row r="4" spans="1:18">
      <c r="A4" s="1130"/>
      <c r="B4" s="248" t="s">
        <v>21</v>
      </c>
      <c r="C4" s="249" t="s">
        <v>296</v>
      </c>
      <c r="D4" s="238" t="s">
        <v>21</v>
      </c>
      <c r="E4" s="895" t="s">
        <v>296</v>
      </c>
      <c r="F4" s="895" t="s">
        <v>21</v>
      </c>
      <c r="G4" s="895" t="s">
        <v>296</v>
      </c>
      <c r="H4" s="1084" t="s">
        <v>296</v>
      </c>
      <c r="I4" s="1097"/>
      <c r="J4" s="1097"/>
      <c r="K4" s="1099"/>
      <c r="L4" s="1102"/>
      <c r="M4" s="1120"/>
      <c r="N4" s="1123"/>
      <c r="O4" s="1096"/>
      <c r="P4" s="1096"/>
      <c r="Q4" t="s">
        <v>517</v>
      </c>
    </row>
    <row r="5" spans="1:18">
      <c r="A5" s="1131"/>
      <c r="B5" s="250">
        <v>136</v>
      </c>
      <c r="C5" s="251">
        <v>50.69</v>
      </c>
      <c r="D5" s="252"/>
      <c r="E5" s="222"/>
      <c r="F5" s="222"/>
      <c r="G5" s="222"/>
      <c r="H5" s="1084"/>
      <c r="I5" s="1098"/>
      <c r="J5" s="1098"/>
      <c r="K5" s="1100"/>
      <c r="L5" s="1103"/>
      <c r="M5" s="1121"/>
      <c r="N5" s="1124"/>
      <c r="O5" s="1096"/>
      <c r="P5" s="1096"/>
      <c r="Q5">
        <v>24.268000000000001</v>
      </c>
    </row>
    <row r="6" spans="1:18">
      <c r="A6" s="896"/>
      <c r="B6" s="897" t="s">
        <v>340</v>
      </c>
      <c r="C6" s="897"/>
      <c r="D6" s="897"/>
      <c r="E6" s="897"/>
      <c r="F6" s="897"/>
      <c r="G6" s="897"/>
      <c r="H6" s="253"/>
      <c r="I6" s="897"/>
      <c r="J6" s="897"/>
      <c r="K6" s="897"/>
      <c r="L6" s="897"/>
      <c r="M6" s="897"/>
      <c r="N6" s="898"/>
    </row>
    <row r="7" spans="1:18">
      <c r="A7" s="899" t="s">
        <v>494</v>
      </c>
      <c r="B7" s="894">
        <f>+[1]GROSS!H24</f>
        <v>284</v>
      </c>
      <c r="C7" s="254">
        <f>+[1]GROSS!J24</f>
        <v>108.738715</v>
      </c>
      <c r="D7" s="894">
        <f>+[1]GROSS!K24</f>
        <v>404</v>
      </c>
      <c r="E7" s="254">
        <f>+[1]GROSS!M24</f>
        <v>153.187555</v>
      </c>
      <c r="F7" s="894">
        <f>+B5+B7-D7</f>
        <v>16</v>
      </c>
      <c r="G7" s="254">
        <f>+C5+C7-E7</f>
        <v>6.2411600000000078</v>
      </c>
      <c r="H7" s="254"/>
      <c r="I7" s="280">
        <f>+[1]GROSS!K44</f>
        <v>0</v>
      </c>
      <c r="J7" s="281"/>
      <c r="K7" s="282">
        <f>1.114</f>
        <v>1.1140000000000001</v>
      </c>
      <c r="L7" s="283">
        <v>16.332999999999998</v>
      </c>
      <c r="M7" s="901"/>
      <c r="N7" s="225"/>
      <c r="O7" s="151"/>
      <c r="P7" s="151"/>
      <c r="R7" s="909"/>
    </row>
    <row r="8" spans="1:18">
      <c r="A8" s="248" t="s">
        <v>495</v>
      </c>
      <c r="B8" s="894">
        <f>+[2]GROSS!H25</f>
        <v>246</v>
      </c>
      <c r="C8" s="254">
        <f>+[2]GROSS!J25</f>
        <v>95.555898999999997</v>
      </c>
      <c r="D8" s="895">
        <f>+[2]GROSS!K25</f>
        <v>208</v>
      </c>
      <c r="E8" s="254">
        <f>+[2]GROSS!M25</f>
        <v>80.672938000000002</v>
      </c>
      <c r="F8" s="895">
        <f>+F7+B8-D8</f>
        <v>54</v>
      </c>
      <c r="G8" s="218">
        <f>+G7+C8-E8</f>
        <v>21.124121000000002</v>
      </c>
      <c r="H8" s="894"/>
      <c r="I8" s="280"/>
      <c r="J8" s="284"/>
      <c r="K8" s="254">
        <f>+[2]GROSS!I41</f>
        <v>0</v>
      </c>
      <c r="L8" s="285">
        <v>61.465000000000003</v>
      </c>
      <c r="M8" s="884">
        <f>+[2]GROSS!C55</f>
        <v>180</v>
      </c>
      <c r="N8" s="225">
        <f>+[2]GROSS!E55</f>
        <v>52.2</v>
      </c>
      <c r="P8" s="151"/>
    </row>
    <row r="9" spans="1:18">
      <c r="A9" s="248" t="s">
        <v>496</v>
      </c>
      <c r="B9" s="894">
        <f>+[3]GROSS!H25</f>
        <v>342</v>
      </c>
      <c r="C9" s="254">
        <f>+[3]GROSS!J25</f>
        <v>134.13016599999997</v>
      </c>
      <c r="D9" s="894">
        <f>+[3]GROSS!K25</f>
        <v>242</v>
      </c>
      <c r="E9" s="254">
        <f>+[3]GROSS!M25</f>
        <v>95.708765</v>
      </c>
      <c r="F9" s="895">
        <f t="shared" ref="F9:G18" si="0">+F8+B9-D9</f>
        <v>154</v>
      </c>
      <c r="G9" s="218">
        <f t="shared" si="0"/>
        <v>59.545521999999977</v>
      </c>
      <c r="H9" s="894"/>
      <c r="I9" s="225">
        <f>+[3]GROSS!K45</f>
        <v>15.675999999999998</v>
      </c>
      <c r="J9" s="284">
        <f>+[3]GROSS!I42</f>
        <v>0</v>
      </c>
      <c r="K9" s="254">
        <f>+[3]GROSS!I41</f>
        <v>0.09</v>
      </c>
      <c r="L9" s="900">
        <f>+[3]GROSS!C49</f>
        <v>61.608000000000004</v>
      </c>
      <c r="M9" s="884">
        <f>+[3]GROSS!C55</f>
        <v>108</v>
      </c>
      <c r="N9" s="225">
        <f>+[3]GROSS!E55</f>
        <v>31.32</v>
      </c>
    </row>
    <row r="10" spans="1:18">
      <c r="A10" s="248" t="s">
        <v>497</v>
      </c>
      <c r="B10" s="894">
        <f>+[4]GROSS!H25</f>
        <v>420</v>
      </c>
      <c r="C10" s="254">
        <f>+[4]GROSS!J25</f>
        <v>152.5461</v>
      </c>
      <c r="D10" s="894">
        <f>+[4]GROSS!K25</f>
        <v>474</v>
      </c>
      <c r="E10" s="254">
        <f>+[4]GROSS!M25</f>
        <v>173.63748200000001</v>
      </c>
      <c r="F10" s="895">
        <f t="shared" si="0"/>
        <v>100</v>
      </c>
      <c r="G10" s="218">
        <f t="shared" si="0"/>
        <v>38.454139999999967</v>
      </c>
      <c r="H10" s="894"/>
      <c r="I10" s="280">
        <f>+[4]GROSS!K45</f>
        <v>28.831000000000003</v>
      </c>
      <c r="J10" s="284">
        <f>+[4]GROSS!I42</f>
        <v>0</v>
      </c>
      <c r="K10" s="254">
        <f>+[4]GROSS!I41</f>
        <v>0</v>
      </c>
      <c r="L10" s="285">
        <f>+[4]GROSS!C49</f>
        <v>19.59</v>
      </c>
      <c r="M10" s="884">
        <f>+[4]GROSS!C55</f>
        <v>0</v>
      </c>
      <c r="N10" s="280">
        <f>+[4]GROSS!E55</f>
        <v>0</v>
      </c>
    </row>
    <row r="11" spans="1:18">
      <c r="A11" s="248" t="s">
        <v>498</v>
      </c>
      <c r="B11" s="894">
        <f>+[5]GROSS!H25</f>
        <v>312</v>
      </c>
      <c r="C11" s="254">
        <f>+[5]GROSS!J25</f>
        <v>112.75724699999999</v>
      </c>
      <c r="D11" s="894">
        <f>+[5]GROSS!K25</f>
        <v>369</v>
      </c>
      <c r="E11" s="254">
        <f>+[5]GROSS!M25</f>
        <v>136.41986700000001</v>
      </c>
      <c r="F11" s="895">
        <f t="shared" si="0"/>
        <v>43</v>
      </c>
      <c r="G11" s="218">
        <f t="shared" si="0"/>
        <v>14.791519999999934</v>
      </c>
      <c r="H11" s="894"/>
      <c r="I11" s="280">
        <f>+[5]GROSS!K45</f>
        <v>0</v>
      </c>
      <c r="J11" s="284">
        <f>+[5]GROSS!I42</f>
        <v>0</v>
      </c>
      <c r="K11" s="894">
        <f>+[5]GROSS!I41</f>
        <v>0</v>
      </c>
      <c r="L11" s="285">
        <f>+[5]GROSS!C49</f>
        <v>46.9</v>
      </c>
      <c r="M11" s="901"/>
      <c r="N11" s="225"/>
    </row>
    <row r="12" spans="1:18">
      <c r="A12" s="248" t="s">
        <v>499</v>
      </c>
      <c r="B12" s="894">
        <f>+[6]GROSS!H25</f>
        <v>325</v>
      </c>
      <c r="C12" s="254">
        <f>+[6]GROSS!J25</f>
        <v>117.20719600000001</v>
      </c>
      <c r="D12" s="894">
        <f>+[6]GROSS!K25</f>
        <v>288</v>
      </c>
      <c r="E12" s="254">
        <f>+[6]GROSS!M22</f>
        <v>103.771902</v>
      </c>
      <c r="F12" s="895">
        <f t="shared" si="0"/>
        <v>80</v>
      </c>
      <c r="G12" s="218">
        <f t="shared" si="0"/>
        <v>28.226813999999948</v>
      </c>
      <c r="H12" s="894"/>
      <c r="I12" s="280">
        <f>+[6]GROSS!K45</f>
        <v>16</v>
      </c>
      <c r="J12" s="899">
        <f>+[6]GROSS!I42</f>
        <v>0</v>
      </c>
      <c r="K12" s="894">
        <f>+[6]GROSS!I41</f>
        <v>0</v>
      </c>
      <c r="L12" s="285">
        <f>+[6]GROSS!C49</f>
        <v>44.739999999999995</v>
      </c>
      <c r="M12" s="901"/>
      <c r="N12" s="225"/>
      <c r="O12" s="151"/>
    </row>
    <row r="13" spans="1:18">
      <c r="A13" s="248" t="s">
        <v>500</v>
      </c>
      <c r="B13" s="894">
        <f>+[7]GROSS!H25</f>
        <v>296</v>
      </c>
      <c r="C13" s="254">
        <f>+[7]GROSS!J25</f>
        <v>108.740298</v>
      </c>
      <c r="D13" s="894">
        <f>+[7]GROSS!K25</f>
        <v>287</v>
      </c>
      <c r="E13" s="254">
        <f>+[7]GROSS!M25</f>
        <v>101.53780499999999</v>
      </c>
      <c r="F13" s="895">
        <f t="shared" si="0"/>
        <v>89</v>
      </c>
      <c r="G13" s="218">
        <f t="shared" si="0"/>
        <v>35.429306999999937</v>
      </c>
      <c r="H13" s="894"/>
      <c r="I13" s="280">
        <f>+'[7]EXCISE SALES DETAILS'!AT94</f>
        <v>78.710999999999999</v>
      </c>
      <c r="J13" s="899"/>
      <c r="K13" s="894"/>
      <c r="L13" s="900">
        <f>+[7]GROSS!C49</f>
        <v>0</v>
      </c>
      <c r="M13" s="901"/>
      <c r="N13" s="225"/>
    </row>
    <row r="14" spans="1:18">
      <c r="A14" s="248" t="s">
        <v>501</v>
      </c>
      <c r="B14" s="894">
        <f>+[8]GROSS!H25</f>
        <v>314</v>
      </c>
      <c r="C14" s="254">
        <f>+[8]GROSS!J25</f>
        <v>117.64515</v>
      </c>
      <c r="D14" s="894">
        <f>+[8]GROSS!K25</f>
        <v>313</v>
      </c>
      <c r="E14" s="254">
        <f>+[8]GROSS!M25</f>
        <v>118.73617200000001</v>
      </c>
      <c r="F14" s="895">
        <f t="shared" si="0"/>
        <v>90</v>
      </c>
      <c r="G14" s="218">
        <f t="shared" si="0"/>
        <v>34.338284999999928</v>
      </c>
      <c r="H14" s="894"/>
      <c r="I14" s="280">
        <f>+'[8]EXCISE SALES DETAILS'!AT94</f>
        <v>60.835999999999999</v>
      </c>
      <c r="J14" s="899"/>
      <c r="K14" s="254"/>
      <c r="L14" s="900"/>
      <c r="M14" s="901"/>
      <c r="N14" s="225"/>
    </row>
    <row r="15" spans="1:18">
      <c r="A15" s="248" t="s">
        <v>502</v>
      </c>
      <c r="B15" s="894">
        <f>+GROSS!H25</f>
        <v>253</v>
      </c>
      <c r="C15" s="254">
        <f>+GROSS!J25</f>
        <v>95.405941000000013</v>
      </c>
      <c r="D15" s="894">
        <f>+GROSS!K25</f>
        <v>289</v>
      </c>
      <c r="E15" s="254">
        <f>+GROSS!M25</f>
        <v>109.22985899999999</v>
      </c>
      <c r="F15" s="895">
        <f t="shared" si="0"/>
        <v>54</v>
      </c>
      <c r="G15" s="218">
        <f t="shared" si="0"/>
        <v>20.51436699999995</v>
      </c>
      <c r="H15" s="894"/>
      <c r="I15" s="280">
        <f>+GROSS!K45</f>
        <v>22.408000000000001</v>
      </c>
      <c r="J15" s="899"/>
      <c r="K15" s="894">
        <f>+GROSS!I41</f>
        <v>2.7E-2</v>
      </c>
      <c r="L15" s="900"/>
      <c r="M15" s="901"/>
      <c r="N15" s="225"/>
    </row>
    <row r="16" spans="1:18">
      <c r="A16" s="248" t="s">
        <v>503</v>
      </c>
      <c r="B16" s="894"/>
      <c r="C16" s="254"/>
      <c r="D16" s="894"/>
      <c r="E16" s="254"/>
      <c r="F16" s="895">
        <f t="shared" si="0"/>
        <v>54</v>
      </c>
      <c r="G16" s="218">
        <f t="shared" si="0"/>
        <v>20.51436699999995</v>
      </c>
      <c r="H16" s="894"/>
      <c r="I16" s="286">
        <f>+'[1]EXCISE SALES DETAILS'!AT94</f>
        <v>0</v>
      </c>
      <c r="J16" s="284"/>
      <c r="K16" s="894"/>
      <c r="L16" s="900"/>
      <c r="M16" s="901"/>
      <c r="N16" s="225"/>
    </row>
    <row r="17" spans="1:16">
      <c r="A17" s="248" t="s">
        <v>504</v>
      </c>
      <c r="B17" s="894"/>
      <c r="C17" s="254"/>
      <c r="D17" s="894"/>
      <c r="E17" s="894"/>
      <c r="F17" s="895">
        <f t="shared" si="0"/>
        <v>54</v>
      </c>
      <c r="G17" s="218">
        <f t="shared" si="0"/>
        <v>20.51436699999995</v>
      </c>
      <c r="H17" s="894"/>
      <c r="I17" s="225"/>
      <c r="J17" s="899"/>
      <c r="K17" s="894"/>
      <c r="L17" s="900"/>
      <c r="M17" s="901"/>
      <c r="N17" s="225"/>
    </row>
    <row r="18" spans="1:16">
      <c r="A18" s="255" t="s">
        <v>505</v>
      </c>
      <c r="B18" s="894"/>
      <c r="C18" s="254"/>
      <c r="D18" s="894"/>
      <c r="E18" s="894"/>
      <c r="F18" s="895">
        <f t="shared" si="0"/>
        <v>54</v>
      </c>
      <c r="G18" s="218">
        <f t="shared" si="0"/>
        <v>20.51436699999995</v>
      </c>
      <c r="H18" s="894"/>
      <c r="I18" s="225"/>
      <c r="J18" s="899"/>
      <c r="K18" s="894"/>
      <c r="L18" s="900"/>
      <c r="M18" s="901"/>
      <c r="N18" s="225"/>
    </row>
    <row r="19" spans="1:16">
      <c r="A19" s="256" t="s">
        <v>10</v>
      </c>
      <c r="B19" s="257">
        <f>SUM(B7:B18)</f>
        <v>2792</v>
      </c>
      <c r="C19" s="258">
        <f t="shared" ref="C19:P19" si="1">SUM(C7:C18)</f>
        <v>1042.7267119999999</v>
      </c>
      <c r="D19" s="257">
        <f t="shared" si="1"/>
        <v>2874</v>
      </c>
      <c r="E19" s="258">
        <f t="shared" si="1"/>
        <v>1072.9023449999997</v>
      </c>
      <c r="F19" s="257"/>
      <c r="G19" s="257"/>
      <c r="H19" s="258">
        <f>SUM(H7:H18)</f>
        <v>0</v>
      </c>
      <c r="I19" s="287">
        <f t="shared" si="1"/>
        <v>222.46200000000005</v>
      </c>
      <c r="J19" s="288">
        <f t="shared" si="1"/>
        <v>0</v>
      </c>
      <c r="K19" s="258">
        <f t="shared" si="1"/>
        <v>1.2310000000000001</v>
      </c>
      <c r="L19" s="289">
        <f t="shared" si="1"/>
        <v>250.63600000000002</v>
      </c>
      <c r="M19" s="290">
        <f t="shared" si="1"/>
        <v>288</v>
      </c>
      <c r="N19" s="291">
        <f t="shared" si="1"/>
        <v>83.52000000000001</v>
      </c>
      <c r="O19" s="287">
        <f t="shared" si="1"/>
        <v>0</v>
      </c>
      <c r="P19" s="218">
        <f t="shared" si="1"/>
        <v>0</v>
      </c>
    </row>
    <row r="20" spans="1:16" ht="18.75">
      <c r="A20" s="1135" t="s">
        <v>353</v>
      </c>
      <c r="B20" s="1136"/>
      <c r="C20" s="1136"/>
      <c r="D20" s="1136"/>
      <c r="E20" s="1136"/>
      <c r="F20" s="1136"/>
      <c r="G20" s="1136"/>
      <c r="H20" s="1136"/>
      <c r="I20" s="1136"/>
      <c r="J20" s="1136"/>
      <c r="K20" s="1136"/>
      <c r="L20" s="1136"/>
      <c r="M20" s="1136"/>
      <c r="N20" s="1137"/>
    </row>
    <row r="21" spans="1:16" ht="15" customHeight="1">
      <c r="A21" s="1132" t="s">
        <v>331</v>
      </c>
      <c r="B21" s="1104" t="s">
        <v>247</v>
      </c>
      <c r="C21" s="1105"/>
      <c r="D21" s="1106" t="s">
        <v>332</v>
      </c>
      <c r="E21" s="1107"/>
      <c r="F21" s="1107" t="s">
        <v>333</v>
      </c>
      <c r="G21" s="1107"/>
      <c r="H21" s="903">
        <v>290</v>
      </c>
      <c r="I21" s="292"/>
      <c r="J21" s="292"/>
      <c r="K21" s="292"/>
      <c r="L21" s="292"/>
      <c r="M21" s="293"/>
      <c r="N21" s="294"/>
    </row>
    <row r="22" spans="1:16">
      <c r="A22" s="1133"/>
      <c r="B22" s="259" t="s">
        <v>21</v>
      </c>
      <c r="C22" s="260" t="s">
        <v>296</v>
      </c>
      <c r="D22" s="261" t="s">
        <v>21</v>
      </c>
      <c r="E22" s="907" t="s">
        <v>296</v>
      </c>
      <c r="F22" s="907" t="s">
        <v>21</v>
      </c>
      <c r="G22" s="907" t="s">
        <v>296</v>
      </c>
      <c r="H22" s="907"/>
      <c r="I22" s="907"/>
      <c r="J22" s="907"/>
      <c r="K22" s="907"/>
      <c r="L22" s="907"/>
      <c r="M22" s="295"/>
      <c r="N22" s="296"/>
    </row>
    <row r="23" spans="1:16">
      <c r="A23" s="1134"/>
      <c r="B23" s="262">
        <v>119</v>
      </c>
      <c r="C23" s="263">
        <f>+B23*H21/1000</f>
        <v>34.51</v>
      </c>
      <c r="D23" s="264"/>
      <c r="E23" s="265"/>
      <c r="F23" s="265"/>
      <c r="G23" s="265"/>
      <c r="H23" s="265"/>
      <c r="I23" s="265"/>
      <c r="J23" s="265"/>
      <c r="K23" s="265"/>
      <c r="L23" s="265"/>
      <c r="M23" s="265"/>
      <c r="N23" s="297"/>
    </row>
    <row r="24" spans="1:16">
      <c r="A24" s="266"/>
      <c r="B24" s="904"/>
      <c r="C24" s="904"/>
      <c r="D24" s="904"/>
      <c r="E24" s="904"/>
      <c r="F24" s="904"/>
      <c r="G24" s="904"/>
      <c r="H24" s="904"/>
      <c r="I24" s="904"/>
      <c r="J24" s="904"/>
      <c r="K24" s="904"/>
      <c r="L24" s="904"/>
      <c r="M24" s="904"/>
      <c r="N24" s="905"/>
    </row>
    <row r="25" spans="1:16">
      <c r="A25" s="899" t="s">
        <v>494</v>
      </c>
      <c r="B25" s="267">
        <f>+[1]GROSS!H36</f>
        <v>1279</v>
      </c>
      <c r="C25" s="268">
        <f>+B25*H21/1000</f>
        <v>370.91</v>
      </c>
      <c r="D25" s="267">
        <f>+[1]GROSS!K36</f>
        <v>1110</v>
      </c>
      <c r="E25" s="268">
        <f>+D25*H21/1000</f>
        <v>321.89999999999998</v>
      </c>
      <c r="F25" s="894">
        <f>+B23+B25-D25</f>
        <v>288</v>
      </c>
      <c r="G25" s="254">
        <f>+C23+C25-E25</f>
        <v>83.520000000000039</v>
      </c>
      <c r="H25" s="903"/>
      <c r="I25" s="903"/>
      <c r="J25" s="903"/>
      <c r="K25" s="903"/>
      <c r="L25" s="903"/>
      <c r="M25" s="903"/>
      <c r="N25" s="298"/>
    </row>
    <row r="26" spans="1:16">
      <c r="A26" s="248" t="s">
        <v>495</v>
      </c>
      <c r="B26" s="267">
        <f>+[2]GROSS!H37</f>
        <v>1344</v>
      </c>
      <c r="C26" s="268">
        <f>+B26*H21/1000</f>
        <v>389.76</v>
      </c>
      <c r="D26" s="267">
        <f>+[2]GROSS!K37</f>
        <v>1418</v>
      </c>
      <c r="E26" s="268">
        <f>+D26*H21/1000</f>
        <v>411.22</v>
      </c>
      <c r="F26" s="269">
        <f>+F25+B26-D26</f>
        <v>214</v>
      </c>
      <c r="G26" s="254">
        <f>+G25+C26-E26</f>
        <v>62.06</v>
      </c>
      <c r="H26" s="268"/>
      <c r="I26" s="907"/>
      <c r="J26" s="907"/>
      <c r="K26" s="907"/>
      <c r="L26" s="907"/>
      <c r="M26" s="907"/>
      <c r="N26" s="260"/>
    </row>
    <row r="27" spans="1:16">
      <c r="A27" s="248" t="s">
        <v>496</v>
      </c>
      <c r="B27" s="267">
        <f>+[3]GROSS!H37</f>
        <v>1819</v>
      </c>
      <c r="C27" s="268">
        <f>+B27*H21/1000</f>
        <v>527.51</v>
      </c>
      <c r="D27" s="267">
        <f>+[3]GROSS!K37</f>
        <v>1502</v>
      </c>
      <c r="E27" s="268">
        <f>+D27*H21/1000</f>
        <v>435.58</v>
      </c>
      <c r="F27" s="269">
        <f t="shared" ref="F27:G36" si="2">+F26+B27-D27</f>
        <v>531</v>
      </c>
      <c r="G27" s="254">
        <f t="shared" si="2"/>
        <v>153.98999999999995</v>
      </c>
      <c r="H27" s="268"/>
      <c r="I27" s="299"/>
      <c r="J27" s="299"/>
      <c r="K27" s="299"/>
      <c r="L27" s="299"/>
      <c r="M27" s="299"/>
      <c r="N27" s="300"/>
    </row>
    <row r="28" spans="1:16">
      <c r="A28" s="248" t="s">
        <v>497</v>
      </c>
      <c r="B28" s="267">
        <f>+[4]GROSS!H37</f>
        <v>1839</v>
      </c>
      <c r="C28" s="268">
        <f>+B28*290/1000</f>
        <v>533.30999999999995</v>
      </c>
      <c r="D28" s="267">
        <f>+'[4]TYPE A GOV'!K40</f>
        <v>1820</v>
      </c>
      <c r="E28" s="268">
        <f>+D28*290/1000</f>
        <v>527.79999999999995</v>
      </c>
      <c r="F28" s="269">
        <f t="shared" si="2"/>
        <v>550</v>
      </c>
      <c r="G28" s="254">
        <f t="shared" si="2"/>
        <v>159.5</v>
      </c>
      <c r="H28" s="270"/>
      <c r="I28" s="299"/>
      <c r="J28" s="299"/>
      <c r="K28" s="299"/>
      <c r="L28" s="299"/>
      <c r="M28" s="907"/>
      <c r="N28" s="260"/>
    </row>
    <row r="29" spans="1:16">
      <c r="A29" s="248" t="s">
        <v>498</v>
      </c>
      <c r="B29" s="267">
        <f>+'[5]TYPE A GOV'!G40</f>
        <v>2116</v>
      </c>
      <c r="C29" s="268">
        <f t="shared" ref="C29:E36" si="3">+B29*290/1000</f>
        <v>613.64</v>
      </c>
      <c r="D29" s="267">
        <f>+'[5]TYPE A GOV'!K40</f>
        <v>2114</v>
      </c>
      <c r="E29" s="268">
        <f t="shared" si="3"/>
        <v>613.05999999999995</v>
      </c>
      <c r="F29" s="269">
        <f t="shared" si="2"/>
        <v>552</v>
      </c>
      <c r="G29" s="254">
        <f t="shared" si="2"/>
        <v>160.08000000000004</v>
      </c>
      <c r="H29" s="270"/>
      <c r="I29" s="907"/>
      <c r="J29" s="907"/>
      <c r="K29" s="907"/>
      <c r="L29" s="907"/>
      <c r="M29" s="907"/>
      <c r="N29" s="260"/>
    </row>
    <row r="30" spans="1:16">
      <c r="A30" s="248" t="s">
        <v>499</v>
      </c>
      <c r="B30" s="267">
        <f>+'[6]TYPE A GOV'!G40</f>
        <v>2082</v>
      </c>
      <c r="C30" s="268">
        <f t="shared" si="3"/>
        <v>603.78</v>
      </c>
      <c r="D30" s="267">
        <f>+'[6]TYPE A GOV'!K40</f>
        <v>2218</v>
      </c>
      <c r="E30" s="268">
        <f>+D30*H21/1000</f>
        <v>643.22</v>
      </c>
      <c r="F30" s="269">
        <f t="shared" si="2"/>
        <v>416</v>
      </c>
      <c r="G30" s="254">
        <f t="shared" si="2"/>
        <v>120.63999999999999</v>
      </c>
      <c r="H30" s="270"/>
      <c r="I30" s="907"/>
      <c r="J30" s="907"/>
      <c r="K30" s="907"/>
      <c r="L30" s="907"/>
      <c r="M30" s="299"/>
      <c r="N30" s="260"/>
    </row>
    <row r="31" spans="1:16">
      <c r="A31" s="910" t="s">
        <v>500</v>
      </c>
      <c r="B31" s="911">
        <f>+[7]GROSS!H37</f>
        <v>1408</v>
      </c>
      <c r="C31" s="912">
        <f>+[7]GROSS!J37</f>
        <v>443.38249999999999</v>
      </c>
      <c r="D31" s="911">
        <f>+[7]GROSS!K37</f>
        <v>1561</v>
      </c>
      <c r="E31" s="912">
        <f>+[7]GROSS!M37</f>
        <v>487.7525</v>
      </c>
      <c r="F31" s="913">
        <f t="shared" si="2"/>
        <v>263</v>
      </c>
      <c r="G31" s="707">
        <f t="shared" si="2"/>
        <v>76.270000000000039</v>
      </c>
      <c r="H31" s="270"/>
      <c r="I31" s="907"/>
      <c r="J31" s="907"/>
      <c r="K31" s="907"/>
      <c r="L31" s="907"/>
      <c r="M31" s="907"/>
      <c r="N31" s="260"/>
      <c r="O31" t="s">
        <v>518</v>
      </c>
    </row>
    <row r="32" spans="1:16">
      <c r="A32" s="248" t="s">
        <v>501</v>
      </c>
      <c r="B32" s="267">
        <f>+[8]GROSS!H37</f>
        <v>1595</v>
      </c>
      <c r="C32" s="268">
        <f t="shared" si="3"/>
        <v>462.55</v>
      </c>
      <c r="D32" s="267">
        <f>+[8]GROSS!K37</f>
        <v>1493</v>
      </c>
      <c r="E32" s="268">
        <f>+D32*H21/1000</f>
        <v>432.97</v>
      </c>
      <c r="F32" s="269">
        <f t="shared" si="2"/>
        <v>365</v>
      </c>
      <c r="G32" s="254">
        <f t="shared" si="2"/>
        <v>105.85000000000002</v>
      </c>
      <c r="H32" s="270"/>
      <c r="I32" s="907"/>
      <c r="J32" s="907"/>
      <c r="K32" s="907"/>
      <c r="L32" s="907"/>
      <c r="M32" s="907"/>
      <c r="N32" s="260"/>
    </row>
    <row r="33" spans="1:14">
      <c r="A33" s="248" t="s">
        <v>502</v>
      </c>
      <c r="B33" s="267">
        <f>+GROSS!H37</f>
        <v>654</v>
      </c>
      <c r="C33" s="268">
        <f t="shared" si="3"/>
        <v>189.66</v>
      </c>
      <c r="D33" s="267">
        <f>+GROSS!K37</f>
        <v>957</v>
      </c>
      <c r="E33" s="268">
        <f>+D33*290/1000</f>
        <v>277.52999999999997</v>
      </c>
      <c r="F33" s="269">
        <f t="shared" si="2"/>
        <v>62</v>
      </c>
      <c r="G33" s="254">
        <f t="shared" si="2"/>
        <v>17.980000000000018</v>
      </c>
      <c r="H33" s="270"/>
      <c r="I33" s="907"/>
      <c r="J33" s="907"/>
      <c r="K33" s="907"/>
      <c r="L33" s="907"/>
      <c r="M33" s="907"/>
      <c r="N33" s="260"/>
    </row>
    <row r="34" spans="1:14">
      <c r="A34" s="248" t="s">
        <v>503</v>
      </c>
      <c r="B34" s="267"/>
      <c r="C34" s="268">
        <f t="shared" si="3"/>
        <v>0</v>
      </c>
      <c r="D34" s="267"/>
      <c r="E34" s="268">
        <f t="shared" ref="E34:E36" si="4">+D34*H30/1000</f>
        <v>0</v>
      </c>
      <c r="F34" s="269">
        <f t="shared" si="2"/>
        <v>62</v>
      </c>
      <c r="G34" s="254">
        <f t="shared" si="2"/>
        <v>17.980000000000018</v>
      </c>
      <c r="H34" s="270"/>
      <c r="I34" s="907"/>
      <c r="J34" s="907"/>
      <c r="K34" s="907"/>
      <c r="L34" s="907"/>
      <c r="M34" s="907"/>
      <c r="N34" s="260"/>
    </row>
    <row r="35" spans="1:14">
      <c r="A35" s="248" t="s">
        <v>504</v>
      </c>
      <c r="B35" s="267"/>
      <c r="C35" s="268">
        <f t="shared" si="3"/>
        <v>0</v>
      </c>
      <c r="D35" s="267"/>
      <c r="E35" s="268">
        <f t="shared" si="4"/>
        <v>0</v>
      </c>
      <c r="F35" s="269">
        <f t="shared" si="2"/>
        <v>62</v>
      </c>
      <c r="G35" s="254">
        <f t="shared" si="2"/>
        <v>17.980000000000018</v>
      </c>
      <c r="H35" s="270"/>
      <c r="I35" s="907"/>
      <c r="J35" s="907"/>
      <c r="K35" s="907"/>
      <c r="L35" s="907"/>
      <c r="M35" s="907"/>
      <c r="N35" s="260"/>
    </row>
    <row r="36" spans="1:14">
      <c r="A36" s="255" t="s">
        <v>505</v>
      </c>
      <c r="B36" s="267"/>
      <c r="C36" s="268">
        <f t="shared" si="3"/>
        <v>0</v>
      </c>
      <c r="D36" s="267"/>
      <c r="E36" s="268">
        <f t="shared" si="4"/>
        <v>0</v>
      </c>
      <c r="F36" s="269">
        <f t="shared" si="2"/>
        <v>62</v>
      </c>
      <c r="G36" s="254">
        <f t="shared" si="2"/>
        <v>17.980000000000018</v>
      </c>
      <c r="H36" s="271"/>
      <c r="I36" s="265"/>
      <c r="J36" s="265"/>
      <c r="K36" s="265"/>
      <c r="L36" s="265"/>
      <c r="M36" s="265"/>
      <c r="N36" s="297"/>
    </row>
    <row r="37" spans="1:14" ht="20.100000000000001" customHeight="1">
      <c r="A37" s="272" t="s">
        <v>10</v>
      </c>
      <c r="B37" s="273">
        <f>SUM(B25:B36)</f>
        <v>14136</v>
      </c>
      <c r="C37" s="274">
        <f t="shared" ref="C37:N37" si="5">SUM(C25:C36)</f>
        <v>4134.5025000000005</v>
      </c>
      <c r="D37" s="273">
        <f t="shared" si="5"/>
        <v>14193</v>
      </c>
      <c r="E37" s="274">
        <f t="shared" si="5"/>
        <v>4151.0324999999993</v>
      </c>
      <c r="F37" s="273"/>
      <c r="G37" s="273"/>
      <c r="H37" s="273"/>
      <c r="I37" s="273">
        <f t="shared" si="5"/>
        <v>0</v>
      </c>
      <c r="J37" s="273"/>
      <c r="K37" s="273"/>
      <c r="L37" s="273"/>
      <c r="M37" s="273">
        <f t="shared" si="5"/>
        <v>0</v>
      </c>
      <c r="N37" s="301">
        <f t="shared" si="5"/>
        <v>0</v>
      </c>
    </row>
    <row r="38" spans="1:14" ht="17.25" hidden="1" customHeight="1">
      <c r="A38" s="1108" t="s">
        <v>354</v>
      </c>
      <c r="B38" s="1109"/>
      <c r="C38" s="1109"/>
      <c r="D38" s="1109"/>
      <c r="E38" s="1109"/>
      <c r="F38" s="1109"/>
      <c r="G38" s="1109"/>
      <c r="H38" s="1109"/>
      <c r="I38" s="1109"/>
      <c r="J38" s="1109"/>
      <c r="K38" s="1109"/>
      <c r="L38" s="1109"/>
      <c r="M38" s="1109"/>
      <c r="N38" s="1110"/>
    </row>
    <row r="39" spans="1:14" ht="15" hidden="1" customHeight="1">
      <c r="A39" s="1132" t="s">
        <v>331</v>
      </c>
      <c r="B39" s="1104" t="s">
        <v>247</v>
      </c>
      <c r="C39" s="1105"/>
      <c r="D39" s="1125" t="s">
        <v>332</v>
      </c>
      <c r="E39" s="1126"/>
      <c r="F39" s="1126" t="s">
        <v>333</v>
      </c>
      <c r="G39" s="1126"/>
      <c r="H39" s="902"/>
      <c r="I39" s="302"/>
      <c r="J39" s="302"/>
      <c r="K39" s="302"/>
      <c r="L39" s="302"/>
      <c r="M39" s="303"/>
      <c r="N39" s="304"/>
    </row>
    <row r="40" spans="1:14" ht="15" hidden="1" customHeight="1">
      <c r="A40" s="1133"/>
      <c r="B40" s="259" t="s">
        <v>21</v>
      </c>
      <c r="C40" s="260" t="s">
        <v>296</v>
      </c>
      <c r="D40" s="261" t="s">
        <v>21</v>
      </c>
      <c r="E40" s="907" t="s">
        <v>296</v>
      </c>
      <c r="F40" s="907" t="s">
        <v>21</v>
      </c>
      <c r="G40" s="907" t="s">
        <v>296</v>
      </c>
      <c r="H40" s="265"/>
      <c r="I40" s="265"/>
      <c r="J40" s="265"/>
      <c r="K40" s="265"/>
      <c r="L40" s="265"/>
      <c r="M40" s="305"/>
      <c r="N40" s="306"/>
    </row>
    <row r="41" spans="1:14" ht="15.75" hidden="1" customHeight="1">
      <c r="A41" s="1134"/>
      <c r="B41" s="262"/>
      <c r="C41" s="275"/>
      <c r="D41" s="264"/>
      <c r="E41" s="265"/>
      <c r="F41" s="265"/>
      <c r="G41" s="276"/>
      <c r="H41" s="276"/>
      <c r="I41" s="265"/>
      <c r="J41" s="265"/>
      <c r="K41" s="265"/>
      <c r="L41" s="265"/>
      <c r="M41" s="265"/>
      <c r="N41" s="297"/>
    </row>
    <row r="42" spans="1:14" ht="3" hidden="1" customHeight="1">
      <c r="A42" s="266"/>
      <c r="B42" s="904"/>
      <c r="C42" s="904"/>
      <c r="D42" s="904"/>
      <c r="E42" s="904"/>
      <c r="F42" s="904"/>
      <c r="G42" s="904"/>
      <c r="H42" s="904"/>
      <c r="I42" s="307"/>
      <c r="J42" s="308"/>
      <c r="K42" s="308"/>
      <c r="L42" s="308"/>
      <c r="M42" s="273"/>
      <c r="N42" s="301"/>
    </row>
    <row r="43" spans="1:14" ht="15" hidden="1" customHeight="1">
      <c r="A43" s="899" t="s">
        <v>341</v>
      </c>
      <c r="B43" s="903"/>
      <c r="C43" s="903"/>
      <c r="D43" s="903"/>
      <c r="E43" s="903"/>
      <c r="F43" s="894">
        <f t="shared" ref="F43:G43" si="6">+B41+B43-D43</f>
        <v>0</v>
      </c>
      <c r="G43" s="254">
        <f t="shared" si="6"/>
        <v>0</v>
      </c>
      <c r="H43" s="277"/>
      <c r="I43" s="903"/>
      <c r="J43" s="903"/>
      <c r="K43" s="903"/>
      <c r="L43" s="903"/>
      <c r="M43" s="903"/>
      <c r="N43" s="298"/>
    </row>
    <row r="44" spans="1:14" ht="15" hidden="1" customHeight="1">
      <c r="A44" s="248" t="s">
        <v>342</v>
      </c>
      <c r="B44" s="903"/>
      <c r="C44" s="268"/>
      <c r="D44" s="903"/>
      <c r="E44" s="268"/>
      <c r="F44" s="894">
        <f>+F43+B44-D44</f>
        <v>0</v>
      </c>
      <c r="G44" s="254">
        <f>+G43+C44-E44</f>
        <v>0</v>
      </c>
      <c r="H44" s="278"/>
      <c r="I44" s="907"/>
      <c r="J44" s="907"/>
      <c r="K44" s="907"/>
      <c r="L44" s="907"/>
      <c r="M44" s="907"/>
      <c r="N44" s="260"/>
    </row>
    <row r="45" spans="1:14" ht="15" hidden="1" customHeight="1">
      <c r="A45" s="248" t="s">
        <v>343</v>
      </c>
      <c r="B45" s="903"/>
      <c r="C45" s="903"/>
      <c r="D45" s="903"/>
      <c r="E45" s="903"/>
      <c r="F45" s="894">
        <f t="shared" ref="F45:G54" si="7">+F44+B45-D45</f>
        <v>0</v>
      </c>
      <c r="G45" s="254">
        <f t="shared" si="7"/>
        <v>0</v>
      </c>
      <c r="H45" s="268"/>
      <c r="I45" s="299"/>
      <c r="J45" s="299"/>
      <c r="K45" s="299"/>
      <c r="L45" s="299"/>
      <c r="M45" s="299"/>
      <c r="N45" s="300"/>
    </row>
    <row r="46" spans="1:14" ht="15" hidden="1" customHeight="1">
      <c r="A46" s="248" t="s">
        <v>344</v>
      </c>
      <c r="B46" s="903"/>
      <c r="C46" s="903"/>
      <c r="D46" s="903"/>
      <c r="E46" s="903"/>
      <c r="F46" s="894">
        <f t="shared" si="7"/>
        <v>0</v>
      </c>
      <c r="G46" s="254">
        <f t="shared" si="7"/>
        <v>0</v>
      </c>
      <c r="H46" s="270"/>
      <c r="I46" s="299"/>
      <c r="J46" s="299"/>
      <c r="K46" s="299"/>
      <c r="L46" s="299"/>
      <c r="M46" s="907"/>
      <c r="N46" s="260"/>
    </row>
    <row r="47" spans="1:14" ht="15" hidden="1" customHeight="1">
      <c r="A47" s="248" t="s">
        <v>345</v>
      </c>
      <c r="B47" s="903"/>
      <c r="C47" s="268"/>
      <c r="D47" s="903"/>
      <c r="E47" s="268"/>
      <c r="F47" s="894">
        <f t="shared" si="7"/>
        <v>0</v>
      </c>
      <c r="G47" s="254">
        <f t="shared" si="7"/>
        <v>0</v>
      </c>
      <c r="H47" s="270"/>
      <c r="I47" s="907"/>
      <c r="J47" s="907"/>
      <c r="K47" s="907"/>
      <c r="L47" s="907"/>
      <c r="M47" s="907"/>
      <c r="N47" s="260"/>
    </row>
    <row r="48" spans="1:14" ht="15" hidden="1" customHeight="1">
      <c r="A48" s="248" t="s">
        <v>346</v>
      </c>
      <c r="B48" s="903"/>
      <c r="C48" s="903"/>
      <c r="D48" s="903"/>
      <c r="E48" s="903"/>
      <c r="F48" s="894">
        <f t="shared" si="7"/>
        <v>0</v>
      </c>
      <c r="G48" s="254">
        <f t="shared" si="7"/>
        <v>0</v>
      </c>
      <c r="H48" s="270"/>
      <c r="I48" s="907"/>
      <c r="J48" s="907"/>
      <c r="K48" s="907"/>
      <c r="L48" s="907"/>
      <c r="M48" s="299"/>
      <c r="N48" s="260"/>
    </row>
    <row r="49" spans="1:14" ht="15" hidden="1" customHeight="1">
      <c r="A49" s="248" t="s">
        <v>347</v>
      </c>
      <c r="B49" s="903"/>
      <c r="C49" s="903"/>
      <c r="D49" s="903"/>
      <c r="E49" s="903"/>
      <c r="F49" s="894">
        <f t="shared" si="7"/>
        <v>0</v>
      </c>
      <c r="G49" s="254">
        <f t="shared" si="7"/>
        <v>0</v>
      </c>
      <c r="H49" s="270"/>
      <c r="I49" s="907"/>
      <c r="J49" s="907"/>
      <c r="K49" s="907"/>
      <c r="L49" s="907"/>
      <c r="M49" s="907"/>
      <c r="N49" s="260"/>
    </row>
    <row r="50" spans="1:14" ht="15" hidden="1" customHeight="1">
      <c r="A50" s="248" t="s">
        <v>348</v>
      </c>
      <c r="B50" s="903"/>
      <c r="C50" s="903"/>
      <c r="D50" s="903"/>
      <c r="E50" s="268"/>
      <c r="F50" s="894">
        <f t="shared" si="7"/>
        <v>0</v>
      </c>
      <c r="G50" s="254">
        <f t="shared" si="7"/>
        <v>0</v>
      </c>
      <c r="H50" s="268"/>
      <c r="I50" s="907"/>
      <c r="J50" s="907"/>
      <c r="K50" s="907"/>
      <c r="L50" s="907"/>
      <c r="M50" s="907"/>
      <c r="N50" s="260"/>
    </row>
    <row r="51" spans="1:14" ht="15" hidden="1" customHeight="1">
      <c r="A51" s="248" t="s">
        <v>349</v>
      </c>
      <c r="B51" s="903"/>
      <c r="C51" s="903"/>
      <c r="D51" s="903"/>
      <c r="E51" s="903"/>
      <c r="F51" s="894">
        <f t="shared" si="7"/>
        <v>0</v>
      </c>
      <c r="G51" s="254">
        <f t="shared" si="7"/>
        <v>0</v>
      </c>
      <c r="H51" s="268"/>
      <c r="I51" s="907"/>
      <c r="J51" s="907"/>
      <c r="K51" s="907"/>
      <c r="L51" s="907"/>
      <c r="M51" s="907"/>
      <c r="N51" s="260"/>
    </row>
    <row r="52" spans="1:14" ht="15" hidden="1" customHeight="1">
      <c r="A52" s="248" t="s">
        <v>350</v>
      </c>
      <c r="B52" s="903"/>
      <c r="C52" s="903"/>
      <c r="D52" s="903"/>
      <c r="E52" s="903"/>
      <c r="F52" s="894">
        <f t="shared" si="7"/>
        <v>0</v>
      </c>
      <c r="G52" s="254">
        <f t="shared" si="7"/>
        <v>0</v>
      </c>
      <c r="H52" s="268"/>
      <c r="I52" s="907"/>
      <c r="J52" s="907"/>
      <c r="K52" s="907"/>
      <c r="L52" s="907"/>
      <c r="M52" s="907"/>
      <c r="N52" s="260"/>
    </row>
    <row r="53" spans="1:14" ht="15" hidden="1" customHeight="1">
      <c r="A53" s="248" t="s">
        <v>351</v>
      </c>
      <c r="B53" s="903"/>
      <c r="C53" s="903"/>
      <c r="D53" s="903"/>
      <c r="E53" s="903"/>
      <c r="F53" s="894">
        <f t="shared" si="7"/>
        <v>0</v>
      </c>
      <c r="G53" s="254">
        <f t="shared" si="7"/>
        <v>0</v>
      </c>
      <c r="H53" s="268"/>
      <c r="I53" s="907"/>
      <c r="J53" s="907"/>
      <c r="K53" s="907"/>
      <c r="L53" s="907"/>
      <c r="M53" s="907"/>
      <c r="N53" s="260"/>
    </row>
    <row r="54" spans="1:14" ht="15.75" hidden="1" customHeight="1">
      <c r="A54" s="255" t="s">
        <v>352</v>
      </c>
      <c r="B54" s="903"/>
      <c r="C54" s="903"/>
      <c r="D54" s="903"/>
      <c r="E54" s="903"/>
      <c r="F54" s="894">
        <f t="shared" si="7"/>
        <v>0</v>
      </c>
      <c r="G54" s="254">
        <f t="shared" si="7"/>
        <v>0</v>
      </c>
      <c r="H54" s="279"/>
      <c r="I54" s="265"/>
      <c r="J54" s="265"/>
      <c r="K54" s="265"/>
      <c r="L54" s="265"/>
      <c r="M54" s="265"/>
      <c r="N54" s="297"/>
    </row>
    <row r="55" spans="1:14" ht="15.75" hidden="1" customHeight="1">
      <c r="A55" s="272" t="s">
        <v>10</v>
      </c>
      <c r="B55" s="273">
        <f>SUM(B43:B54)</f>
        <v>0</v>
      </c>
      <c r="C55" s="274">
        <f t="shared" ref="C55:N55" si="8">SUM(C43:C54)</f>
        <v>0</v>
      </c>
      <c r="D55" s="273">
        <f t="shared" si="8"/>
        <v>0</v>
      </c>
      <c r="E55" s="274">
        <f t="shared" si="8"/>
        <v>0</v>
      </c>
      <c r="F55" s="273"/>
      <c r="G55" s="273"/>
      <c r="H55" s="273"/>
      <c r="I55" s="273">
        <f t="shared" si="8"/>
        <v>0</v>
      </c>
      <c r="J55" s="273"/>
      <c r="K55" s="273"/>
      <c r="L55" s="273"/>
      <c r="M55" s="273">
        <f t="shared" si="8"/>
        <v>0</v>
      </c>
      <c r="N55" s="301">
        <f t="shared" si="8"/>
        <v>0</v>
      </c>
    </row>
    <row r="56" spans="1:14" ht="15" hidden="1" customHeight="1"/>
    <row r="57" spans="1:14">
      <c r="A57" s="1127"/>
      <c r="B57" s="1128"/>
      <c r="C57" s="1128"/>
      <c r="D57" s="1128"/>
      <c r="E57" s="1128"/>
      <c r="F57" s="1128"/>
      <c r="G57" s="1129"/>
    </row>
    <row r="59" spans="1:14" ht="15" customHeight="1">
      <c r="A59" s="1111"/>
      <c r="B59" s="1111"/>
      <c r="C59" s="1111"/>
      <c r="D59" s="1111"/>
      <c r="E59" s="1111"/>
      <c r="F59" s="1111"/>
      <c r="G59" s="1111"/>
      <c r="H59" s="1111"/>
      <c r="I59" s="1111"/>
      <c r="J59" s="1111"/>
      <c r="K59" s="1111"/>
      <c r="L59" s="1111"/>
      <c r="M59" s="1111"/>
    </row>
    <row r="60" spans="1:14" ht="15.75" customHeight="1">
      <c r="A60" s="1111"/>
      <c r="B60" s="1111"/>
      <c r="C60" s="1111"/>
      <c r="D60" s="1111"/>
      <c r="E60" s="1111"/>
      <c r="F60" s="1111"/>
      <c r="G60" s="1111"/>
      <c r="H60" s="1111"/>
      <c r="I60" s="1111"/>
      <c r="J60" s="1111"/>
      <c r="K60" s="1111"/>
      <c r="L60" s="1111"/>
      <c r="M60" s="1111"/>
    </row>
    <row r="61" spans="1:14">
      <c r="A61" s="1111"/>
      <c r="B61" s="1111"/>
      <c r="C61" s="1111"/>
      <c r="D61" s="1111"/>
      <c r="E61" s="1111"/>
      <c r="F61" s="1111"/>
      <c r="G61" s="1111"/>
      <c r="H61" s="1111"/>
      <c r="I61" s="1111"/>
      <c r="J61" s="1111"/>
      <c r="K61" s="1111"/>
      <c r="L61" s="1111"/>
      <c r="M61" s="1111"/>
    </row>
  </sheetData>
  <sheetProtection algorithmName="SHA-512" hashValue="7b5mxtm1h90kQoQ36LGZwuYn7NfPc/sC0BlfReHdx3lN4j2AqUPC01iENsyNyrC9C7Odf8/YZvR1paxRsYxdTQ==" saltValue="wzoebgJxqQaP0KLNN6NfVQ==" spinCount="100000" sheet="1" objects="1" scenarios="1"/>
  <mergeCells count="27">
    <mergeCell ref="A59:M61"/>
    <mergeCell ref="A2:G2"/>
    <mergeCell ref="H2:N2"/>
    <mergeCell ref="B3:C3"/>
    <mergeCell ref="D3:E3"/>
    <mergeCell ref="F3:G3"/>
    <mergeCell ref="M3:M5"/>
    <mergeCell ref="N3:N5"/>
    <mergeCell ref="B39:C39"/>
    <mergeCell ref="D39:E39"/>
    <mergeCell ref="F39:G39"/>
    <mergeCell ref="A57:G57"/>
    <mergeCell ref="A3:A5"/>
    <mergeCell ref="A21:A23"/>
    <mergeCell ref="A39:A41"/>
    <mergeCell ref="A20:N20"/>
    <mergeCell ref="B21:C21"/>
    <mergeCell ref="D21:E21"/>
    <mergeCell ref="F21:G21"/>
    <mergeCell ref="A38:N38"/>
    <mergeCell ref="O3:O5"/>
    <mergeCell ref="P3:P5"/>
    <mergeCell ref="H4:H5"/>
    <mergeCell ref="I3:I5"/>
    <mergeCell ref="J3:J5"/>
    <mergeCell ref="K3:K5"/>
    <mergeCell ref="L3:L5"/>
  </mergeCells>
  <pageMargins left="0.7" right="0.7" top="0.75" bottom="0.75" header="0.3" footer="0.3"/>
  <pageSetup paperSize="9" scale="7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56"/>
  <sheetViews>
    <sheetView workbookViewId="0">
      <pane ySplit="5" topLeftCell="A6" activePane="bottomLeft" state="frozen"/>
      <selection pane="bottomLeft" sqref="A1:XFD1048576"/>
    </sheetView>
  </sheetViews>
  <sheetFormatPr defaultColWidth="9" defaultRowHeight="15"/>
  <cols>
    <col min="1" max="1" width="6.5703125" customWidth="1"/>
    <col min="2" max="2" width="15.140625" customWidth="1"/>
    <col min="3" max="3" width="10.5703125" customWidth="1"/>
    <col min="4" max="4" width="7.28515625" customWidth="1"/>
    <col min="5" max="5" width="11.140625" customWidth="1"/>
    <col min="6" max="6" width="7.5703125" customWidth="1"/>
    <col min="7" max="7" width="9.7109375" customWidth="1"/>
    <col min="8" max="8" width="7.140625" customWidth="1"/>
    <col min="9" max="9" width="10" customWidth="1"/>
    <col min="10" max="10" width="8.42578125" customWidth="1"/>
    <col min="11" max="11" width="8" customWidth="1"/>
    <col min="12" max="12" width="7.5703125" customWidth="1"/>
    <col min="13" max="13" width="8" customWidth="1"/>
    <col min="14" max="14" width="7.140625" customWidth="1"/>
    <col min="15" max="15" width="8.140625" customWidth="1"/>
    <col min="16" max="16" width="8.28515625" customWidth="1"/>
    <col min="17" max="17" width="9.85546875" customWidth="1"/>
    <col min="18" max="18" width="7.42578125" customWidth="1"/>
    <col min="19" max="19" width="8.5703125" customWidth="1"/>
  </cols>
  <sheetData>
    <row r="1" spans="1:20" ht="18">
      <c r="B1" s="1139" t="s">
        <v>355</v>
      </c>
      <c r="C1" s="1139"/>
      <c r="D1" s="1139"/>
      <c r="E1" s="1139"/>
      <c r="F1" s="1139"/>
      <c r="G1" s="1139"/>
      <c r="H1" s="1139"/>
      <c r="I1" s="1139"/>
      <c r="J1" s="1139"/>
      <c r="K1" s="1139"/>
      <c r="L1" s="1139"/>
      <c r="M1" s="1139"/>
      <c r="N1" s="1139"/>
      <c r="O1" s="1139"/>
      <c r="P1" s="1139"/>
      <c r="Q1" s="1139"/>
    </row>
    <row r="2" spans="1:20" ht="15.75">
      <c r="B2" s="1140" t="s">
        <v>506</v>
      </c>
      <c r="C2" s="1141"/>
      <c r="D2" s="1141"/>
      <c r="E2" s="1141"/>
      <c r="F2" s="1141"/>
      <c r="G2" s="1141"/>
      <c r="H2" s="1141"/>
      <c r="I2" s="1141"/>
      <c r="J2" s="1141"/>
      <c r="K2" s="1141"/>
      <c r="L2" s="1141"/>
      <c r="M2" s="1141"/>
      <c r="N2" s="1141"/>
      <c r="O2" s="1141"/>
      <c r="P2" s="1141"/>
      <c r="Q2" s="1141"/>
    </row>
    <row r="3" spans="1:20">
      <c r="B3" s="1142" t="s">
        <v>519</v>
      </c>
      <c r="C3" s="1143"/>
      <c r="D3" s="1143"/>
      <c r="E3" s="1143"/>
      <c r="F3" s="1143"/>
      <c r="G3" s="1143"/>
      <c r="H3" s="1143"/>
      <c r="I3" s="1143"/>
      <c r="J3" s="1143"/>
      <c r="K3" s="1143"/>
      <c r="L3" s="1143"/>
      <c r="M3" s="1143"/>
      <c r="N3" s="1143"/>
      <c r="O3" s="1143"/>
      <c r="P3" s="1143"/>
      <c r="Q3" s="1143"/>
    </row>
    <row r="4" spans="1:20">
      <c r="B4" s="167" t="s">
        <v>356</v>
      </c>
      <c r="C4" s="1145" t="s">
        <v>357</v>
      </c>
      <c r="D4" s="1144" t="s">
        <v>358</v>
      </c>
      <c r="E4" s="1144"/>
      <c r="F4" s="1144" t="s">
        <v>359</v>
      </c>
      <c r="G4" s="1144"/>
      <c r="H4" s="1144" t="s">
        <v>360</v>
      </c>
      <c r="I4" s="1144"/>
      <c r="J4" s="1144" t="s">
        <v>361</v>
      </c>
      <c r="K4" s="1144"/>
      <c r="L4" s="1144" t="s">
        <v>362</v>
      </c>
      <c r="M4" s="1144"/>
      <c r="N4" s="1144" t="s">
        <v>363</v>
      </c>
      <c r="O4" s="1144"/>
      <c r="P4" s="1144" t="s">
        <v>364</v>
      </c>
      <c r="Q4" s="1144"/>
    </row>
    <row r="5" spans="1:20" ht="30">
      <c r="A5" s="892" t="s">
        <v>102</v>
      </c>
      <c r="B5" s="889" t="s">
        <v>301</v>
      </c>
      <c r="C5" s="1144"/>
      <c r="D5" s="906" t="s">
        <v>365</v>
      </c>
      <c r="E5" s="889" t="s">
        <v>366</v>
      </c>
      <c r="F5" s="906" t="s">
        <v>365</v>
      </c>
      <c r="G5" s="889" t="s">
        <v>366</v>
      </c>
      <c r="H5" s="906" t="s">
        <v>365</v>
      </c>
      <c r="I5" s="889" t="s">
        <v>366</v>
      </c>
      <c r="J5" s="906" t="s">
        <v>365</v>
      </c>
      <c r="K5" s="889" t="s">
        <v>366</v>
      </c>
      <c r="L5" s="906" t="s">
        <v>365</v>
      </c>
      <c r="M5" s="889" t="s">
        <v>366</v>
      </c>
      <c r="N5" s="906" t="s">
        <v>365</v>
      </c>
      <c r="O5" s="889" t="s">
        <v>366</v>
      </c>
      <c r="P5" s="906" t="s">
        <v>365</v>
      </c>
      <c r="Q5" s="889" t="s">
        <v>366</v>
      </c>
      <c r="R5" s="208" t="s">
        <v>367</v>
      </c>
      <c r="S5" s="10" t="s">
        <v>368</v>
      </c>
      <c r="T5" s="208" t="s">
        <v>369</v>
      </c>
    </row>
    <row r="6" spans="1:20" ht="37.5">
      <c r="A6" s="892">
        <v>1</v>
      </c>
      <c r="B6" s="242" t="s">
        <v>370</v>
      </c>
      <c r="C6" s="242">
        <v>331.69499999999999</v>
      </c>
      <c r="D6" s="242">
        <v>81</v>
      </c>
      <c r="E6" s="893">
        <f>+D6*C6/1000</f>
        <v>26.867294999999999</v>
      </c>
      <c r="F6" s="172">
        <f>1395+GROSS!H5</f>
        <v>1484</v>
      </c>
      <c r="G6" s="893">
        <f>+F6*C6/1000</f>
        <v>492.23538000000002</v>
      </c>
      <c r="H6" s="172">
        <f>1433+GROSS!K5</f>
        <v>1548</v>
      </c>
      <c r="I6" s="893">
        <f>H6*C6/1000</f>
        <v>513.46385999999995</v>
      </c>
      <c r="J6" s="889"/>
      <c r="K6" s="893">
        <f>+J6*C6/1000</f>
        <v>0</v>
      </c>
      <c r="L6" s="889"/>
      <c r="M6" s="893">
        <f>+L6*C6/1000</f>
        <v>0</v>
      </c>
      <c r="N6" s="889"/>
      <c r="O6" s="893">
        <f>+N6*C6/1000</f>
        <v>0</v>
      </c>
      <c r="P6" s="889">
        <f>+D6+F6-H6+J6+L6-N6</f>
        <v>17</v>
      </c>
      <c r="Q6" s="893">
        <f>+E6+G6-I6+K6+M6-O6</f>
        <v>5.6388150000000223</v>
      </c>
      <c r="R6" s="893">
        <f>+F6*T6/1000</f>
        <v>3.6921919999999999</v>
      </c>
      <c r="S6" s="893">
        <f>+H6*T6/1000</f>
        <v>3.8514240000000002</v>
      </c>
      <c r="T6" s="889">
        <v>2.488</v>
      </c>
    </row>
    <row r="7" spans="1:20" ht="37.5">
      <c r="A7" s="892">
        <v>2</v>
      </c>
      <c r="B7" s="242" t="s">
        <v>371</v>
      </c>
      <c r="C7" s="242">
        <v>437.38400000000001</v>
      </c>
      <c r="D7" s="242">
        <v>50</v>
      </c>
      <c r="E7" s="893">
        <f>+D7*C7/1000</f>
        <v>21.869199999999999</v>
      </c>
      <c r="F7" s="172">
        <f>819+GROSS!H6</f>
        <v>898</v>
      </c>
      <c r="G7" s="893">
        <f>+F7*C7/1000+0.005</f>
        <v>392.77583199999998</v>
      </c>
      <c r="H7" s="172">
        <f>829+GROSS!K6</f>
        <v>930</v>
      </c>
      <c r="I7" s="893">
        <f>H7*C7/1000+0.005</f>
        <v>406.77211999999997</v>
      </c>
      <c r="J7" s="889"/>
      <c r="K7" s="893">
        <f t="shared" ref="K7:K20" si="0">+J7*C7/1000</f>
        <v>0</v>
      </c>
      <c r="L7" s="889"/>
      <c r="M7" s="893">
        <f t="shared" ref="M7:O31" si="1">+L7*C7/1000</f>
        <v>0</v>
      </c>
      <c r="N7" s="889"/>
      <c r="O7" s="893">
        <f t="shared" ref="O7:O20" si="2">+N7*C7/1000</f>
        <v>0</v>
      </c>
      <c r="P7" s="889">
        <f t="shared" ref="P7:Q37" si="3">+D7+F7-H7+J7+L7-N7</f>
        <v>18</v>
      </c>
      <c r="Q7" s="893">
        <f>+E7+G7-I7+K7+M7-O7</f>
        <v>7.8729119999999853</v>
      </c>
      <c r="R7" s="893">
        <f t="shared" ref="R7:R37" si="4">+F7*T7/1000</f>
        <v>2.9454399999999996</v>
      </c>
      <c r="S7" s="893">
        <f t="shared" ref="S7:S37" si="5">+H7*T7/1000</f>
        <v>3.0503999999999998</v>
      </c>
      <c r="T7" s="893">
        <v>3.28</v>
      </c>
    </row>
    <row r="8" spans="1:20">
      <c r="A8" s="892">
        <v>3</v>
      </c>
      <c r="B8" s="889" t="s">
        <v>372</v>
      </c>
      <c r="C8" s="893">
        <v>255.15</v>
      </c>
      <c r="D8" s="889"/>
      <c r="E8" s="893">
        <f>+D8*C8/1000</f>
        <v>0</v>
      </c>
      <c r="F8" s="172"/>
      <c r="G8" s="893">
        <f>+F8*C8/1000</f>
        <v>0</v>
      </c>
      <c r="H8" s="172"/>
      <c r="I8" s="893">
        <f t="shared" ref="I8:I31" si="6">H8*C8/1000</f>
        <v>0</v>
      </c>
      <c r="J8" s="889"/>
      <c r="K8" s="893">
        <f t="shared" si="0"/>
        <v>0</v>
      </c>
      <c r="L8" s="889"/>
      <c r="M8" s="893">
        <f t="shared" si="1"/>
        <v>0</v>
      </c>
      <c r="N8" s="889"/>
      <c r="O8" s="893">
        <f t="shared" si="2"/>
        <v>0</v>
      </c>
      <c r="P8" s="889">
        <f t="shared" si="3"/>
        <v>0</v>
      </c>
      <c r="Q8" s="893">
        <f>+E8+G8-I8+K8+M8-O8</f>
        <v>0</v>
      </c>
      <c r="R8" s="893">
        <f t="shared" si="4"/>
        <v>0</v>
      </c>
      <c r="S8" s="889">
        <f t="shared" si="5"/>
        <v>0</v>
      </c>
      <c r="T8" s="889">
        <v>1.9139999999999999</v>
      </c>
    </row>
    <row r="9" spans="1:20">
      <c r="A9" s="892">
        <v>4</v>
      </c>
      <c r="B9" s="889" t="s">
        <v>307</v>
      </c>
      <c r="C9" s="893">
        <v>417.59</v>
      </c>
      <c r="D9" s="889"/>
      <c r="E9" s="893">
        <f t="shared" ref="E9:E31" si="7">+D9*C9/1000</f>
        <v>0</v>
      </c>
      <c r="F9" s="889"/>
      <c r="G9" s="893">
        <f t="shared" ref="G9:G20" si="8">+F9*C9/1000</f>
        <v>0</v>
      </c>
      <c r="H9" s="889"/>
      <c r="I9" s="893">
        <f t="shared" si="6"/>
        <v>0</v>
      </c>
      <c r="J9" s="889"/>
      <c r="K9" s="893">
        <f t="shared" si="0"/>
        <v>0</v>
      </c>
      <c r="L9" s="889"/>
      <c r="M9" s="893">
        <f t="shared" si="1"/>
        <v>0</v>
      </c>
      <c r="N9" s="889"/>
      <c r="O9" s="893">
        <f t="shared" si="2"/>
        <v>0</v>
      </c>
      <c r="P9" s="889">
        <f t="shared" si="3"/>
        <v>0</v>
      </c>
      <c r="Q9" s="889">
        <f t="shared" si="3"/>
        <v>0</v>
      </c>
      <c r="R9" s="893">
        <f t="shared" si="4"/>
        <v>0</v>
      </c>
      <c r="S9" s="893">
        <f t="shared" si="5"/>
        <v>0</v>
      </c>
      <c r="T9" s="889">
        <v>3.1320000000000001</v>
      </c>
    </row>
    <row r="10" spans="1:20" ht="45" hidden="1">
      <c r="A10" s="892">
        <v>5</v>
      </c>
      <c r="B10" s="76" t="s">
        <v>373</v>
      </c>
      <c r="C10" s="181">
        <v>108</v>
      </c>
      <c r="D10" s="181"/>
      <c r="E10" s="182">
        <f t="shared" si="7"/>
        <v>0</v>
      </c>
      <c r="F10" s="181"/>
      <c r="G10" s="182">
        <f t="shared" si="8"/>
        <v>0</v>
      </c>
      <c r="H10" s="181"/>
      <c r="I10" s="182">
        <f t="shared" si="6"/>
        <v>0</v>
      </c>
      <c r="J10" s="181"/>
      <c r="K10" s="893">
        <f t="shared" si="0"/>
        <v>0</v>
      </c>
      <c r="L10" s="181"/>
      <c r="M10" s="182">
        <f t="shared" si="1"/>
        <v>0</v>
      </c>
      <c r="N10" s="181"/>
      <c r="O10" s="893">
        <f t="shared" si="2"/>
        <v>0</v>
      </c>
      <c r="P10" s="181">
        <f t="shared" si="3"/>
        <v>0</v>
      </c>
      <c r="Q10" s="181">
        <f t="shared" si="3"/>
        <v>0</v>
      </c>
      <c r="R10" s="182">
        <f t="shared" si="4"/>
        <v>0</v>
      </c>
      <c r="S10" s="182">
        <f t="shared" si="5"/>
        <v>0</v>
      </c>
      <c r="T10" s="181">
        <v>0.81</v>
      </c>
    </row>
    <row r="11" spans="1:20" ht="45" hidden="1">
      <c r="A11" s="892">
        <v>6</v>
      </c>
      <c r="B11" s="76" t="s">
        <v>374</v>
      </c>
      <c r="C11" s="181">
        <v>379.83300000000003</v>
      </c>
      <c r="D11" s="181"/>
      <c r="E11" s="182"/>
      <c r="F11" s="183"/>
      <c r="G11" s="182">
        <f t="shared" si="8"/>
        <v>0</v>
      </c>
      <c r="H11" s="183"/>
      <c r="I11" s="182">
        <f t="shared" si="6"/>
        <v>0</v>
      </c>
      <c r="J11" s="181"/>
      <c r="K11" s="893"/>
      <c r="L11" s="181"/>
      <c r="M11" s="182"/>
      <c r="N11" s="181"/>
      <c r="O11" s="893"/>
      <c r="P11" s="181">
        <f t="shared" si="3"/>
        <v>0</v>
      </c>
      <c r="Q11" s="182">
        <f t="shared" si="3"/>
        <v>0</v>
      </c>
      <c r="R11" s="182">
        <f t="shared" si="4"/>
        <v>0</v>
      </c>
      <c r="S11" s="182">
        <f t="shared" si="5"/>
        <v>0</v>
      </c>
      <c r="T11" s="181">
        <v>2.8490000000000002</v>
      </c>
    </row>
    <row r="12" spans="1:20" ht="45" hidden="1">
      <c r="A12" s="892">
        <v>7</v>
      </c>
      <c r="B12" s="76" t="s">
        <v>375</v>
      </c>
      <c r="C12" s="181">
        <v>175.792</v>
      </c>
      <c r="D12" s="181"/>
      <c r="E12" s="182">
        <f t="shared" si="7"/>
        <v>0</v>
      </c>
      <c r="F12" s="181"/>
      <c r="G12" s="182">
        <f t="shared" si="8"/>
        <v>0</v>
      </c>
      <c r="H12" s="181"/>
      <c r="I12" s="182">
        <f t="shared" si="6"/>
        <v>0</v>
      </c>
      <c r="J12" s="181"/>
      <c r="K12" s="893">
        <f t="shared" si="0"/>
        <v>0</v>
      </c>
      <c r="L12" s="181"/>
      <c r="M12" s="182">
        <f t="shared" si="1"/>
        <v>0</v>
      </c>
      <c r="N12" s="181"/>
      <c r="O12" s="893">
        <f t="shared" si="2"/>
        <v>0</v>
      </c>
      <c r="P12" s="181">
        <f t="shared" si="3"/>
        <v>0</v>
      </c>
      <c r="Q12" s="181">
        <f t="shared" si="3"/>
        <v>0</v>
      </c>
      <c r="R12" s="182">
        <f t="shared" si="4"/>
        <v>0</v>
      </c>
      <c r="S12" s="182">
        <f t="shared" si="5"/>
        <v>0</v>
      </c>
      <c r="T12" s="181">
        <v>1.3180000000000001</v>
      </c>
    </row>
    <row r="13" spans="1:20" ht="37.5">
      <c r="A13" s="892">
        <v>8</v>
      </c>
      <c r="B13" s="242" t="s">
        <v>376</v>
      </c>
      <c r="C13" s="243">
        <v>368.55</v>
      </c>
      <c r="D13" s="242">
        <v>2</v>
      </c>
      <c r="E13" s="893">
        <f t="shared" si="7"/>
        <v>0.73709999999999998</v>
      </c>
      <c r="F13" s="172">
        <f>325+GROSS!H7</f>
        <v>410</v>
      </c>
      <c r="G13" s="893">
        <f t="shared" si="8"/>
        <v>151.10550000000001</v>
      </c>
      <c r="H13" s="172">
        <f>320+GROSS!K7</f>
        <v>393</v>
      </c>
      <c r="I13" s="893">
        <f t="shared" si="6"/>
        <v>144.84014999999999</v>
      </c>
      <c r="J13" s="889"/>
      <c r="K13" s="893">
        <f t="shared" si="0"/>
        <v>0</v>
      </c>
      <c r="L13" s="889"/>
      <c r="M13" s="893">
        <f t="shared" si="1"/>
        <v>0</v>
      </c>
      <c r="N13" s="889"/>
      <c r="O13" s="893">
        <f t="shared" si="2"/>
        <v>0</v>
      </c>
      <c r="P13" s="889">
        <f t="shared" si="3"/>
        <v>19</v>
      </c>
      <c r="Q13" s="893">
        <f t="shared" si="3"/>
        <v>7.0024500000000103</v>
      </c>
      <c r="R13" s="893">
        <f t="shared" si="4"/>
        <v>1.13324</v>
      </c>
      <c r="S13" s="893">
        <f t="shared" si="5"/>
        <v>1.086252</v>
      </c>
      <c r="T13" s="889">
        <v>2.7639999999999998</v>
      </c>
    </row>
    <row r="14" spans="1:20">
      <c r="A14" s="892">
        <v>9</v>
      </c>
      <c r="B14" s="889" t="s">
        <v>377</v>
      </c>
      <c r="C14" s="893">
        <v>229.63</v>
      </c>
      <c r="D14" s="889"/>
      <c r="E14" s="893">
        <f t="shared" si="7"/>
        <v>0</v>
      </c>
      <c r="F14" s="889"/>
      <c r="G14" s="893">
        <f t="shared" si="8"/>
        <v>0</v>
      </c>
      <c r="H14" s="889"/>
      <c r="I14" s="893">
        <f t="shared" si="6"/>
        <v>0</v>
      </c>
      <c r="J14" s="889"/>
      <c r="K14" s="893">
        <f t="shared" si="0"/>
        <v>0</v>
      </c>
      <c r="L14" s="889"/>
      <c r="M14" s="893">
        <f t="shared" si="1"/>
        <v>0</v>
      </c>
      <c r="N14" s="889"/>
      <c r="O14" s="893">
        <f t="shared" si="2"/>
        <v>0</v>
      </c>
      <c r="P14" s="889">
        <f t="shared" si="3"/>
        <v>0</v>
      </c>
      <c r="Q14" s="889">
        <f t="shared" si="3"/>
        <v>0</v>
      </c>
      <c r="R14" s="893">
        <f t="shared" si="4"/>
        <v>0</v>
      </c>
      <c r="S14" s="893">
        <f t="shared" si="5"/>
        <v>0</v>
      </c>
      <c r="T14" s="889">
        <v>1.722</v>
      </c>
    </row>
    <row r="15" spans="1:20" ht="45">
      <c r="A15" s="892">
        <v>10</v>
      </c>
      <c r="B15" s="76" t="s">
        <v>378</v>
      </c>
      <c r="C15" s="181">
        <v>144</v>
      </c>
      <c r="D15" s="181"/>
      <c r="E15" s="182">
        <f t="shared" si="7"/>
        <v>0</v>
      </c>
      <c r="F15" s="183"/>
      <c r="G15" s="182">
        <f t="shared" si="8"/>
        <v>0</v>
      </c>
      <c r="H15" s="183"/>
      <c r="I15" s="182">
        <f t="shared" si="6"/>
        <v>0</v>
      </c>
      <c r="J15" s="181"/>
      <c r="K15" s="893">
        <f t="shared" si="0"/>
        <v>0</v>
      </c>
      <c r="L15" s="181"/>
      <c r="M15" s="182">
        <f t="shared" si="1"/>
        <v>0</v>
      </c>
      <c r="N15" s="181"/>
      <c r="O15" s="893">
        <f t="shared" si="2"/>
        <v>0</v>
      </c>
      <c r="P15" s="181">
        <f t="shared" si="3"/>
        <v>0</v>
      </c>
      <c r="Q15" s="182">
        <f>+E15+G15-I15+K15+M15-O15</f>
        <v>0</v>
      </c>
      <c r="R15" s="182">
        <f t="shared" si="4"/>
        <v>0</v>
      </c>
      <c r="S15" s="182">
        <f t="shared" si="5"/>
        <v>0</v>
      </c>
      <c r="T15" s="182">
        <v>1.08</v>
      </c>
    </row>
    <row r="16" spans="1:20">
      <c r="A16" s="892">
        <v>11</v>
      </c>
      <c r="B16" s="889" t="s">
        <v>379</v>
      </c>
      <c r="C16" s="889">
        <v>253.22200000000001</v>
      </c>
      <c r="D16" s="889"/>
      <c r="E16" s="893">
        <f t="shared" si="7"/>
        <v>0</v>
      </c>
      <c r="F16" s="889"/>
      <c r="G16" s="893">
        <f t="shared" si="8"/>
        <v>0</v>
      </c>
      <c r="H16" s="889"/>
      <c r="I16" s="893">
        <f t="shared" si="6"/>
        <v>0</v>
      </c>
      <c r="J16" s="889"/>
      <c r="K16" s="893">
        <f t="shared" si="0"/>
        <v>0</v>
      </c>
      <c r="L16" s="889"/>
      <c r="M16" s="893">
        <f t="shared" si="1"/>
        <v>0</v>
      </c>
      <c r="N16" s="889"/>
      <c r="O16" s="893">
        <f t="shared" si="2"/>
        <v>0</v>
      </c>
      <c r="P16" s="889">
        <f t="shared" si="3"/>
        <v>0</v>
      </c>
      <c r="Q16" s="889">
        <f t="shared" si="3"/>
        <v>0</v>
      </c>
      <c r="R16" s="893">
        <f t="shared" si="4"/>
        <v>0</v>
      </c>
      <c r="S16" s="893">
        <f t="shared" si="5"/>
        <v>0</v>
      </c>
      <c r="T16" s="889">
        <v>1.899</v>
      </c>
    </row>
    <row r="17" spans="1:20" ht="30">
      <c r="A17" s="892">
        <v>12</v>
      </c>
      <c r="B17" s="76" t="s">
        <v>380</v>
      </c>
      <c r="C17" s="181"/>
      <c r="D17" s="181"/>
      <c r="E17" s="182">
        <f t="shared" si="7"/>
        <v>0</v>
      </c>
      <c r="F17" s="183"/>
      <c r="G17" s="182"/>
      <c r="H17" s="183"/>
      <c r="I17" s="182"/>
      <c r="J17" s="181"/>
      <c r="K17" s="893">
        <f t="shared" si="0"/>
        <v>0</v>
      </c>
      <c r="L17" s="181"/>
      <c r="M17" s="182">
        <f t="shared" si="1"/>
        <v>0</v>
      </c>
      <c r="N17" s="181"/>
      <c r="O17" s="893">
        <f t="shared" si="2"/>
        <v>0</v>
      </c>
      <c r="P17" s="181">
        <f t="shared" si="3"/>
        <v>0</v>
      </c>
      <c r="Q17" s="181">
        <f t="shared" si="3"/>
        <v>0</v>
      </c>
      <c r="R17" s="182">
        <f t="shared" si="4"/>
        <v>0</v>
      </c>
      <c r="S17" s="182">
        <f t="shared" si="5"/>
        <v>0</v>
      </c>
      <c r="T17" s="181"/>
    </row>
    <row r="18" spans="1:20" ht="56.25">
      <c r="A18" s="892"/>
      <c r="B18" s="244" t="s">
        <v>381</v>
      </c>
      <c r="C18" s="857">
        <v>405.40499999999997</v>
      </c>
      <c r="D18" s="244">
        <v>3</v>
      </c>
      <c r="E18" s="182">
        <f t="shared" si="7"/>
        <v>1.2162149999999998</v>
      </c>
      <c r="F18" s="183">
        <f>+[1]GROSS!H9</f>
        <v>0</v>
      </c>
      <c r="G18" s="893">
        <f>+F18*C18/1000</f>
        <v>0</v>
      </c>
      <c r="H18" s="183">
        <f>+[1]GROSS!K9</f>
        <v>3</v>
      </c>
      <c r="I18" s="893">
        <f>H18*C18/1000</f>
        <v>1.2162149999999998</v>
      </c>
      <c r="J18" s="181"/>
      <c r="K18" s="893"/>
      <c r="L18" s="181"/>
      <c r="M18" s="182"/>
      <c r="N18" s="181"/>
      <c r="O18" s="893"/>
      <c r="P18" s="889">
        <f t="shared" si="3"/>
        <v>0</v>
      </c>
      <c r="Q18" s="893">
        <f t="shared" si="3"/>
        <v>0</v>
      </c>
      <c r="R18" s="182">
        <f t="shared" si="4"/>
        <v>0</v>
      </c>
      <c r="S18" s="182">
        <f t="shared" si="5"/>
        <v>9.1229999999999992E-3</v>
      </c>
      <c r="T18" s="181">
        <v>3.0409999999999999</v>
      </c>
    </row>
    <row r="19" spans="1:20">
      <c r="A19" s="892">
        <v>13</v>
      </c>
      <c r="B19" s="889" t="s">
        <v>382</v>
      </c>
      <c r="C19" s="893">
        <v>311.85000000000002</v>
      </c>
      <c r="D19" s="889"/>
      <c r="E19" s="893">
        <f t="shared" si="7"/>
        <v>0</v>
      </c>
      <c r="F19" s="172"/>
      <c r="G19" s="893">
        <f t="shared" si="8"/>
        <v>0</v>
      </c>
      <c r="H19" s="172"/>
      <c r="I19" s="893">
        <f t="shared" si="6"/>
        <v>0</v>
      </c>
      <c r="J19" s="889"/>
      <c r="K19" s="893">
        <f t="shared" si="0"/>
        <v>0</v>
      </c>
      <c r="L19" s="889"/>
      <c r="M19" s="893">
        <f t="shared" si="1"/>
        <v>0</v>
      </c>
      <c r="N19" s="889"/>
      <c r="O19" s="893">
        <f t="shared" si="2"/>
        <v>0</v>
      </c>
      <c r="P19" s="889">
        <f t="shared" si="3"/>
        <v>0</v>
      </c>
      <c r="Q19" s="893">
        <f t="shared" si="3"/>
        <v>0</v>
      </c>
      <c r="R19" s="893">
        <f t="shared" si="4"/>
        <v>0</v>
      </c>
      <c r="S19" s="889">
        <f t="shared" si="5"/>
        <v>0</v>
      </c>
      <c r="T19" s="889">
        <v>2.339</v>
      </c>
    </row>
    <row r="20" spans="1:20">
      <c r="A20" s="892">
        <v>14</v>
      </c>
      <c r="B20" s="889" t="s">
        <v>383</v>
      </c>
      <c r="C20" s="889">
        <v>155.92500000000001</v>
      </c>
      <c r="D20" s="889"/>
      <c r="E20" s="893">
        <f t="shared" si="7"/>
        <v>0</v>
      </c>
      <c r="F20" s="172"/>
      <c r="G20" s="893">
        <f t="shared" si="8"/>
        <v>0</v>
      </c>
      <c r="H20" s="172"/>
      <c r="I20" s="893">
        <f t="shared" si="6"/>
        <v>0</v>
      </c>
      <c r="J20" s="889"/>
      <c r="K20" s="893">
        <f t="shared" si="0"/>
        <v>0</v>
      </c>
      <c r="L20" s="889"/>
      <c r="M20" s="893">
        <f t="shared" si="1"/>
        <v>0</v>
      </c>
      <c r="N20" s="889"/>
      <c r="O20" s="893">
        <f t="shared" si="2"/>
        <v>0</v>
      </c>
      <c r="P20" s="889">
        <f t="shared" si="3"/>
        <v>0</v>
      </c>
      <c r="Q20" s="889">
        <f t="shared" si="3"/>
        <v>0</v>
      </c>
      <c r="R20" s="893">
        <f t="shared" si="4"/>
        <v>0</v>
      </c>
      <c r="S20" s="889">
        <f t="shared" si="5"/>
        <v>0</v>
      </c>
      <c r="T20" s="889">
        <v>1.169</v>
      </c>
    </row>
    <row r="21" spans="1:20" ht="45" hidden="1">
      <c r="A21" s="892">
        <v>15</v>
      </c>
      <c r="B21" s="76" t="s">
        <v>384</v>
      </c>
      <c r="C21" s="181"/>
      <c r="D21" s="181"/>
      <c r="E21" s="182"/>
      <c r="F21" s="181"/>
      <c r="G21" s="182"/>
      <c r="H21" s="181"/>
      <c r="I21" s="182">
        <f t="shared" ref="I21:I26" si="9">+G21</f>
        <v>0</v>
      </c>
      <c r="J21" s="181"/>
      <c r="K21" s="182"/>
      <c r="L21" s="181"/>
      <c r="M21" s="182"/>
      <c r="N21" s="181"/>
      <c r="O21" s="182"/>
      <c r="P21" s="181"/>
      <c r="Q21" s="181"/>
      <c r="R21" s="182"/>
      <c r="S21" s="181"/>
      <c r="T21" s="889"/>
    </row>
    <row r="22" spans="1:20" ht="30" hidden="1">
      <c r="A22" s="892">
        <v>16</v>
      </c>
      <c r="B22" s="906" t="s">
        <v>385</v>
      </c>
      <c r="C22" s="889"/>
      <c r="D22" s="889"/>
      <c r="E22" s="893"/>
      <c r="F22" s="889"/>
      <c r="G22" s="893"/>
      <c r="H22" s="889"/>
      <c r="I22" s="893">
        <f t="shared" si="9"/>
        <v>0</v>
      </c>
      <c r="J22" s="889"/>
      <c r="K22" s="893"/>
      <c r="L22" s="889"/>
      <c r="M22" s="893"/>
      <c r="N22" s="889"/>
      <c r="O22" s="893"/>
      <c r="P22" s="889"/>
      <c r="Q22" s="889"/>
      <c r="R22" s="893"/>
      <c r="S22" s="889"/>
      <c r="T22" s="889"/>
    </row>
    <row r="23" spans="1:20" ht="30" hidden="1">
      <c r="A23" s="892">
        <v>17</v>
      </c>
      <c r="B23" s="76" t="s">
        <v>386</v>
      </c>
      <c r="C23" s="76"/>
      <c r="D23" s="76"/>
      <c r="E23" s="245"/>
      <c r="F23" s="76"/>
      <c r="G23" s="245"/>
      <c r="H23" s="76"/>
      <c r="I23" s="245">
        <f t="shared" si="9"/>
        <v>0</v>
      </c>
      <c r="J23" s="76"/>
      <c r="K23" s="245"/>
      <c r="L23" s="76"/>
      <c r="M23" s="245"/>
      <c r="N23" s="76"/>
      <c r="O23" s="245"/>
      <c r="P23" s="76"/>
      <c r="Q23" s="76"/>
      <c r="R23" s="245"/>
      <c r="S23" s="76"/>
      <c r="T23" s="76"/>
    </row>
    <row r="24" spans="1:20" ht="30" hidden="1">
      <c r="A24" s="892">
        <v>18</v>
      </c>
      <c r="B24" s="76" t="s">
        <v>387</v>
      </c>
      <c r="C24" s="181"/>
      <c r="D24" s="181"/>
      <c r="E24" s="182"/>
      <c r="F24" s="181"/>
      <c r="G24" s="182"/>
      <c r="H24" s="181"/>
      <c r="I24" s="182">
        <f t="shared" si="9"/>
        <v>0</v>
      </c>
      <c r="J24" s="181"/>
      <c r="K24" s="182"/>
      <c r="L24" s="181"/>
      <c r="M24" s="182"/>
      <c r="N24" s="181"/>
      <c r="O24" s="182"/>
      <c r="P24" s="181"/>
      <c r="Q24" s="181"/>
      <c r="R24" s="182"/>
      <c r="S24" s="181"/>
      <c r="T24" s="181"/>
    </row>
    <row r="25" spans="1:20" hidden="1">
      <c r="A25" s="892">
        <v>19</v>
      </c>
      <c r="B25" s="889" t="s">
        <v>388</v>
      </c>
      <c r="C25" s="889"/>
      <c r="D25" s="889"/>
      <c r="E25" s="893"/>
      <c r="F25" s="889"/>
      <c r="G25" s="893"/>
      <c r="H25" s="889"/>
      <c r="I25" s="893">
        <f t="shared" si="9"/>
        <v>0</v>
      </c>
      <c r="J25" s="889"/>
      <c r="K25" s="893"/>
      <c r="L25" s="889"/>
      <c r="M25" s="893"/>
      <c r="N25" s="889"/>
      <c r="O25" s="893"/>
      <c r="P25" s="889"/>
      <c r="Q25" s="889"/>
      <c r="R25" s="893"/>
      <c r="S25" s="889"/>
      <c r="T25" s="889"/>
    </row>
    <row r="26" spans="1:20" ht="30" hidden="1">
      <c r="A26" s="892">
        <v>20</v>
      </c>
      <c r="B26" s="906" t="s">
        <v>389</v>
      </c>
      <c r="C26" s="889"/>
      <c r="D26" s="889"/>
      <c r="E26" s="893"/>
      <c r="F26" s="889"/>
      <c r="G26" s="893"/>
      <c r="H26" s="889"/>
      <c r="I26" s="893">
        <f t="shared" si="9"/>
        <v>0</v>
      </c>
      <c r="J26" s="889"/>
      <c r="K26" s="893"/>
      <c r="L26" s="889"/>
      <c r="M26" s="893"/>
      <c r="N26" s="889"/>
      <c r="O26" s="893"/>
      <c r="P26" s="889"/>
      <c r="Q26" s="889"/>
      <c r="R26" s="893"/>
      <c r="S26" s="889"/>
      <c r="T26" s="889"/>
    </row>
    <row r="27" spans="1:20" hidden="1">
      <c r="A27" s="892">
        <v>21</v>
      </c>
      <c r="B27" s="889"/>
      <c r="C27" s="889"/>
      <c r="D27" s="889"/>
      <c r="E27" s="893">
        <f t="shared" si="7"/>
        <v>0</v>
      </c>
      <c r="F27" s="889"/>
      <c r="G27" s="893"/>
      <c r="H27" s="889"/>
      <c r="I27" s="893">
        <f t="shared" si="6"/>
        <v>0</v>
      </c>
      <c r="J27" s="889"/>
      <c r="K27" s="893">
        <f t="shared" ref="K27:K33" si="10">+J27*A27/1000</f>
        <v>0</v>
      </c>
      <c r="L27" s="889"/>
      <c r="M27" s="893">
        <f t="shared" si="1"/>
        <v>0</v>
      </c>
      <c r="N27" s="889"/>
      <c r="O27" s="893">
        <f t="shared" si="1"/>
        <v>0</v>
      </c>
      <c r="P27" s="889">
        <f t="shared" si="3"/>
        <v>0</v>
      </c>
      <c r="Q27" s="889">
        <f t="shared" si="3"/>
        <v>0</v>
      </c>
      <c r="R27" s="893">
        <f t="shared" si="4"/>
        <v>0</v>
      </c>
      <c r="S27" s="889">
        <f t="shared" si="5"/>
        <v>0</v>
      </c>
      <c r="T27" s="889"/>
    </row>
    <row r="28" spans="1:20" hidden="1">
      <c r="A28" s="892">
        <v>22</v>
      </c>
      <c r="B28" s="889"/>
      <c r="C28" s="889"/>
      <c r="D28" s="889"/>
      <c r="E28" s="893">
        <f t="shared" si="7"/>
        <v>0</v>
      </c>
      <c r="F28" s="889"/>
      <c r="G28" s="893"/>
      <c r="H28" s="889"/>
      <c r="I28" s="893">
        <f t="shared" si="6"/>
        <v>0</v>
      </c>
      <c r="J28" s="889"/>
      <c r="K28" s="893">
        <f t="shared" si="10"/>
        <v>0</v>
      </c>
      <c r="L28" s="889"/>
      <c r="M28" s="893">
        <f t="shared" si="1"/>
        <v>0</v>
      </c>
      <c r="N28" s="889"/>
      <c r="O28" s="893">
        <f t="shared" si="1"/>
        <v>0</v>
      </c>
      <c r="P28" s="889">
        <f t="shared" si="3"/>
        <v>0</v>
      </c>
      <c r="Q28" s="889">
        <f t="shared" si="3"/>
        <v>0</v>
      </c>
      <c r="R28" s="893">
        <f t="shared" si="4"/>
        <v>0</v>
      </c>
      <c r="S28" s="889">
        <f t="shared" si="5"/>
        <v>0</v>
      </c>
      <c r="T28" s="889"/>
    </row>
    <row r="29" spans="1:20" hidden="1">
      <c r="A29" s="892">
        <v>23</v>
      </c>
      <c r="B29" s="889"/>
      <c r="C29" s="889"/>
      <c r="D29" s="889"/>
      <c r="E29" s="893">
        <f t="shared" si="7"/>
        <v>0</v>
      </c>
      <c r="F29" s="889"/>
      <c r="G29" s="893"/>
      <c r="H29" s="889"/>
      <c r="I29" s="893">
        <f t="shared" si="6"/>
        <v>0</v>
      </c>
      <c r="J29" s="889"/>
      <c r="K29" s="893">
        <f t="shared" si="10"/>
        <v>0</v>
      </c>
      <c r="L29" s="889"/>
      <c r="M29" s="893">
        <f t="shared" si="1"/>
        <v>0</v>
      </c>
      <c r="N29" s="889"/>
      <c r="O29" s="893">
        <f t="shared" si="1"/>
        <v>0</v>
      </c>
      <c r="P29" s="889">
        <f t="shared" si="3"/>
        <v>0</v>
      </c>
      <c r="Q29" s="889">
        <f t="shared" si="3"/>
        <v>0</v>
      </c>
      <c r="R29" s="893">
        <f t="shared" si="4"/>
        <v>0</v>
      </c>
      <c r="S29" s="889">
        <f t="shared" si="5"/>
        <v>0</v>
      </c>
      <c r="T29" s="889"/>
    </row>
    <row r="30" spans="1:20" hidden="1">
      <c r="A30" s="892">
        <v>24</v>
      </c>
      <c r="B30" s="889"/>
      <c r="C30" s="889"/>
      <c r="D30" s="889"/>
      <c r="E30" s="893">
        <f t="shared" si="7"/>
        <v>0</v>
      </c>
      <c r="F30" s="889"/>
      <c r="G30" s="893"/>
      <c r="H30" s="889"/>
      <c r="I30" s="893">
        <f t="shared" si="6"/>
        <v>0</v>
      </c>
      <c r="J30" s="889"/>
      <c r="K30" s="893">
        <f t="shared" si="10"/>
        <v>0</v>
      </c>
      <c r="L30" s="889"/>
      <c r="M30" s="893">
        <f t="shared" si="1"/>
        <v>0</v>
      </c>
      <c r="N30" s="889"/>
      <c r="O30" s="893">
        <f t="shared" si="1"/>
        <v>0</v>
      </c>
      <c r="P30" s="889">
        <f t="shared" si="3"/>
        <v>0</v>
      </c>
      <c r="Q30" s="889">
        <f t="shared" si="3"/>
        <v>0</v>
      </c>
      <c r="R30" s="893">
        <f t="shared" si="4"/>
        <v>0</v>
      </c>
      <c r="S30" s="889">
        <f t="shared" si="5"/>
        <v>0</v>
      </c>
      <c r="T30" s="889"/>
    </row>
    <row r="31" spans="1:20" hidden="1">
      <c r="A31" s="892">
        <v>25</v>
      </c>
      <c r="B31" s="889"/>
      <c r="C31" s="889"/>
      <c r="D31" s="889"/>
      <c r="E31" s="893">
        <f t="shared" si="7"/>
        <v>0</v>
      </c>
      <c r="F31" s="889"/>
      <c r="G31" s="893"/>
      <c r="H31" s="889"/>
      <c r="I31" s="893">
        <f t="shared" si="6"/>
        <v>0</v>
      </c>
      <c r="J31" s="889"/>
      <c r="K31" s="893">
        <f t="shared" si="10"/>
        <v>0</v>
      </c>
      <c r="L31" s="889"/>
      <c r="M31" s="893">
        <f t="shared" si="1"/>
        <v>0</v>
      </c>
      <c r="N31" s="889"/>
      <c r="O31" s="893">
        <f t="shared" si="1"/>
        <v>0</v>
      </c>
      <c r="P31" s="889">
        <f t="shared" si="3"/>
        <v>0</v>
      </c>
      <c r="Q31" s="889">
        <f t="shared" si="3"/>
        <v>0</v>
      </c>
      <c r="R31" s="893">
        <f t="shared" si="4"/>
        <v>0</v>
      </c>
      <c r="S31" s="889">
        <f t="shared" si="5"/>
        <v>0</v>
      </c>
      <c r="T31" s="889"/>
    </row>
    <row r="32" spans="1:20">
      <c r="A32" s="892"/>
      <c r="B32" s="889" t="s">
        <v>390</v>
      </c>
      <c r="C32" s="889"/>
      <c r="D32" s="889"/>
      <c r="E32" s="893"/>
      <c r="F32" s="889"/>
      <c r="G32" s="893"/>
      <c r="H32" s="889"/>
      <c r="I32" s="893">
        <f>+G32</f>
        <v>0</v>
      </c>
      <c r="J32" s="889"/>
      <c r="K32" s="893"/>
      <c r="L32" s="889"/>
      <c r="M32" s="893"/>
      <c r="N32" s="889"/>
      <c r="O32" s="893"/>
      <c r="P32" s="889"/>
      <c r="Q32" s="889"/>
      <c r="R32" s="893"/>
      <c r="S32" s="889"/>
      <c r="T32" s="889"/>
    </row>
    <row r="33" spans="1:20" ht="39">
      <c r="A33" s="892">
        <v>26</v>
      </c>
      <c r="B33" s="246" t="s">
        <v>391</v>
      </c>
      <c r="C33" s="889"/>
      <c r="D33" s="889"/>
      <c r="E33" s="893"/>
      <c r="F33" s="889"/>
      <c r="G33" s="893">
        <f>6.61+[6]GROSS!I21</f>
        <v>6.61</v>
      </c>
      <c r="H33" s="889"/>
      <c r="I33" s="893">
        <f>+G33</f>
        <v>6.61</v>
      </c>
      <c r="J33" s="889"/>
      <c r="K33" s="893">
        <f t="shared" si="10"/>
        <v>0</v>
      </c>
      <c r="L33" s="889"/>
      <c r="M33" s="893"/>
      <c r="N33" s="889"/>
      <c r="O33" s="893"/>
      <c r="P33" s="889"/>
      <c r="Q33" s="889"/>
      <c r="R33" s="893"/>
      <c r="S33" s="889"/>
      <c r="T33" s="889"/>
    </row>
    <row r="34" spans="1:20">
      <c r="A34" s="892">
        <v>27</v>
      </c>
      <c r="B34" s="889" t="s">
        <v>187</v>
      </c>
      <c r="C34" s="889"/>
      <c r="D34" s="889"/>
      <c r="E34" s="889"/>
      <c r="F34" s="889"/>
      <c r="G34" s="889"/>
      <c r="H34" s="889"/>
      <c r="I34" s="889"/>
      <c r="J34" s="889"/>
      <c r="K34" s="889"/>
      <c r="L34" s="889"/>
      <c r="M34" s="889"/>
      <c r="N34" s="889"/>
      <c r="O34" s="889"/>
      <c r="P34" s="889">
        <f t="shared" si="3"/>
        <v>0</v>
      </c>
      <c r="Q34" s="889">
        <f t="shared" si="3"/>
        <v>0</v>
      </c>
      <c r="R34" s="893">
        <f t="shared" si="4"/>
        <v>0</v>
      </c>
      <c r="S34" s="889">
        <f t="shared" si="5"/>
        <v>0</v>
      </c>
      <c r="T34" s="889"/>
    </row>
    <row r="35" spans="1:20">
      <c r="A35" s="892">
        <v>28</v>
      </c>
      <c r="B35" s="101" t="s">
        <v>392</v>
      </c>
      <c r="C35" s="889"/>
      <c r="D35" s="889"/>
      <c r="E35" s="889"/>
      <c r="F35" s="889"/>
      <c r="G35" s="893">
        <f>200.054+'EXCISE SALES DETAILS'!AT94</f>
        <v>222.46199999999999</v>
      </c>
      <c r="H35" s="889"/>
      <c r="I35" s="893">
        <f>+G35</f>
        <v>222.46199999999999</v>
      </c>
      <c r="J35" s="889"/>
      <c r="K35" s="889"/>
      <c r="L35" s="889"/>
      <c r="M35" s="889"/>
      <c r="N35" s="889"/>
      <c r="O35" s="889"/>
      <c r="P35" s="889">
        <f t="shared" si="3"/>
        <v>0</v>
      </c>
      <c r="Q35" s="889">
        <f t="shared" si="3"/>
        <v>0</v>
      </c>
      <c r="R35" s="893">
        <f t="shared" si="4"/>
        <v>0</v>
      </c>
      <c r="S35" s="889">
        <f t="shared" si="5"/>
        <v>0</v>
      </c>
      <c r="T35" s="889"/>
    </row>
    <row r="36" spans="1:20">
      <c r="A36" s="892">
        <v>29</v>
      </c>
      <c r="B36" s="95" t="s">
        <v>393</v>
      </c>
      <c r="C36" s="889"/>
      <c r="D36" s="889"/>
      <c r="E36" s="889"/>
      <c r="F36" s="889"/>
      <c r="G36" s="893"/>
      <c r="H36" s="889"/>
      <c r="I36" s="893">
        <f t="shared" ref="I36:I41" si="11">+G36</f>
        <v>0</v>
      </c>
      <c r="J36" s="889"/>
      <c r="K36" s="889"/>
      <c r="L36" s="889"/>
      <c r="M36" s="889"/>
      <c r="N36" s="889"/>
      <c r="O36" s="889"/>
      <c r="P36" s="889">
        <f t="shared" si="3"/>
        <v>0</v>
      </c>
      <c r="Q36" s="889">
        <f t="shared" si="3"/>
        <v>0</v>
      </c>
      <c r="R36" s="893">
        <f t="shared" si="4"/>
        <v>0</v>
      </c>
      <c r="S36" s="889">
        <f t="shared" si="5"/>
        <v>0</v>
      </c>
      <c r="T36" s="889"/>
    </row>
    <row r="37" spans="1:20" ht="15.75" thickBot="1">
      <c r="A37" s="892">
        <v>30</v>
      </c>
      <c r="B37" s="95" t="s">
        <v>394</v>
      </c>
      <c r="C37" s="889"/>
      <c r="D37" s="889"/>
      <c r="E37" s="889"/>
      <c r="F37" s="889"/>
      <c r="G37" s="893">
        <f>1.204+GROSS!I41</f>
        <v>1.2309999999999999</v>
      </c>
      <c r="H37" s="889"/>
      <c r="I37" s="893">
        <f t="shared" si="11"/>
        <v>1.2309999999999999</v>
      </c>
      <c r="J37" s="889"/>
      <c r="K37" s="889"/>
      <c r="L37" s="889"/>
      <c r="M37" s="889"/>
      <c r="N37" s="889"/>
      <c r="O37" s="889"/>
      <c r="P37" s="889">
        <f t="shared" si="3"/>
        <v>0</v>
      </c>
      <c r="Q37" s="889">
        <f t="shared" si="3"/>
        <v>0</v>
      </c>
      <c r="R37" s="893">
        <f t="shared" si="4"/>
        <v>0</v>
      </c>
      <c r="S37" s="889">
        <f t="shared" si="5"/>
        <v>0</v>
      </c>
      <c r="T37" s="889"/>
    </row>
    <row r="38" spans="1:20" ht="170.25" hidden="1" thickBot="1">
      <c r="A38" s="892">
        <v>31</v>
      </c>
      <c r="B38" s="105" t="s">
        <v>395</v>
      </c>
      <c r="C38" s="889"/>
      <c r="D38" s="889"/>
      <c r="E38" s="889"/>
      <c r="F38" s="889"/>
      <c r="G38" s="181"/>
      <c r="H38" s="889"/>
      <c r="I38" s="181">
        <f t="shared" si="11"/>
        <v>0</v>
      </c>
      <c r="J38" s="889"/>
      <c r="K38" s="889"/>
      <c r="L38" s="889"/>
      <c r="M38" s="889"/>
      <c r="N38" s="889"/>
      <c r="O38" s="889"/>
      <c r="P38" s="889"/>
      <c r="Q38" s="889"/>
      <c r="R38" s="893"/>
      <c r="S38" s="889"/>
      <c r="T38" s="889"/>
    </row>
    <row r="39" spans="1:20" ht="190.5" hidden="1" thickBot="1">
      <c r="A39" s="892">
        <v>32</v>
      </c>
      <c r="B39" s="105" t="s">
        <v>396</v>
      </c>
      <c r="C39" s="889"/>
      <c r="D39" s="889"/>
      <c r="E39" s="889"/>
      <c r="F39" s="889"/>
      <c r="G39" s="181"/>
      <c r="H39" s="181"/>
      <c r="I39" s="181">
        <f t="shared" si="11"/>
        <v>0</v>
      </c>
      <c r="J39" s="889"/>
      <c r="K39" s="889"/>
      <c r="L39" s="889"/>
      <c r="M39" s="889"/>
      <c r="N39" s="889"/>
      <c r="O39" s="889"/>
      <c r="P39" s="889"/>
      <c r="Q39" s="889"/>
      <c r="R39" s="893"/>
      <c r="S39" s="889"/>
      <c r="T39" s="889"/>
    </row>
    <row r="40" spans="1:20" ht="72.75" hidden="1" thickBot="1">
      <c r="A40" s="892">
        <v>33</v>
      </c>
      <c r="B40" s="105" t="s">
        <v>397</v>
      </c>
      <c r="C40" s="889"/>
      <c r="D40" s="889"/>
      <c r="E40" s="889"/>
      <c r="F40" s="889"/>
      <c r="G40" s="889"/>
      <c r="H40" s="889"/>
      <c r="I40" s="889">
        <f t="shared" si="11"/>
        <v>0</v>
      </c>
      <c r="J40" s="889"/>
      <c r="K40" s="889"/>
      <c r="L40" s="889"/>
      <c r="M40" s="889"/>
      <c r="N40" s="889"/>
      <c r="O40" s="889"/>
      <c r="P40" s="889"/>
      <c r="Q40" s="889"/>
      <c r="R40" s="893"/>
      <c r="S40" s="889"/>
      <c r="T40" s="889"/>
    </row>
    <row r="41" spans="1:20" ht="72.75" hidden="1" thickBot="1">
      <c r="A41" s="892">
        <v>34</v>
      </c>
      <c r="B41" s="173" t="s">
        <v>398</v>
      </c>
      <c r="C41" s="174"/>
      <c r="D41" s="174"/>
      <c r="E41" s="174"/>
      <c r="F41" s="174"/>
      <c r="G41" s="174"/>
      <c r="H41" s="174"/>
      <c r="I41" s="174">
        <f t="shared" si="11"/>
        <v>0</v>
      </c>
      <c r="J41" s="174"/>
      <c r="K41" s="174"/>
      <c r="L41" s="174"/>
      <c r="M41" s="174"/>
      <c r="N41" s="174"/>
      <c r="O41" s="174"/>
      <c r="P41" s="174"/>
      <c r="Q41" s="174"/>
      <c r="R41" s="209"/>
      <c r="S41" s="174"/>
      <c r="T41" s="889"/>
    </row>
    <row r="42" spans="1:20" ht="16.5" thickBot="1">
      <c r="A42" s="892"/>
      <c r="B42" s="175"/>
      <c r="C42" s="176"/>
      <c r="D42" s="177">
        <f t="shared" ref="D42:Q42" si="12">SUM(D6:D41)</f>
        <v>136</v>
      </c>
      <c r="E42" s="178">
        <f t="shared" si="12"/>
        <v>50.689809999999994</v>
      </c>
      <c r="F42" s="179">
        <f t="shared" si="12"/>
        <v>2792</v>
      </c>
      <c r="G42" s="178">
        <f t="shared" si="12"/>
        <v>1266.4197119999999</v>
      </c>
      <c r="H42" s="179">
        <f t="shared" si="12"/>
        <v>2874</v>
      </c>
      <c r="I42" s="178">
        <f t="shared" si="12"/>
        <v>1296.5953449999997</v>
      </c>
      <c r="J42" s="179">
        <f t="shared" si="12"/>
        <v>0</v>
      </c>
      <c r="K42" s="178">
        <f t="shared" si="12"/>
        <v>0</v>
      </c>
      <c r="L42" s="179">
        <f t="shared" si="12"/>
        <v>0</v>
      </c>
      <c r="M42" s="178">
        <f t="shared" si="12"/>
        <v>0</v>
      </c>
      <c r="N42" s="179">
        <f t="shared" si="12"/>
        <v>0</v>
      </c>
      <c r="O42" s="178">
        <f t="shared" si="12"/>
        <v>0</v>
      </c>
      <c r="P42" s="179">
        <f t="shared" si="12"/>
        <v>54</v>
      </c>
      <c r="Q42" s="178">
        <f t="shared" si="12"/>
        <v>20.514177000000018</v>
      </c>
      <c r="R42" s="178">
        <f t="shared" ref="R42:S42" si="13">SUM(R6:R41)</f>
        <v>7.7708719999999998</v>
      </c>
      <c r="S42" s="210">
        <f t="shared" si="13"/>
        <v>7.9971989999999993</v>
      </c>
      <c r="T42" s="891"/>
    </row>
    <row r="43" spans="1:20">
      <c r="A43" s="892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892"/>
      <c r="S43" s="892"/>
      <c r="T43" s="892"/>
    </row>
    <row r="44" spans="1:20">
      <c r="A44" s="892"/>
      <c r="B44" s="889"/>
      <c r="C44" s="889"/>
      <c r="D44" s="931" t="s">
        <v>358</v>
      </c>
      <c r="E44" s="931"/>
      <c r="F44" s="931" t="s">
        <v>359</v>
      </c>
      <c r="G44" s="931"/>
      <c r="H44" s="931" t="s">
        <v>360</v>
      </c>
      <c r="I44" s="931"/>
      <c r="J44" s="931" t="s">
        <v>361</v>
      </c>
      <c r="K44" s="931"/>
      <c r="L44" s="931" t="s">
        <v>362</v>
      </c>
      <c r="M44" s="931"/>
      <c r="N44" s="931" t="s">
        <v>363</v>
      </c>
      <c r="O44" s="931"/>
      <c r="P44" s="931" t="s">
        <v>364</v>
      </c>
      <c r="Q44" s="931"/>
      <c r="R44" s="892"/>
      <c r="S44" s="892"/>
      <c r="T44" s="892"/>
    </row>
    <row r="45" spans="1:20">
      <c r="A45" s="892"/>
      <c r="B45" s="889" t="s">
        <v>301</v>
      </c>
      <c r="C45" s="889"/>
      <c r="D45" s="906" t="s">
        <v>365</v>
      </c>
      <c r="E45" s="889" t="s">
        <v>366</v>
      </c>
      <c r="F45" s="906" t="s">
        <v>365</v>
      </c>
      <c r="G45" s="889" t="s">
        <v>366</v>
      </c>
      <c r="H45" s="906" t="s">
        <v>365</v>
      </c>
      <c r="I45" s="889" t="s">
        <v>366</v>
      </c>
      <c r="J45" s="906" t="s">
        <v>365</v>
      </c>
      <c r="K45" s="889" t="s">
        <v>366</v>
      </c>
      <c r="L45" s="906" t="s">
        <v>365</v>
      </c>
      <c r="M45" s="889" t="s">
        <v>366</v>
      </c>
      <c r="N45" s="906" t="s">
        <v>365</v>
      </c>
      <c r="O45" s="889" t="s">
        <v>366</v>
      </c>
      <c r="P45" s="906" t="s">
        <v>365</v>
      </c>
      <c r="Q45" s="890" t="s">
        <v>366</v>
      </c>
      <c r="R45" s="889"/>
      <c r="S45" s="889"/>
      <c r="T45" s="889"/>
    </row>
    <row r="46" spans="1:20" ht="57" customHeight="1">
      <c r="A46" s="892">
        <v>1</v>
      </c>
      <c r="B46" s="87" t="s">
        <v>399</v>
      </c>
      <c r="C46" s="181">
        <v>290</v>
      </c>
      <c r="D46" s="181">
        <v>119</v>
      </c>
      <c r="E46" s="182">
        <f>+D46*C46/1000</f>
        <v>34.51</v>
      </c>
      <c r="F46" s="183">
        <f>13107+GROSS!H37</f>
        <v>13761</v>
      </c>
      <c r="G46" s="182">
        <f>+F46*C46/1000</f>
        <v>3990.69</v>
      </c>
      <c r="H46" s="183">
        <f>12861+GROSS!K37</f>
        <v>13818</v>
      </c>
      <c r="I46" s="182">
        <f>+H46*C46/1000</f>
        <v>4007.22</v>
      </c>
      <c r="J46" s="181"/>
      <c r="K46" s="893">
        <f>+J46*C46/1000</f>
        <v>0</v>
      </c>
      <c r="L46" s="181"/>
      <c r="M46" s="893">
        <f>+L46*C46/1000</f>
        <v>0</v>
      </c>
      <c r="N46" s="181"/>
      <c r="O46" s="893">
        <f>+N46*C46/1000</f>
        <v>0</v>
      </c>
      <c r="P46" s="181">
        <f t="shared" ref="P46:P49" si="14">+D46+F46-H46+J46+L46-N46</f>
        <v>62</v>
      </c>
      <c r="Q46" s="182">
        <f>+E46+G46-I46+K46+M46-O46</f>
        <v>17.980000000000473</v>
      </c>
      <c r="R46" s="182">
        <f>+F46*T46/1000</f>
        <v>29.930174999999998</v>
      </c>
      <c r="S46" s="182">
        <f>+H46*T46/1000</f>
        <v>30.054149999999996</v>
      </c>
      <c r="T46" s="181">
        <v>2.1749999999999998</v>
      </c>
    </row>
    <row r="47" spans="1:20" ht="39">
      <c r="A47" s="892">
        <v>2</v>
      </c>
      <c r="B47" s="404" t="s">
        <v>510</v>
      </c>
      <c r="C47" s="889">
        <v>383.5</v>
      </c>
      <c r="D47" s="889"/>
      <c r="E47" s="889"/>
      <c r="F47" s="889">
        <f>375+[8]GROSS!H35</f>
        <v>375</v>
      </c>
      <c r="G47" s="182">
        <f>+F47*C47/1000</f>
        <v>143.8125</v>
      </c>
      <c r="H47" s="889">
        <f>375+[8]GROSS!K35</f>
        <v>375</v>
      </c>
      <c r="I47" s="182">
        <f>+H47*C47/1000</f>
        <v>143.8125</v>
      </c>
      <c r="J47" s="889"/>
      <c r="K47" s="893">
        <f>+J47*C47/1000</f>
        <v>0</v>
      </c>
      <c r="L47" s="889"/>
      <c r="M47" s="893">
        <f>+L47*C47/1000</f>
        <v>0</v>
      </c>
      <c r="N47" s="889"/>
      <c r="O47" s="893">
        <f>+N47*C47/1000</f>
        <v>0</v>
      </c>
      <c r="P47" s="181">
        <f t="shared" si="14"/>
        <v>0</v>
      </c>
      <c r="Q47" s="182">
        <f>+E47+G47-I47+K47+M47-O47</f>
        <v>0</v>
      </c>
      <c r="R47" s="182">
        <f>+F47*T47/1000</f>
        <v>1.0785</v>
      </c>
      <c r="S47" s="182">
        <f>+H47*T47/1000</f>
        <v>1.0785</v>
      </c>
      <c r="T47" s="889">
        <v>2.8759999999999999</v>
      </c>
    </row>
    <row r="48" spans="1:20" ht="15.75" thickBot="1">
      <c r="A48" s="892">
        <v>3</v>
      </c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>
        <f t="shared" si="14"/>
        <v>0</v>
      </c>
      <c r="Q48" s="211"/>
      <c r="R48" s="174"/>
      <c r="S48" s="174"/>
      <c r="T48" s="889"/>
    </row>
    <row r="49" spans="1:20" ht="16.5" thickBot="1">
      <c r="A49" s="892"/>
      <c r="B49" s="175"/>
      <c r="C49" s="184"/>
      <c r="D49" s="184">
        <f t="shared" ref="D49:O49" si="15">SUM(D46:D48)</f>
        <v>119</v>
      </c>
      <c r="E49" s="178">
        <f t="shared" si="15"/>
        <v>34.51</v>
      </c>
      <c r="F49" s="184">
        <f t="shared" si="15"/>
        <v>14136</v>
      </c>
      <c r="G49" s="178">
        <f t="shared" si="15"/>
        <v>4134.5025000000005</v>
      </c>
      <c r="H49" s="184">
        <f t="shared" si="15"/>
        <v>14193</v>
      </c>
      <c r="I49" s="178">
        <f t="shared" si="15"/>
        <v>4151.0324999999993</v>
      </c>
      <c r="J49" s="184">
        <f t="shared" si="15"/>
        <v>0</v>
      </c>
      <c r="K49" s="178">
        <f t="shared" si="15"/>
        <v>0</v>
      </c>
      <c r="L49" s="184">
        <f t="shared" si="15"/>
        <v>0</v>
      </c>
      <c r="M49" s="178">
        <f t="shared" si="15"/>
        <v>0</v>
      </c>
      <c r="N49" s="184">
        <f t="shared" si="15"/>
        <v>0</v>
      </c>
      <c r="O49" s="178">
        <f t="shared" si="15"/>
        <v>0</v>
      </c>
      <c r="P49" s="184">
        <f t="shared" si="14"/>
        <v>62</v>
      </c>
      <c r="Q49" s="212">
        <f>SUM(Q46:Q48)</f>
        <v>17.980000000000473</v>
      </c>
      <c r="R49" s="212">
        <f t="shared" ref="R49:S49" si="16">SUM(R46:R48)</f>
        <v>31.008674999999997</v>
      </c>
      <c r="S49" s="210">
        <f t="shared" si="16"/>
        <v>31.132649999999998</v>
      </c>
      <c r="T49" s="891"/>
    </row>
    <row r="50" spans="1:20" ht="15.75" thickBot="1">
      <c r="A50" s="892"/>
      <c r="B50" s="892"/>
      <c r="C50" s="892"/>
      <c r="D50" s="892"/>
      <c r="E50" s="892"/>
      <c r="F50" s="892"/>
      <c r="G50" s="892"/>
      <c r="H50" s="892"/>
      <c r="I50" s="892"/>
      <c r="J50" s="892"/>
      <c r="K50" s="892"/>
      <c r="L50" s="892"/>
      <c r="M50" s="892"/>
      <c r="N50" s="892"/>
      <c r="O50" s="892"/>
      <c r="P50" s="892"/>
      <c r="Q50" s="892"/>
      <c r="R50" s="908"/>
      <c r="S50" s="908"/>
      <c r="T50" s="889"/>
    </row>
    <row r="51" spans="1:20" ht="16.5" thickBot="1">
      <c r="A51" s="1108" t="s">
        <v>400</v>
      </c>
      <c r="B51" s="1138"/>
      <c r="C51" s="1138"/>
      <c r="D51" s="177">
        <f>+D42+D49</f>
        <v>255</v>
      </c>
      <c r="E51" s="178">
        <f>+E42+E49</f>
        <v>85.199809999999985</v>
      </c>
      <c r="F51" s="184">
        <f t="shared" ref="F51:Q51" si="17">+F42+F49</f>
        <v>16928</v>
      </c>
      <c r="G51" s="178">
        <f t="shared" si="17"/>
        <v>5400.9222120000004</v>
      </c>
      <c r="H51" s="184">
        <f t="shared" si="17"/>
        <v>17067</v>
      </c>
      <c r="I51" s="178">
        <f t="shared" si="17"/>
        <v>5447.6278449999991</v>
      </c>
      <c r="J51" s="184">
        <f t="shared" si="17"/>
        <v>0</v>
      </c>
      <c r="K51" s="178">
        <f t="shared" si="17"/>
        <v>0</v>
      </c>
      <c r="L51" s="184">
        <f t="shared" si="17"/>
        <v>0</v>
      </c>
      <c r="M51" s="178">
        <f t="shared" si="17"/>
        <v>0</v>
      </c>
      <c r="N51" s="184">
        <f t="shared" si="17"/>
        <v>0</v>
      </c>
      <c r="O51" s="178">
        <f t="shared" si="17"/>
        <v>0</v>
      </c>
      <c r="P51" s="184">
        <f t="shared" si="17"/>
        <v>116</v>
      </c>
      <c r="Q51" s="210">
        <f t="shared" si="17"/>
        <v>38.494177000000491</v>
      </c>
      <c r="R51" s="891"/>
      <c r="S51" s="889"/>
      <c r="T51" s="889"/>
    </row>
    <row r="53" spans="1:20" ht="15" customHeight="1">
      <c r="B53" s="1111"/>
      <c r="C53" s="1111"/>
      <c r="D53" s="1111"/>
      <c r="E53" s="1111"/>
      <c r="F53" s="1111"/>
      <c r="G53" s="1111"/>
      <c r="H53" s="1111"/>
      <c r="I53" s="1111"/>
      <c r="J53" s="1111"/>
      <c r="K53" s="1111"/>
      <c r="L53" s="1111"/>
      <c r="M53" s="1111"/>
      <c r="N53" s="1111"/>
      <c r="O53" s="1111"/>
      <c r="P53" s="1111"/>
    </row>
    <row r="54" spans="1:20" ht="15" customHeight="1">
      <c r="B54" s="1111"/>
      <c r="C54" s="1111"/>
      <c r="D54" s="1111"/>
      <c r="E54" s="1111"/>
      <c r="F54" s="1111"/>
      <c r="G54" s="1111"/>
      <c r="H54" s="1111"/>
      <c r="I54" s="1111"/>
      <c r="J54" s="1111"/>
      <c r="K54" s="1111"/>
      <c r="L54" s="1111"/>
      <c r="M54" s="1111"/>
      <c r="N54" s="1111"/>
      <c r="O54" s="1111"/>
      <c r="P54" s="1111"/>
    </row>
    <row r="55" spans="1:20" ht="15" customHeight="1">
      <c r="B55" s="1111"/>
      <c r="C55" s="1111"/>
      <c r="D55" s="1111"/>
      <c r="E55" s="1111"/>
      <c r="F55" s="1111"/>
      <c r="G55" s="1111"/>
      <c r="H55" s="1111"/>
      <c r="I55" s="1111"/>
      <c r="J55" s="1111"/>
      <c r="K55" s="1111"/>
      <c r="L55" s="1111"/>
      <c r="M55" s="1111"/>
      <c r="N55" s="1111"/>
      <c r="O55" s="1111"/>
      <c r="P55" s="1111"/>
    </row>
    <row r="56" spans="1:20">
      <c r="B56" s="1111"/>
      <c r="C56" s="1111"/>
      <c r="D56" s="1111"/>
      <c r="E56" s="1111"/>
      <c r="F56" s="1111"/>
      <c r="G56" s="1111"/>
      <c r="H56" s="1111"/>
      <c r="I56" s="1111"/>
      <c r="J56" s="1111"/>
      <c r="K56" s="1111"/>
      <c r="L56" s="1111"/>
      <c r="M56" s="1111"/>
      <c r="N56" s="1111"/>
      <c r="O56" s="1111"/>
      <c r="P56" s="1111"/>
    </row>
  </sheetData>
  <mergeCells count="20">
    <mergeCell ref="B1:Q1"/>
    <mergeCell ref="B2:Q2"/>
    <mergeCell ref="B3:Q3"/>
    <mergeCell ref="D4:E4"/>
    <mergeCell ref="F4:G4"/>
    <mergeCell ref="H4:I4"/>
    <mergeCell ref="J4:K4"/>
    <mergeCell ref="L4:M4"/>
    <mergeCell ref="N4:O4"/>
    <mergeCell ref="P4:Q4"/>
    <mergeCell ref="C4:C5"/>
    <mergeCell ref="F44:G44"/>
    <mergeCell ref="H44:I44"/>
    <mergeCell ref="J44:K44"/>
    <mergeCell ref="L44:M44"/>
    <mergeCell ref="B53:P56"/>
    <mergeCell ref="N44:O44"/>
    <mergeCell ref="P44:Q44"/>
    <mergeCell ref="A51:C51"/>
    <mergeCell ref="D44:E44"/>
  </mergeCells>
  <pageMargins left="0.7" right="0.7" top="0.75" bottom="0.75" header="0.3" footer="0.3"/>
  <pageSetup scale="6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41"/>
  <sheetViews>
    <sheetView topLeftCell="C1" zoomScale="80" zoomScaleNormal="80" workbookViewId="0">
      <pane ySplit="7" topLeftCell="A29" activePane="bottomLeft" state="frozen"/>
      <selection pane="bottomLeft" activeCell="Q1" sqref="Q1:U1"/>
    </sheetView>
  </sheetViews>
  <sheetFormatPr defaultColWidth="9" defaultRowHeight="15"/>
  <cols>
    <col min="17" max="17" width="19.5703125" customWidth="1"/>
  </cols>
  <sheetData>
    <row r="1" spans="1:21" ht="46.5">
      <c r="B1" s="935" t="s">
        <v>0</v>
      </c>
      <c r="C1" s="936"/>
      <c r="D1" s="936"/>
      <c r="E1" s="936"/>
      <c r="F1" s="936"/>
      <c r="G1" s="936"/>
      <c r="H1" s="936"/>
      <c r="I1" s="936"/>
      <c r="J1" s="936"/>
      <c r="K1" s="936"/>
      <c r="L1" s="936"/>
      <c r="M1" s="936"/>
      <c r="N1" s="936"/>
      <c r="O1" s="936"/>
      <c r="P1" s="936"/>
      <c r="Q1" s="129"/>
      <c r="R1" s="1146"/>
      <c r="S1" s="1146"/>
      <c r="T1" s="129"/>
      <c r="U1" s="227"/>
    </row>
    <row r="2" spans="1:21" ht="21">
      <c r="B2" s="937" t="s">
        <v>2</v>
      </c>
      <c r="C2" s="938"/>
      <c r="D2" s="938"/>
      <c r="E2" s="938"/>
      <c r="F2" s="938"/>
      <c r="G2" s="938"/>
      <c r="H2" s="938"/>
      <c r="I2" s="938"/>
      <c r="J2" s="938"/>
      <c r="K2" s="938"/>
      <c r="L2" s="938"/>
      <c r="M2" s="938"/>
      <c r="N2" s="938"/>
      <c r="O2" s="938"/>
      <c r="P2" s="938"/>
      <c r="Q2" s="129" t="s">
        <v>3</v>
      </c>
      <c r="R2" s="931"/>
      <c r="S2" s="931"/>
      <c r="T2" s="931"/>
      <c r="U2" s="931"/>
    </row>
    <row r="3" spans="1:21" ht="21">
      <c r="B3" s="939" t="s">
        <v>401</v>
      </c>
      <c r="C3" s="940"/>
      <c r="D3" s="940"/>
      <c r="E3" s="940"/>
      <c r="F3" s="940"/>
      <c r="G3" s="940"/>
      <c r="H3" s="940"/>
      <c r="I3" s="940"/>
      <c r="J3" s="940"/>
      <c r="K3" s="940"/>
      <c r="L3" s="940"/>
      <c r="M3" s="940"/>
      <c r="N3" s="940"/>
      <c r="O3" s="940"/>
      <c r="P3" s="940"/>
      <c r="Q3" s="129" t="s">
        <v>5</v>
      </c>
      <c r="R3" s="931"/>
      <c r="S3" s="931"/>
      <c r="T3" s="931"/>
      <c r="U3" s="931"/>
    </row>
    <row r="4" spans="1:21" ht="21">
      <c r="A4" s="932" t="s">
        <v>70</v>
      </c>
      <c r="B4" s="933"/>
      <c r="C4" s="933"/>
      <c r="D4" s="933"/>
      <c r="E4" s="933"/>
      <c r="F4" s="933"/>
      <c r="G4" s="933"/>
      <c r="H4" s="933"/>
      <c r="I4" s="933"/>
      <c r="J4" s="933"/>
      <c r="K4" s="933"/>
      <c r="L4" s="933"/>
      <c r="M4" s="933"/>
      <c r="N4" s="933"/>
      <c r="O4" s="933"/>
      <c r="P4" s="933"/>
      <c r="Q4" s="129" t="s">
        <v>7</v>
      </c>
      <c r="R4" s="931"/>
      <c r="S4" s="931"/>
      <c r="T4" s="931"/>
      <c r="U4" s="931"/>
    </row>
    <row r="5" spans="1:21">
      <c r="B5" s="214" t="s">
        <v>20</v>
      </c>
      <c r="C5" s="934" t="s">
        <v>8</v>
      </c>
      <c r="D5" s="934"/>
      <c r="E5" s="934"/>
      <c r="F5" s="934" t="s">
        <v>9</v>
      </c>
      <c r="G5" s="934"/>
      <c r="H5" s="934" t="s">
        <v>10</v>
      </c>
      <c r="I5" s="934"/>
      <c r="J5" s="934" t="s">
        <v>11</v>
      </c>
      <c r="K5" s="934"/>
      <c r="L5" s="942" t="s">
        <v>12</v>
      </c>
      <c r="M5" s="215"/>
      <c r="N5" s="934" t="s">
        <v>13</v>
      </c>
      <c r="O5" s="934"/>
      <c r="P5" s="225" t="s">
        <v>14</v>
      </c>
      <c r="Q5" s="129" t="s">
        <v>15</v>
      </c>
      <c r="R5" s="931"/>
      <c r="S5" s="931"/>
      <c r="T5" s="931"/>
      <c r="U5" s="931"/>
    </row>
    <row r="6" spans="1:21">
      <c r="B6" s="216"/>
      <c r="C6" s="217" t="s">
        <v>16</v>
      </c>
      <c r="D6" s="217" t="s">
        <v>17</v>
      </c>
      <c r="E6" s="217"/>
      <c r="F6" s="217" t="s">
        <v>16</v>
      </c>
      <c r="G6" s="217" t="s">
        <v>17</v>
      </c>
      <c r="H6" s="217" t="s">
        <v>16</v>
      </c>
      <c r="I6" s="217" t="s">
        <v>17</v>
      </c>
      <c r="J6" s="217" t="s">
        <v>16</v>
      </c>
      <c r="K6" s="217" t="s">
        <v>18</v>
      </c>
      <c r="L6" s="943"/>
      <c r="M6" s="217"/>
      <c r="N6" s="217" t="s">
        <v>16</v>
      </c>
      <c r="O6" s="217" t="s">
        <v>17</v>
      </c>
      <c r="P6" s="226"/>
      <c r="Q6" s="129" t="s">
        <v>19</v>
      </c>
      <c r="R6" s="931"/>
      <c r="S6" s="931"/>
      <c r="T6" s="931"/>
      <c r="U6" s="931"/>
    </row>
    <row r="7" spans="1:21">
      <c r="B7" s="216"/>
      <c r="C7" s="217" t="s">
        <v>21</v>
      </c>
      <c r="D7" s="217" t="s">
        <v>22</v>
      </c>
      <c r="E7" s="217"/>
      <c r="F7" s="217" t="s">
        <v>21</v>
      </c>
      <c r="G7" s="217" t="s">
        <v>22</v>
      </c>
      <c r="H7" s="217" t="s">
        <v>21</v>
      </c>
      <c r="I7" s="217" t="s">
        <v>22</v>
      </c>
      <c r="J7" s="217" t="s">
        <v>21</v>
      </c>
      <c r="K7" s="217" t="s">
        <v>22</v>
      </c>
      <c r="L7" s="934"/>
      <c r="M7" s="217" t="s">
        <v>23</v>
      </c>
      <c r="N7" s="217" t="s">
        <v>21</v>
      </c>
      <c r="O7" s="217" t="s">
        <v>22</v>
      </c>
      <c r="P7" s="226"/>
      <c r="Q7" s="129" t="s">
        <v>24</v>
      </c>
      <c r="R7" s="941"/>
      <c r="S7" s="941"/>
      <c r="T7" s="941"/>
      <c r="U7" s="941"/>
    </row>
    <row r="8" spans="1:21">
      <c r="B8" s="216">
        <v>1</v>
      </c>
      <c r="C8" s="238"/>
      <c r="D8" s="219">
        <f t="shared" ref="D8:D38" si="0">$R$8*C8/1000</f>
        <v>0</v>
      </c>
      <c r="E8" s="216"/>
      <c r="F8" s="216"/>
      <c r="G8" s="219"/>
      <c r="H8" s="216">
        <f>C8+F8</f>
        <v>0</v>
      </c>
      <c r="I8" s="219">
        <f t="shared" ref="I8:I38" si="1">$R$8*H8/1000</f>
        <v>0</v>
      </c>
      <c r="J8" s="216"/>
      <c r="K8" s="219">
        <f>+G8</f>
        <v>0</v>
      </c>
      <c r="L8" s="219">
        <f>J8*R$8/1000</f>
        <v>0</v>
      </c>
      <c r="M8" s="218">
        <f>J8*R$7/1000</f>
        <v>0</v>
      </c>
      <c r="N8" s="216">
        <f>H8-J8</f>
        <v>0</v>
      </c>
      <c r="O8" s="219">
        <f>N8*R$8/1000</f>
        <v>0</v>
      </c>
      <c r="P8" s="216"/>
    </row>
    <row r="9" spans="1:21">
      <c r="B9" s="216">
        <v>2</v>
      </c>
      <c r="C9" s="216"/>
      <c r="D9" s="219">
        <f t="shared" si="0"/>
        <v>0</v>
      </c>
      <c r="E9" s="216"/>
      <c r="F9" s="216"/>
      <c r="G9" s="219"/>
      <c r="H9" s="216">
        <f t="shared" ref="H9:H38" si="2">C9+F9</f>
        <v>0</v>
      </c>
      <c r="I9" s="219">
        <f t="shared" si="1"/>
        <v>0</v>
      </c>
      <c r="J9" s="216"/>
      <c r="K9" s="219">
        <f t="shared" ref="K9:K38" si="3">+G9</f>
        <v>0</v>
      </c>
      <c r="L9" s="219">
        <f t="shared" ref="L9:L38" si="4">J9*R$8/1000</f>
        <v>0</v>
      </c>
      <c r="M9" s="218">
        <f t="shared" ref="M9:M38" si="5">J9*R$7/1000</f>
        <v>0</v>
      </c>
      <c r="N9" s="216">
        <f t="shared" ref="N9:N38" si="6">H9-J9</f>
        <v>0</v>
      </c>
      <c r="O9" s="219">
        <f t="shared" ref="O9:O38" si="7">N9*R$8/1000</f>
        <v>0</v>
      </c>
      <c r="P9" s="216"/>
    </row>
    <row r="10" spans="1:21">
      <c r="B10" s="216">
        <v>3</v>
      </c>
      <c r="C10" s="216"/>
      <c r="D10" s="219">
        <f t="shared" si="0"/>
        <v>0</v>
      </c>
      <c r="E10" s="216"/>
      <c r="F10" s="216"/>
      <c r="G10" s="219"/>
      <c r="H10" s="216">
        <f t="shared" si="2"/>
        <v>0</v>
      </c>
      <c r="I10" s="219">
        <f t="shared" si="1"/>
        <v>0</v>
      </c>
      <c r="J10" s="216"/>
      <c r="K10" s="219">
        <f t="shared" si="3"/>
        <v>0</v>
      </c>
      <c r="L10" s="219">
        <f t="shared" si="4"/>
        <v>0</v>
      </c>
      <c r="M10" s="218">
        <f t="shared" si="5"/>
        <v>0</v>
      </c>
      <c r="N10" s="216">
        <f t="shared" si="6"/>
        <v>0</v>
      </c>
      <c r="O10" s="219">
        <f t="shared" si="7"/>
        <v>0</v>
      </c>
      <c r="P10" s="216"/>
    </row>
    <row r="11" spans="1:21">
      <c r="B11" s="216">
        <v>4</v>
      </c>
      <c r="C11" s="216"/>
      <c r="D11" s="219">
        <f t="shared" si="0"/>
        <v>0</v>
      </c>
      <c r="E11" s="216"/>
      <c r="F11" s="216"/>
      <c r="G11" s="219"/>
      <c r="H11" s="216">
        <f t="shared" si="2"/>
        <v>0</v>
      </c>
      <c r="I11" s="219">
        <f t="shared" si="1"/>
        <v>0</v>
      </c>
      <c r="J11" s="216"/>
      <c r="K11" s="219">
        <f t="shared" si="3"/>
        <v>0</v>
      </c>
      <c r="L11" s="219">
        <f t="shared" si="4"/>
        <v>0</v>
      </c>
      <c r="M11" s="218">
        <f t="shared" si="5"/>
        <v>0</v>
      </c>
      <c r="N11" s="216">
        <f t="shared" si="6"/>
        <v>0</v>
      </c>
      <c r="O11" s="219">
        <f t="shared" si="7"/>
        <v>0</v>
      </c>
      <c r="P11" s="216"/>
    </row>
    <row r="12" spans="1:21">
      <c r="B12" s="216">
        <v>5</v>
      </c>
      <c r="C12" s="216"/>
      <c r="D12" s="219">
        <f t="shared" si="0"/>
        <v>0</v>
      </c>
      <c r="E12" s="216"/>
      <c r="F12" s="216"/>
      <c r="G12" s="219"/>
      <c r="H12" s="216">
        <f t="shared" si="2"/>
        <v>0</v>
      </c>
      <c r="I12" s="219">
        <f t="shared" si="1"/>
        <v>0</v>
      </c>
      <c r="J12" s="216"/>
      <c r="K12" s="219">
        <f t="shared" si="3"/>
        <v>0</v>
      </c>
      <c r="L12" s="219">
        <f t="shared" si="4"/>
        <v>0</v>
      </c>
      <c r="M12" s="218">
        <f t="shared" si="5"/>
        <v>0</v>
      </c>
      <c r="N12" s="216">
        <f t="shared" si="6"/>
        <v>0</v>
      </c>
      <c r="O12" s="219">
        <f t="shared" si="7"/>
        <v>0</v>
      </c>
      <c r="P12" s="216"/>
    </row>
    <row r="13" spans="1:21">
      <c r="B13" s="216">
        <v>6</v>
      </c>
      <c r="C13" s="217"/>
      <c r="D13" s="221"/>
      <c r="E13" s="217"/>
      <c r="F13" s="217"/>
      <c r="G13" s="221"/>
      <c r="H13" s="217"/>
      <c r="I13" s="221"/>
      <c r="J13" s="217"/>
      <c r="K13" s="219">
        <f t="shared" si="3"/>
        <v>0</v>
      </c>
      <c r="L13" s="221"/>
      <c r="M13" s="218">
        <f t="shared" si="5"/>
        <v>0</v>
      </c>
      <c r="N13" s="216">
        <f t="shared" si="6"/>
        <v>0</v>
      </c>
      <c r="O13" s="219">
        <f t="shared" si="7"/>
        <v>0</v>
      </c>
      <c r="P13" s="216"/>
    </row>
    <row r="14" spans="1:21">
      <c r="B14" s="216">
        <v>7</v>
      </c>
      <c r="C14" s="216"/>
      <c r="D14" s="219">
        <f t="shared" si="0"/>
        <v>0</v>
      </c>
      <c r="E14" s="216"/>
      <c r="F14" s="216"/>
      <c r="G14" s="219"/>
      <c r="H14" s="216">
        <f t="shared" si="2"/>
        <v>0</v>
      </c>
      <c r="I14" s="219">
        <f t="shared" si="1"/>
        <v>0</v>
      </c>
      <c r="J14" s="216"/>
      <c r="K14" s="219">
        <f t="shared" si="3"/>
        <v>0</v>
      </c>
      <c r="L14" s="219">
        <f t="shared" si="4"/>
        <v>0</v>
      </c>
      <c r="M14" s="218">
        <f t="shared" si="5"/>
        <v>0</v>
      </c>
      <c r="N14" s="216">
        <f t="shared" si="6"/>
        <v>0</v>
      </c>
      <c r="O14" s="219">
        <f t="shared" si="7"/>
        <v>0</v>
      </c>
      <c r="P14" s="216"/>
    </row>
    <row r="15" spans="1:21">
      <c r="B15" s="216">
        <v>8</v>
      </c>
      <c r="C15" s="216"/>
      <c r="D15" s="219">
        <f t="shared" si="0"/>
        <v>0</v>
      </c>
      <c r="E15" s="216"/>
      <c r="F15" s="216"/>
      <c r="G15" s="219"/>
      <c r="H15" s="216">
        <f t="shared" si="2"/>
        <v>0</v>
      </c>
      <c r="I15" s="219">
        <f t="shared" si="1"/>
        <v>0</v>
      </c>
      <c r="J15" s="216"/>
      <c r="K15" s="219">
        <f t="shared" si="3"/>
        <v>0</v>
      </c>
      <c r="L15" s="219">
        <f t="shared" si="4"/>
        <v>0</v>
      </c>
      <c r="M15" s="218">
        <f t="shared" si="5"/>
        <v>0</v>
      </c>
      <c r="N15" s="216">
        <f t="shared" si="6"/>
        <v>0</v>
      </c>
      <c r="O15" s="219">
        <f t="shared" si="7"/>
        <v>0</v>
      </c>
      <c r="P15" s="216"/>
    </row>
    <row r="16" spans="1:21">
      <c r="B16" s="216">
        <v>9</v>
      </c>
      <c r="C16" s="216"/>
      <c r="D16" s="219">
        <f t="shared" si="0"/>
        <v>0</v>
      </c>
      <c r="E16" s="216"/>
      <c r="F16" s="216"/>
      <c r="G16" s="219"/>
      <c r="H16" s="216">
        <f t="shared" si="2"/>
        <v>0</v>
      </c>
      <c r="I16" s="219">
        <f t="shared" si="1"/>
        <v>0</v>
      </c>
      <c r="J16" s="216"/>
      <c r="K16" s="219">
        <f t="shared" si="3"/>
        <v>0</v>
      </c>
      <c r="L16" s="219">
        <f t="shared" si="4"/>
        <v>0</v>
      </c>
      <c r="M16" s="218">
        <f t="shared" si="5"/>
        <v>0</v>
      </c>
      <c r="N16" s="216">
        <f t="shared" si="6"/>
        <v>0</v>
      </c>
      <c r="O16" s="219">
        <f t="shared" si="7"/>
        <v>0</v>
      </c>
      <c r="P16" s="216"/>
    </row>
    <row r="17" spans="2:16">
      <c r="B17" s="216">
        <v>10</v>
      </c>
      <c r="C17" s="216"/>
      <c r="D17" s="219"/>
      <c r="E17" s="216"/>
      <c r="F17" s="216"/>
      <c r="G17" s="219"/>
      <c r="H17" s="216"/>
      <c r="I17" s="219">
        <f t="shared" si="1"/>
        <v>0</v>
      </c>
      <c r="J17" s="216"/>
      <c r="K17" s="219">
        <f t="shared" si="3"/>
        <v>0</v>
      </c>
      <c r="L17" s="219">
        <f t="shared" si="4"/>
        <v>0</v>
      </c>
      <c r="M17" s="218">
        <f t="shared" si="5"/>
        <v>0</v>
      </c>
      <c r="N17" s="216">
        <f t="shared" si="6"/>
        <v>0</v>
      </c>
      <c r="O17" s="219">
        <f t="shared" si="7"/>
        <v>0</v>
      </c>
      <c r="P17" s="216"/>
    </row>
    <row r="18" spans="2:16">
      <c r="B18" s="216">
        <v>11</v>
      </c>
      <c r="C18" s="216"/>
      <c r="D18" s="219">
        <f t="shared" si="0"/>
        <v>0</v>
      </c>
      <c r="E18" s="216"/>
      <c r="F18" s="216"/>
      <c r="G18" s="219"/>
      <c r="H18" s="216">
        <f t="shared" si="2"/>
        <v>0</v>
      </c>
      <c r="I18" s="219">
        <f t="shared" si="1"/>
        <v>0</v>
      </c>
      <c r="J18" s="216"/>
      <c r="K18" s="219">
        <f t="shared" si="3"/>
        <v>0</v>
      </c>
      <c r="L18" s="219">
        <f t="shared" si="4"/>
        <v>0</v>
      </c>
      <c r="M18" s="218">
        <f t="shared" si="5"/>
        <v>0</v>
      </c>
      <c r="N18" s="216">
        <f t="shared" si="6"/>
        <v>0</v>
      </c>
      <c r="O18" s="219">
        <f t="shared" si="7"/>
        <v>0</v>
      </c>
      <c r="P18" s="216"/>
    </row>
    <row r="19" spans="2:16">
      <c r="B19" s="216">
        <v>12</v>
      </c>
      <c r="C19" s="216"/>
      <c r="D19" s="219">
        <f t="shared" si="0"/>
        <v>0</v>
      </c>
      <c r="E19" s="216"/>
      <c r="F19" s="216"/>
      <c r="G19" s="219"/>
      <c r="H19" s="216">
        <f t="shared" si="2"/>
        <v>0</v>
      </c>
      <c r="I19" s="219">
        <f t="shared" si="1"/>
        <v>0</v>
      </c>
      <c r="J19" s="216"/>
      <c r="K19" s="219">
        <f t="shared" si="3"/>
        <v>0</v>
      </c>
      <c r="L19" s="219">
        <f t="shared" si="4"/>
        <v>0</v>
      </c>
      <c r="M19" s="218">
        <f t="shared" si="5"/>
        <v>0</v>
      </c>
      <c r="N19" s="216">
        <f t="shared" si="6"/>
        <v>0</v>
      </c>
      <c r="O19" s="219">
        <f t="shared" si="7"/>
        <v>0</v>
      </c>
      <c r="P19" s="216"/>
    </row>
    <row r="20" spans="2:16">
      <c r="B20" s="216">
        <v>13</v>
      </c>
      <c r="C20" s="216"/>
      <c r="D20" s="219">
        <f t="shared" si="0"/>
        <v>0</v>
      </c>
      <c r="E20" s="216"/>
      <c r="F20" s="216"/>
      <c r="G20" s="219"/>
      <c r="H20" s="216">
        <f t="shared" si="2"/>
        <v>0</v>
      </c>
      <c r="I20" s="219">
        <f t="shared" si="1"/>
        <v>0</v>
      </c>
      <c r="J20" s="216"/>
      <c r="K20" s="219">
        <f t="shared" si="3"/>
        <v>0</v>
      </c>
      <c r="L20" s="219">
        <f t="shared" si="4"/>
        <v>0</v>
      </c>
      <c r="M20" s="218">
        <f t="shared" si="5"/>
        <v>0</v>
      </c>
      <c r="N20" s="216">
        <f t="shared" si="6"/>
        <v>0</v>
      </c>
      <c r="O20" s="219">
        <f t="shared" si="7"/>
        <v>0</v>
      </c>
      <c r="P20" s="216"/>
    </row>
    <row r="21" spans="2:16">
      <c r="B21" s="216">
        <v>14</v>
      </c>
      <c r="C21" s="216"/>
      <c r="D21" s="219">
        <f t="shared" si="0"/>
        <v>0</v>
      </c>
      <c r="E21" s="216"/>
      <c r="F21" s="216"/>
      <c r="G21" s="219"/>
      <c r="H21" s="216">
        <f t="shared" si="2"/>
        <v>0</v>
      </c>
      <c r="I21" s="219">
        <f t="shared" si="1"/>
        <v>0</v>
      </c>
      <c r="J21" s="216"/>
      <c r="K21" s="219">
        <f t="shared" si="3"/>
        <v>0</v>
      </c>
      <c r="L21" s="219">
        <f t="shared" si="4"/>
        <v>0</v>
      </c>
      <c r="M21" s="218">
        <f t="shared" si="5"/>
        <v>0</v>
      </c>
      <c r="N21" s="216">
        <f t="shared" si="6"/>
        <v>0</v>
      </c>
      <c r="O21" s="219">
        <f t="shared" si="7"/>
        <v>0</v>
      </c>
      <c r="P21" s="216"/>
    </row>
    <row r="22" spans="2:16">
      <c r="B22" s="216">
        <v>15</v>
      </c>
      <c r="C22" s="216"/>
      <c r="D22" s="219">
        <f t="shared" si="0"/>
        <v>0</v>
      </c>
      <c r="E22" s="216"/>
      <c r="F22" s="216"/>
      <c r="G22" s="219"/>
      <c r="H22" s="216">
        <f t="shared" si="2"/>
        <v>0</v>
      </c>
      <c r="I22" s="219">
        <f t="shared" si="1"/>
        <v>0</v>
      </c>
      <c r="J22" s="216"/>
      <c r="K22" s="219">
        <f t="shared" si="3"/>
        <v>0</v>
      </c>
      <c r="L22" s="219">
        <f t="shared" si="4"/>
        <v>0</v>
      </c>
      <c r="M22" s="218">
        <f t="shared" si="5"/>
        <v>0</v>
      </c>
      <c r="N22" s="216">
        <f t="shared" si="6"/>
        <v>0</v>
      </c>
      <c r="O22" s="219">
        <f t="shared" si="7"/>
        <v>0</v>
      </c>
      <c r="P22" s="216"/>
    </row>
    <row r="23" spans="2:16">
      <c r="B23" s="216">
        <v>16</v>
      </c>
      <c r="C23" s="216"/>
      <c r="D23" s="219">
        <f t="shared" si="0"/>
        <v>0</v>
      </c>
      <c r="E23" s="216"/>
      <c r="F23" s="216"/>
      <c r="G23" s="219"/>
      <c r="H23" s="216">
        <f t="shared" si="2"/>
        <v>0</v>
      </c>
      <c r="I23" s="219">
        <f t="shared" si="1"/>
        <v>0</v>
      </c>
      <c r="J23" s="216"/>
      <c r="K23" s="219">
        <f t="shared" si="3"/>
        <v>0</v>
      </c>
      <c r="L23" s="219">
        <f t="shared" si="4"/>
        <v>0</v>
      </c>
      <c r="M23" s="218">
        <f t="shared" si="5"/>
        <v>0</v>
      </c>
      <c r="N23" s="216">
        <f t="shared" si="6"/>
        <v>0</v>
      </c>
      <c r="O23" s="219">
        <f t="shared" si="7"/>
        <v>0</v>
      </c>
      <c r="P23" s="216"/>
    </row>
    <row r="24" spans="2:16">
      <c r="B24" s="216">
        <v>17</v>
      </c>
      <c r="C24" s="216"/>
      <c r="D24" s="219">
        <f t="shared" si="0"/>
        <v>0</v>
      </c>
      <c r="E24" s="216"/>
      <c r="F24" s="216"/>
      <c r="G24" s="219"/>
      <c r="H24" s="216">
        <f t="shared" si="2"/>
        <v>0</v>
      </c>
      <c r="I24" s="219">
        <f t="shared" si="1"/>
        <v>0</v>
      </c>
      <c r="J24" s="216"/>
      <c r="K24" s="219">
        <f t="shared" si="3"/>
        <v>0</v>
      </c>
      <c r="L24" s="219">
        <f t="shared" si="4"/>
        <v>0</v>
      </c>
      <c r="M24" s="218">
        <f t="shared" si="5"/>
        <v>0</v>
      </c>
      <c r="N24" s="216">
        <f t="shared" si="6"/>
        <v>0</v>
      </c>
      <c r="O24" s="219">
        <f t="shared" si="7"/>
        <v>0</v>
      </c>
      <c r="P24" s="216"/>
    </row>
    <row r="25" spans="2:16">
      <c r="B25" s="216">
        <v>18</v>
      </c>
      <c r="C25" s="216"/>
      <c r="D25" s="219">
        <f t="shared" si="0"/>
        <v>0</v>
      </c>
      <c r="E25" s="216"/>
      <c r="F25" s="216"/>
      <c r="G25" s="219"/>
      <c r="H25" s="216">
        <f t="shared" si="2"/>
        <v>0</v>
      </c>
      <c r="I25" s="219">
        <f t="shared" si="1"/>
        <v>0</v>
      </c>
      <c r="J25" s="216"/>
      <c r="K25" s="219">
        <f t="shared" si="3"/>
        <v>0</v>
      </c>
      <c r="L25" s="219">
        <f t="shared" si="4"/>
        <v>0</v>
      </c>
      <c r="M25" s="218">
        <f t="shared" si="5"/>
        <v>0</v>
      </c>
      <c r="N25" s="216">
        <f t="shared" si="6"/>
        <v>0</v>
      </c>
      <c r="O25" s="219">
        <f t="shared" si="7"/>
        <v>0</v>
      </c>
      <c r="P25" s="216"/>
    </row>
    <row r="26" spans="2:16">
      <c r="B26" s="216">
        <v>19</v>
      </c>
      <c r="C26" s="216"/>
      <c r="D26" s="219">
        <f t="shared" si="0"/>
        <v>0</v>
      </c>
      <c r="E26" s="216"/>
      <c r="F26" s="216"/>
      <c r="G26" s="219"/>
      <c r="H26" s="216">
        <f t="shared" si="2"/>
        <v>0</v>
      </c>
      <c r="I26" s="219">
        <f t="shared" si="1"/>
        <v>0</v>
      </c>
      <c r="J26" s="216"/>
      <c r="K26" s="219">
        <f t="shared" si="3"/>
        <v>0</v>
      </c>
      <c r="L26" s="219">
        <f t="shared" si="4"/>
        <v>0</v>
      </c>
      <c r="M26" s="218">
        <f t="shared" si="5"/>
        <v>0</v>
      </c>
      <c r="N26" s="216">
        <f t="shared" si="6"/>
        <v>0</v>
      </c>
      <c r="O26" s="219">
        <f t="shared" si="7"/>
        <v>0</v>
      </c>
      <c r="P26" s="216"/>
    </row>
    <row r="27" spans="2:16">
      <c r="B27" s="216">
        <v>20</v>
      </c>
      <c r="C27" s="216"/>
      <c r="D27" s="219">
        <f t="shared" si="0"/>
        <v>0</v>
      </c>
      <c r="E27" s="216"/>
      <c r="F27" s="216"/>
      <c r="G27" s="219"/>
      <c r="H27" s="216">
        <f t="shared" si="2"/>
        <v>0</v>
      </c>
      <c r="I27" s="219">
        <f t="shared" si="1"/>
        <v>0</v>
      </c>
      <c r="J27" s="216"/>
      <c r="K27" s="219">
        <f t="shared" si="3"/>
        <v>0</v>
      </c>
      <c r="L27" s="219">
        <f t="shared" si="4"/>
        <v>0</v>
      </c>
      <c r="M27" s="218">
        <f t="shared" si="5"/>
        <v>0</v>
      </c>
      <c r="N27" s="216">
        <f t="shared" si="6"/>
        <v>0</v>
      </c>
      <c r="O27" s="219">
        <f t="shared" si="7"/>
        <v>0</v>
      </c>
      <c r="P27" s="216"/>
    </row>
    <row r="28" spans="2:16">
      <c r="B28" s="216">
        <v>21</v>
      </c>
      <c r="C28" s="216"/>
      <c r="D28" s="219">
        <f t="shared" si="0"/>
        <v>0</v>
      </c>
      <c r="E28" s="216"/>
      <c r="F28" s="216"/>
      <c r="G28" s="219"/>
      <c r="H28" s="216">
        <f t="shared" si="2"/>
        <v>0</v>
      </c>
      <c r="I28" s="219">
        <f t="shared" si="1"/>
        <v>0</v>
      </c>
      <c r="J28" s="216"/>
      <c r="K28" s="219">
        <f t="shared" si="3"/>
        <v>0</v>
      </c>
      <c r="L28" s="219">
        <f t="shared" si="4"/>
        <v>0</v>
      </c>
      <c r="M28" s="218">
        <f t="shared" si="5"/>
        <v>0</v>
      </c>
      <c r="N28" s="216">
        <f t="shared" si="6"/>
        <v>0</v>
      </c>
      <c r="O28" s="219">
        <f t="shared" si="7"/>
        <v>0</v>
      </c>
      <c r="P28" s="216"/>
    </row>
    <row r="29" spans="2:16">
      <c r="B29" s="216">
        <v>22</v>
      </c>
      <c r="C29" s="216"/>
      <c r="D29" s="219">
        <f t="shared" si="0"/>
        <v>0</v>
      </c>
      <c r="E29" s="216"/>
      <c r="F29" s="216"/>
      <c r="G29" s="219"/>
      <c r="H29" s="216">
        <f t="shared" si="2"/>
        <v>0</v>
      </c>
      <c r="I29" s="219">
        <f t="shared" si="1"/>
        <v>0</v>
      </c>
      <c r="J29" s="216"/>
      <c r="K29" s="219">
        <f t="shared" si="3"/>
        <v>0</v>
      </c>
      <c r="L29" s="219">
        <f t="shared" si="4"/>
        <v>0</v>
      </c>
      <c r="M29" s="218">
        <f t="shared" si="5"/>
        <v>0</v>
      </c>
      <c r="N29" s="216">
        <f t="shared" si="6"/>
        <v>0</v>
      </c>
      <c r="O29" s="219">
        <f t="shared" si="7"/>
        <v>0</v>
      </c>
      <c r="P29" s="216"/>
    </row>
    <row r="30" spans="2:16">
      <c r="B30" s="216">
        <v>23</v>
      </c>
      <c r="C30" s="216"/>
      <c r="D30" s="219">
        <f t="shared" si="0"/>
        <v>0</v>
      </c>
      <c r="E30" s="216"/>
      <c r="F30" s="216"/>
      <c r="G30" s="219"/>
      <c r="H30" s="216">
        <f t="shared" si="2"/>
        <v>0</v>
      </c>
      <c r="I30" s="219">
        <f t="shared" si="1"/>
        <v>0</v>
      </c>
      <c r="J30" s="216"/>
      <c r="K30" s="219">
        <f t="shared" si="3"/>
        <v>0</v>
      </c>
      <c r="L30" s="219">
        <f t="shared" si="4"/>
        <v>0</v>
      </c>
      <c r="M30" s="218">
        <f t="shared" si="5"/>
        <v>0</v>
      </c>
      <c r="N30" s="216">
        <f t="shared" si="6"/>
        <v>0</v>
      </c>
      <c r="O30" s="219">
        <f t="shared" si="7"/>
        <v>0</v>
      </c>
      <c r="P30" s="216"/>
    </row>
    <row r="31" spans="2:16">
      <c r="B31" s="216">
        <v>24</v>
      </c>
      <c r="C31" s="216"/>
      <c r="D31" s="219">
        <f t="shared" si="0"/>
        <v>0</v>
      </c>
      <c r="E31" s="216"/>
      <c r="F31" s="216"/>
      <c r="G31" s="219"/>
      <c r="H31" s="216">
        <f t="shared" si="2"/>
        <v>0</v>
      </c>
      <c r="I31" s="219">
        <f t="shared" si="1"/>
        <v>0</v>
      </c>
      <c r="J31" s="216"/>
      <c r="K31" s="219">
        <f t="shared" si="3"/>
        <v>0</v>
      </c>
      <c r="L31" s="219">
        <f t="shared" si="4"/>
        <v>0</v>
      </c>
      <c r="M31" s="218">
        <f t="shared" si="5"/>
        <v>0</v>
      </c>
      <c r="N31" s="216">
        <f t="shared" si="6"/>
        <v>0</v>
      </c>
      <c r="O31" s="219">
        <f t="shared" si="7"/>
        <v>0</v>
      </c>
      <c r="P31" s="216"/>
    </row>
    <row r="32" spans="2:16">
      <c r="B32" s="216">
        <v>25</v>
      </c>
      <c r="C32" s="216"/>
      <c r="D32" s="219">
        <f t="shared" si="0"/>
        <v>0</v>
      </c>
      <c r="E32" s="216"/>
      <c r="F32" s="216"/>
      <c r="G32" s="219"/>
      <c r="H32" s="216">
        <f t="shared" si="2"/>
        <v>0</v>
      </c>
      <c r="I32" s="219">
        <f t="shared" si="1"/>
        <v>0</v>
      </c>
      <c r="J32" s="216"/>
      <c r="K32" s="219">
        <f t="shared" si="3"/>
        <v>0</v>
      </c>
      <c r="L32" s="219">
        <f t="shared" si="4"/>
        <v>0</v>
      </c>
      <c r="M32" s="218">
        <f t="shared" si="5"/>
        <v>0</v>
      </c>
      <c r="N32" s="216">
        <f t="shared" si="6"/>
        <v>0</v>
      </c>
      <c r="O32" s="219">
        <f t="shared" si="7"/>
        <v>0</v>
      </c>
      <c r="P32" s="216"/>
    </row>
    <row r="33" spans="2:20">
      <c r="B33" s="216">
        <v>26</v>
      </c>
      <c r="C33" s="216"/>
      <c r="D33" s="219">
        <f t="shared" si="0"/>
        <v>0</v>
      </c>
      <c r="E33" s="216"/>
      <c r="F33" s="216"/>
      <c r="G33" s="219"/>
      <c r="H33" s="216">
        <f t="shared" si="2"/>
        <v>0</v>
      </c>
      <c r="I33" s="219">
        <f t="shared" si="1"/>
        <v>0</v>
      </c>
      <c r="J33" s="216"/>
      <c r="K33" s="219">
        <f t="shared" si="3"/>
        <v>0</v>
      </c>
      <c r="L33" s="219">
        <f t="shared" si="4"/>
        <v>0</v>
      </c>
      <c r="M33" s="218">
        <f t="shared" si="5"/>
        <v>0</v>
      </c>
      <c r="N33" s="216">
        <f t="shared" si="6"/>
        <v>0</v>
      </c>
      <c r="O33" s="219">
        <f t="shared" si="7"/>
        <v>0</v>
      </c>
      <c r="P33" s="216"/>
    </row>
    <row r="34" spans="2:20">
      <c r="B34" s="216">
        <v>27</v>
      </c>
      <c r="C34" s="216"/>
      <c r="D34" s="219">
        <f t="shared" si="0"/>
        <v>0</v>
      </c>
      <c r="E34" s="216"/>
      <c r="F34" s="216"/>
      <c r="G34" s="219"/>
      <c r="H34" s="216">
        <f t="shared" si="2"/>
        <v>0</v>
      </c>
      <c r="I34" s="219">
        <f t="shared" si="1"/>
        <v>0</v>
      </c>
      <c r="J34" s="216"/>
      <c r="K34" s="219">
        <f t="shared" si="3"/>
        <v>0</v>
      </c>
      <c r="L34" s="219">
        <f t="shared" si="4"/>
        <v>0</v>
      </c>
      <c r="M34" s="218">
        <f t="shared" si="5"/>
        <v>0</v>
      </c>
      <c r="N34" s="216">
        <f t="shared" si="6"/>
        <v>0</v>
      </c>
      <c r="O34" s="219">
        <f t="shared" si="7"/>
        <v>0</v>
      </c>
      <c r="P34" s="216"/>
    </row>
    <row r="35" spans="2:20">
      <c r="B35" s="216">
        <v>28</v>
      </c>
      <c r="C35" s="216"/>
      <c r="D35" s="219">
        <f t="shared" si="0"/>
        <v>0</v>
      </c>
      <c r="E35" s="216"/>
      <c r="F35" s="216"/>
      <c r="G35" s="219"/>
      <c r="H35" s="216">
        <f t="shared" si="2"/>
        <v>0</v>
      </c>
      <c r="I35" s="219">
        <f t="shared" si="1"/>
        <v>0</v>
      </c>
      <c r="J35" s="216"/>
      <c r="K35" s="219">
        <f t="shared" si="3"/>
        <v>0</v>
      </c>
      <c r="L35" s="219">
        <f t="shared" si="4"/>
        <v>0</v>
      </c>
      <c r="M35" s="218">
        <f t="shared" si="5"/>
        <v>0</v>
      </c>
      <c r="N35" s="216">
        <f t="shared" si="6"/>
        <v>0</v>
      </c>
      <c r="O35" s="219">
        <f t="shared" si="7"/>
        <v>0</v>
      </c>
      <c r="P35" s="216"/>
      <c r="Q35">
        <v>580</v>
      </c>
      <c r="R35">
        <v>500</v>
      </c>
      <c r="T35">
        <f>Q35*R35/1000</f>
        <v>290</v>
      </c>
    </row>
    <row r="36" spans="2:20">
      <c r="B36" s="216">
        <v>29</v>
      </c>
      <c r="C36" s="216"/>
      <c r="D36" s="219">
        <f t="shared" si="0"/>
        <v>0</v>
      </c>
      <c r="E36" s="216"/>
      <c r="F36" s="216"/>
      <c r="G36" s="219"/>
      <c r="H36" s="216">
        <f t="shared" si="2"/>
        <v>0</v>
      </c>
      <c r="I36" s="219">
        <f t="shared" si="1"/>
        <v>0</v>
      </c>
      <c r="J36" s="216"/>
      <c r="K36" s="219">
        <f t="shared" si="3"/>
        <v>0</v>
      </c>
      <c r="L36" s="219">
        <f t="shared" si="4"/>
        <v>0</v>
      </c>
      <c r="M36" s="218">
        <f t="shared" si="5"/>
        <v>0</v>
      </c>
      <c r="N36" s="216">
        <f t="shared" si="6"/>
        <v>0</v>
      </c>
      <c r="O36" s="219">
        <f t="shared" si="7"/>
        <v>0</v>
      </c>
      <c r="P36" s="216"/>
      <c r="T36">
        <f>T35*0.75%</f>
        <v>2.1749999999999998</v>
      </c>
    </row>
    <row r="37" spans="2:20">
      <c r="B37" s="216">
        <v>30</v>
      </c>
      <c r="C37" s="216"/>
      <c r="D37" s="219">
        <f t="shared" si="0"/>
        <v>0</v>
      </c>
      <c r="E37" s="3"/>
      <c r="F37" s="216"/>
      <c r="G37" s="219"/>
      <c r="H37" s="216">
        <f t="shared" si="2"/>
        <v>0</v>
      </c>
      <c r="I37" s="219">
        <f t="shared" si="1"/>
        <v>0</v>
      </c>
      <c r="J37" s="216"/>
      <c r="K37" s="219">
        <f t="shared" si="3"/>
        <v>0</v>
      </c>
      <c r="L37" s="219">
        <f t="shared" si="4"/>
        <v>0</v>
      </c>
      <c r="M37" s="218">
        <f t="shared" si="5"/>
        <v>0</v>
      </c>
      <c r="N37" s="216">
        <f t="shared" si="6"/>
        <v>0</v>
      </c>
      <c r="O37" s="219">
        <f t="shared" si="7"/>
        <v>0</v>
      </c>
      <c r="P37" s="3"/>
      <c r="T37" s="241">
        <f>T35+T36</f>
        <v>292.17500000000001</v>
      </c>
    </row>
    <row r="38" spans="2:20">
      <c r="B38" s="222">
        <v>31</v>
      </c>
      <c r="C38" s="216"/>
      <c r="D38" s="219">
        <f t="shared" si="0"/>
        <v>0</v>
      </c>
      <c r="E38" s="223"/>
      <c r="F38" s="216"/>
      <c r="G38" s="219"/>
      <c r="H38" s="216">
        <f t="shared" si="2"/>
        <v>0</v>
      </c>
      <c r="I38" s="219">
        <f t="shared" si="1"/>
        <v>0</v>
      </c>
      <c r="J38" s="216"/>
      <c r="K38" s="219">
        <f t="shared" si="3"/>
        <v>0</v>
      </c>
      <c r="L38" s="219">
        <f t="shared" si="4"/>
        <v>0</v>
      </c>
      <c r="M38" s="218">
        <f t="shared" si="5"/>
        <v>0</v>
      </c>
      <c r="N38" s="216">
        <f t="shared" si="6"/>
        <v>0</v>
      </c>
      <c r="O38" s="219">
        <f t="shared" si="7"/>
        <v>0</v>
      </c>
      <c r="P38" s="223"/>
    </row>
    <row r="39" spans="2:20">
      <c r="B39" s="928" t="s">
        <v>10</v>
      </c>
      <c r="C39" s="929"/>
      <c r="D39" s="930"/>
      <c r="E39" s="130">
        <f t="shared" ref="E39:M39" si="8">SUM(E8:E38)</f>
        <v>0</v>
      </c>
      <c r="F39" s="239">
        <f t="shared" si="8"/>
        <v>0</v>
      </c>
      <c r="G39" s="224">
        <f t="shared" si="8"/>
        <v>0</v>
      </c>
      <c r="H39" s="130"/>
      <c r="I39" s="130"/>
      <c r="J39" s="239">
        <f t="shared" si="8"/>
        <v>0</v>
      </c>
      <c r="K39" s="224">
        <f t="shared" si="8"/>
        <v>0</v>
      </c>
      <c r="L39" s="224">
        <f t="shared" si="8"/>
        <v>0</v>
      </c>
      <c r="M39" s="130">
        <f t="shared" si="8"/>
        <v>0</v>
      </c>
      <c r="N39" s="130"/>
      <c r="O39" s="130"/>
      <c r="P39" s="3"/>
    </row>
    <row r="41" spans="2:20">
      <c r="B41" s="931" t="s">
        <v>23</v>
      </c>
      <c r="C41" s="931"/>
      <c r="D41" s="931"/>
      <c r="E41" s="3"/>
      <c r="F41" s="8">
        <f>F39*R6/1000</f>
        <v>0</v>
      </c>
    </row>
  </sheetData>
  <mergeCells count="19">
    <mergeCell ref="B1:P1"/>
    <mergeCell ref="R1:S1"/>
    <mergeCell ref="B2:P2"/>
    <mergeCell ref="R2:U2"/>
    <mergeCell ref="B3:P3"/>
    <mergeCell ref="R3:U3"/>
    <mergeCell ref="A4:P4"/>
    <mergeCell ref="R4:U4"/>
    <mergeCell ref="C5:E5"/>
    <mergeCell ref="F5:G5"/>
    <mergeCell ref="H5:I5"/>
    <mergeCell ref="J5:K5"/>
    <mergeCell ref="N5:O5"/>
    <mergeCell ref="R5:U5"/>
    <mergeCell ref="R6:U6"/>
    <mergeCell ref="R7:U7"/>
    <mergeCell ref="B39:D39"/>
    <mergeCell ref="B41:D41"/>
    <mergeCell ref="L5:L7"/>
  </mergeCells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W42"/>
  <sheetViews>
    <sheetView topLeftCell="B1" zoomScale="80" zoomScaleNormal="80" workbookViewId="0">
      <pane ySplit="8" topLeftCell="A30" activePane="bottomLeft" state="frozen"/>
      <selection pane="bottomLeft" activeCell="Q2" sqref="Q2:U2"/>
    </sheetView>
  </sheetViews>
  <sheetFormatPr defaultColWidth="9" defaultRowHeight="15"/>
  <cols>
    <col min="1" max="1" width="9" hidden="1" customWidth="1"/>
    <col min="3" max="3" width="9" hidden="1" customWidth="1"/>
    <col min="5" max="5" width="10.42578125" customWidth="1"/>
    <col min="6" max="6" width="9" hidden="1" customWidth="1"/>
    <col min="8" max="8" width="10.42578125" customWidth="1"/>
    <col min="10" max="10" width="10.42578125" customWidth="1"/>
    <col min="12" max="12" width="10.42578125" customWidth="1"/>
    <col min="13" max="13" width="12" customWidth="1"/>
    <col min="14" max="14" width="8.28515625" customWidth="1"/>
    <col min="15" max="16" width="10.42578125" customWidth="1"/>
    <col min="17" max="17" width="18.28515625" customWidth="1"/>
    <col min="18" max="18" width="8" customWidth="1"/>
    <col min="19" max="19" width="3" hidden="1" customWidth="1"/>
    <col min="20" max="20" width="6.140625" customWidth="1"/>
    <col min="21" max="21" width="6.28515625" customWidth="1"/>
    <col min="22" max="22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129"/>
      <c r="R2" s="1146"/>
      <c r="S2" s="1146"/>
      <c r="T2" s="129"/>
      <c r="U2" s="227"/>
      <c r="V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129" t="s">
        <v>3</v>
      </c>
      <c r="R3" s="931"/>
      <c r="S3" s="931"/>
      <c r="T3" s="931"/>
      <c r="U3" s="931"/>
      <c r="V3" s="170"/>
    </row>
    <row r="4" spans="1:23" ht="21">
      <c r="B4" s="939" t="s">
        <v>325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129" t="s">
        <v>5</v>
      </c>
      <c r="R4" s="931"/>
      <c r="S4" s="931"/>
      <c r="T4" s="931"/>
      <c r="U4" s="931"/>
      <c r="V4" s="170"/>
    </row>
    <row r="5" spans="1:23" ht="21">
      <c r="A5" s="932" t="s">
        <v>402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129" t="s">
        <v>7</v>
      </c>
      <c r="R5" s="931"/>
      <c r="S5" s="931"/>
      <c r="T5" s="931"/>
      <c r="U5" s="931"/>
      <c r="V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215"/>
      <c r="N6" s="934" t="s">
        <v>13</v>
      </c>
      <c r="O6" s="934"/>
      <c r="P6" s="225" t="s">
        <v>14</v>
      </c>
      <c r="Q6" s="129" t="s">
        <v>15</v>
      </c>
      <c r="R6" s="931"/>
      <c r="S6" s="931"/>
      <c r="T6" s="931"/>
      <c r="U6" s="931"/>
      <c r="V6" s="170"/>
      <c r="W6" t="s">
        <v>67</v>
      </c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16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17</v>
      </c>
      <c r="M7" s="217"/>
      <c r="N7" s="217" t="s">
        <v>16</v>
      </c>
      <c r="O7" s="217" t="s">
        <v>17</v>
      </c>
      <c r="P7" s="226"/>
      <c r="Q7" s="129" t="s">
        <v>19</v>
      </c>
      <c r="R7" s="931"/>
      <c r="S7" s="931"/>
      <c r="T7" s="931"/>
      <c r="U7" s="931"/>
      <c r="V7" s="170"/>
    </row>
    <row r="8" spans="1:23">
      <c r="B8" s="216"/>
      <c r="C8" s="216"/>
      <c r="D8" s="217" t="s">
        <v>21</v>
      </c>
      <c r="E8" s="217" t="s">
        <v>22</v>
      </c>
      <c r="F8" s="217"/>
      <c r="G8" s="217" t="s">
        <v>21</v>
      </c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217" t="s">
        <v>23</v>
      </c>
      <c r="N8" s="217" t="s">
        <v>21</v>
      </c>
      <c r="O8" s="217" t="s">
        <v>22</v>
      </c>
      <c r="P8" s="226"/>
      <c r="Q8" s="129" t="s">
        <v>24</v>
      </c>
      <c r="R8" s="941">
        <f>R6+R7</f>
        <v>0</v>
      </c>
      <c r="S8" s="941"/>
      <c r="T8" s="941"/>
      <c r="U8" s="941"/>
      <c r="V8" s="170"/>
    </row>
    <row r="9" spans="1:23">
      <c r="B9" s="216">
        <v>1</v>
      </c>
      <c r="C9" s="216"/>
      <c r="D9" s="216"/>
      <c r="E9" s="216"/>
      <c r="F9" s="216"/>
      <c r="G9" s="216"/>
      <c r="H9" s="216"/>
      <c r="I9" s="216"/>
      <c r="J9" s="216"/>
      <c r="K9" s="216"/>
      <c r="L9" s="216">
        <f>+H9</f>
        <v>0</v>
      </c>
      <c r="M9" s="218">
        <f t="shared" ref="M9:M24" si="0">$R$7*L9/1000</f>
        <v>0</v>
      </c>
      <c r="N9" s="216"/>
      <c r="O9" s="216"/>
      <c r="P9" s="216"/>
      <c r="V9" s="170"/>
    </row>
    <row r="10" spans="1:23">
      <c r="B10" s="216">
        <v>2</v>
      </c>
      <c r="C10" s="216"/>
      <c r="D10" s="216"/>
      <c r="E10" s="216"/>
      <c r="F10" s="216"/>
      <c r="G10" s="216"/>
      <c r="H10" s="216"/>
      <c r="I10" s="216"/>
      <c r="J10" s="216"/>
      <c r="K10" s="216"/>
      <c r="L10" s="216">
        <f>+H10</f>
        <v>0</v>
      </c>
      <c r="M10" s="218">
        <f t="shared" si="0"/>
        <v>0</v>
      </c>
      <c r="N10" s="216"/>
      <c r="O10" s="216"/>
      <c r="P10" s="216"/>
    </row>
    <row r="11" spans="1:23">
      <c r="B11" s="13">
        <v>3</v>
      </c>
      <c r="C11" s="13"/>
      <c r="D11" s="13"/>
      <c r="E11" s="13">
        <v>0</v>
      </c>
      <c r="F11" s="13"/>
      <c r="G11" s="13"/>
      <c r="H11" s="219"/>
      <c r="I11" s="13">
        <f>D11+G11</f>
        <v>0</v>
      </c>
      <c r="J11" s="13">
        <v>0</v>
      </c>
      <c r="K11" s="13">
        <v>0</v>
      </c>
      <c r="L11" s="216">
        <f t="shared" ref="L11:L39" si="1">+H11</f>
        <v>0</v>
      </c>
      <c r="M11" s="219">
        <f t="shared" si="0"/>
        <v>0</v>
      </c>
      <c r="N11" s="13">
        <v>0</v>
      </c>
      <c r="O11" s="219">
        <f>N11*R$8/1000</f>
        <v>0</v>
      </c>
      <c r="P11" s="216"/>
    </row>
    <row r="12" spans="1:23">
      <c r="B12" s="13">
        <v>4</v>
      </c>
      <c r="C12" s="13"/>
      <c r="D12" s="13"/>
      <c r="E12" s="219">
        <f>D12*R$8/1000</f>
        <v>0</v>
      </c>
      <c r="F12" s="13"/>
      <c r="G12" s="13"/>
      <c r="H12" s="219"/>
      <c r="I12" s="13">
        <f>D12+G12</f>
        <v>0</v>
      </c>
      <c r="J12" s="219">
        <f>I12*T$8/1000</f>
        <v>0</v>
      </c>
      <c r="K12" s="13">
        <v>0</v>
      </c>
      <c r="L12" s="216">
        <f t="shared" si="1"/>
        <v>0</v>
      </c>
      <c r="M12" s="219">
        <f t="shared" si="0"/>
        <v>0</v>
      </c>
      <c r="N12" s="13">
        <f>D12+G12-K12</f>
        <v>0</v>
      </c>
      <c r="O12" s="219">
        <f>N12*R$8/1000</f>
        <v>0</v>
      </c>
      <c r="P12" s="216"/>
    </row>
    <row r="13" spans="1:23">
      <c r="B13" s="13">
        <v>5</v>
      </c>
      <c r="C13" s="13"/>
      <c r="D13" s="13"/>
      <c r="E13" s="219">
        <f t="shared" ref="E13:E39" si="2">D13*R$8/1000</f>
        <v>0</v>
      </c>
      <c r="F13" s="13"/>
      <c r="G13" s="13"/>
      <c r="H13" s="219"/>
      <c r="I13" s="13">
        <v>0</v>
      </c>
      <c r="J13" s="219">
        <f t="shared" ref="J13:J39" si="3">I13*T$8/1000</f>
        <v>0</v>
      </c>
      <c r="K13" s="13"/>
      <c r="L13" s="216">
        <f t="shared" si="1"/>
        <v>0</v>
      </c>
      <c r="M13" s="219">
        <f t="shared" si="0"/>
        <v>0</v>
      </c>
      <c r="N13" s="13">
        <f>D13+G13-K13</f>
        <v>0</v>
      </c>
      <c r="O13" s="219">
        <f t="shared" ref="O13:O39" si="4">N13*R$8/1000</f>
        <v>0</v>
      </c>
      <c r="P13" s="216"/>
    </row>
    <row r="14" spans="1:23">
      <c r="B14" s="13">
        <v>6</v>
      </c>
      <c r="C14" s="13"/>
      <c r="D14" s="13"/>
      <c r="E14" s="219">
        <f t="shared" si="2"/>
        <v>0</v>
      </c>
      <c r="F14" s="13"/>
      <c r="G14" s="13"/>
      <c r="H14" s="219"/>
      <c r="I14" s="13"/>
      <c r="J14" s="219"/>
      <c r="K14" s="13"/>
      <c r="L14" s="216">
        <f t="shared" si="1"/>
        <v>0</v>
      </c>
      <c r="M14" s="219">
        <f t="shared" si="0"/>
        <v>0</v>
      </c>
      <c r="N14" s="13">
        <f>D14+G14-K14</f>
        <v>0</v>
      </c>
      <c r="O14" s="219">
        <f t="shared" si="4"/>
        <v>0</v>
      </c>
      <c r="P14" s="216"/>
    </row>
    <row r="15" spans="1:23">
      <c r="B15" s="13">
        <v>7</v>
      </c>
      <c r="C15" s="13"/>
      <c r="D15" s="13"/>
      <c r="E15" s="219">
        <f t="shared" si="2"/>
        <v>0</v>
      </c>
      <c r="F15" s="13"/>
      <c r="G15" s="13"/>
      <c r="H15" s="219"/>
      <c r="I15" s="13"/>
      <c r="J15" s="219">
        <f t="shared" si="3"/>
        <v>0</v>
      </c>
      <c r="K15" s="13">
        <v>0</v>
      </c>
      <c r="L15" s="216">
        <f t="shared" si="1"/>
        <v>0</v>
      </c>
      <c r="M15" s="219">
        <f t="shared" si="0"/>
        <v>0</v>
      </c>
      <c r="N15" s="13">
        <f t="shared" ref="N15:N39" si="5">D15+G15-K15</f>
        <v>0</v>
      </c>
      <c r="O15" s="219">
        <f t="shared" si="4"/>
        <v>0</v>
      </c>
      <c r="P15" s="216"/>
    </row>
    <row r="16" spans="1:23">
      <c r="B16" s="13">
        <v>8</v>
      </c>
      <c r="C16" s="13"/>
      <c r="D16" s="13"/>
      <c r="E16" s="219">
        <f t="shared" si="2"/>
        <v>0</v>
      </c>
      <c r="F16" s="13"/>
      <c r="G16" s="13"/>
      <c r="H16" s="219"/>
      <c r="I16" s="13"/>
      <c r="J16" s="219">
        <f t="shared" si="3"/>
        <v>0</v>
      </c>
      <c r="K16" s="13">
        <v>0</v>
      </c>
      <c r="L16" s="216">
        <f t="shared" si="1"/>
        <v>0</v>
      </c>
      <c r="M16" s="219">
        <f t="shared" si="0"/>
        <v>0</v>
      </c>
      <c r="N16" s="13">
        <f t="shared" si="5"/>
        <v>0</v>
      </c>
      <c r="O16" s="219">
        <f t="shared" si="4"/>
        <v>0</v>
      </c>
      <c r="P16" s="216"/>
    </row>
    <row r="17" spans="2:16">
      <c r="B17" s="13">
        <v>9</v>
      </c>
      <c r="C17" s="13"/>
      <c r="D17" s="13"/>
      <c r="E17" s="219">
        <f t="shared" si="2"/>
        <v>0</v>
      </c>
      <c r="F17" s="13"/>
      <c r="G17" s="13"/>
      <c r="H17" s="219"/>
      <c r="I17" s="13"/>
      <c r="J17" s="219">
        <f t="shared" si="3"/>
        <v>0</v>
      </c>
      <c r="K17" s="13">
        <v>0</v>
      </c>
      <c r="L17" s="216">
        <f t="shared" si="1"/>
        <v>0</v>
      </c>
      <c r="M17" s="219">
        <f t="shared" si="0"/>
        <v>0</v>
      </c>
      <c r="N17" s="13">
        <f t="shared" si="5"/>
        <v>0</v>
      </c>
      <c r="O17" s="219">
        <f t="shared" si="4"/>
        <v>0</v>
      </c>
      <c r="P17" s="216"/>
    </row>
    <row r="18" spans="2:16">
      <c r="B18" s="13">
        <v>10</v>
      </c>
      <c r="C18" s="13"/>
      <c r="D18" s="13"/>
      <c r="E18" s="219">
        <f t="shared" si="2"/>
        <v>0</v>
      </c>
      <c r="F18" s="13"/>
      <c r="G18" s="13"/>
      <c r="H18" s="219"/>
      <c r="I18" s="13">
        <v>0</v>
      </c>
      <c r="J18" s="219">
        <f t="shared" si="3"/>
        <v>0</v>
      </c>
      <c r="K18" s="13"/>
      <c r="L18" s="216">
        <f t="shared" si="1"/>
        <v>0</v>
      </c>
      <c r="M18" s="219">
        <f t="shared" si="0"/>
        <v>0</v>
      </c>
      <c r="N18" s="13">
        <f t="shared" si="5"/>
        <v>0</v>
      </c>
      <c r="O18" s="219">
        <f t="shared" si="4"/>
        <v>0</v>
      </c>
      <c r="P18" s="216"/>
    </row>
    <row r="19" spans="2:16">
      <c r="B19" s="13"/>
      <c r="C19" s="13"/>
      <c r="D19" s="13"/>
      <c r="E19" s="219"/>
      <c r="F19" s="13"/>
      <c r="G19" s="13"/>
      <c r="H19" s="219"/>
      <c r="I19" s="13"/>
      <c r="J19" s="219"/>
      <c r="K19" s="13"/>
      <c r="L19" s="216">
        <f t="shared" si="1"/>
        <v>0</v>
      </c>
      <c r="M19" s="219">
        <f t="shared" si="0"/>
        <v>0</v>
      </c>
      <c r="N19" s="13">
        <f t="shared" si="5"/>
        <v>0</v>
      </c>
      <c r="O19" s="219">
        <f t="shared" si="4"/>
        <v>0</v>
      </c>
      <c r="P19" s="216"/>
    </row>
    <row r="20" spans="2:16">
      <c r="B20" s="13">
        <v>12</v>
      </c>
      <c r="C20" s="13"/>
      <c r="D20" s="13"/>
      <c r="E20" s="219">
        <f t="shared" si="2"/>
        <v>0</v>
      </c>
      <c r="F20" s="13"/>
      <c r="G20" s="13"/>
      <c r="H20" s="219"/>
      <c r="I20" s="13">
        <v>0</v>
      </c>
      <c r="J20" s="219">
        <f t="shared" si="3"/>
        <v>0</v>
      </c>
      <c r="K20" s="13">
        <v>0</v>
      </c>
      <c r="L20" s="216">
        <f t="shared" si="1"/>
        <v>0</v>
      </c>
      <c r="M20" s="219">
        <f t="shared" si="0"/>
        <v>0</v>
      </c>
      <c r="N20" s="13">
        <f t="shared" si="5"/>
        <v>0</v>
      </c>
      <c r="O20" s="219">
        <f t="shared" si="4"/>
        <v>0</v>
      </c>
      <c r="P20" s="216"/>
    </row>
    <row r="21" spans="2:16">
      <c r="B21" s="13">
        <v>13</v>
      </c>
      <c r="C21" s="13"/>
      <c r="D21" s="13"/>
      <c r="E21" s="219">
        <f t="shared" si="2"/>
        <v>0</v>
      </c>
      <c r="F21" s="13"/>
      <c r="G21" s="13"/>
      <c r="H21" s="219"/>
      <c r="I21" s="13"/>
      <c r="J21" s="219"/>
      <c r="K21" s="13"/>
      <c r="L21" s="216">
        <f t="shared" si="1"/>
        <v>0</v>
      </c>
      <c r="M21" s="219">
        <f t="shared" si="0"/>
        <v>0</v>
      </c>
      <c r="N21" s="13">
        <f t="shared" si="5"/>
        <v>0</v>
      </c>
      <c r="O21" s="219">
        <f t="shared" si="4"/>
        <v>0</v>
      </c>
      <c r="P21" s="216"/>
    </row>
    <row r="22" spans="2:16">
      <c r="B22" s="13"/>
      <c r="C22" s="13"/>
      <c r="D22" s="13"/>
      <c r="E22" s="219"/>
      <c r="F22" s="13"/>
      <c r="G22" s="13"/>
      <c r="H22" s="219"/>
      <c r="I22" s="13"/>
      <c r="J22" s="219"/>
      <c r="K22" s="13"/>
      <c r="L22" s="216">
        <f t="shared" si="1"/>
        <v>0</v>
      </c>
      <c r="M22" s="219">
        <f t="shared" si="0"/>
        <v>0</v>
      </c>
      <c r="N22" s="13">
        <f t="shared" si="5"/>
        <v>0</v>
      </c>
      <c r="O22" s="219">
        <f t="shared" si="4"/>
        <v>0</v>
      </c>
      <c r="P22" s="216"/>
    </row>
    <row r="23" spans="2:16">
      <c r="B23" s="13">
        <v>15</v>
      </c>
      <c r="C23" s="13"/>
      <c r="D23" s="13"/>
      <c r="E23" s="219">
        <f t="shared" si="2"/>
        <v>0</v>
      </c>
      <c r="F23" s="13"/>
      <c r="G23" s="13"/>
      <c r="H23" s="219"/>
      <c r="I23" s="13">
        <v>0</v>
      </c>
      <c r="J23" s="219">
        <f t="shared" si="3"/>
        <v>0</v>
      </c>
      <c r="K23" s="13">
        <v>0</v>
      </c>
      <c r="L23" s="216">
        <f t="shared" si="1"/>
        <v>0</v>
      </c>
      <c r="M23" s="219">
        <f t="shared" si="0"/>
        <v>0</v>
      </c>
      <c r="N23" s="13">
        <f t="shared" si="5"/>
        <v>0</v>
      </c>
      <c r="O23" s="219">
        <f t="shared" si="4"/>
        <v>0</v>
      </c>
      <c r="P23" s="216"/>
    </row>
    <row r="24" spans="2:16">
      <c r="B24" s="13">
        <v>16</v>
      </c>
      <c r="C24" s="13"/>
      <c r="D24" s="13"/>
      <c r="E24" s="219">
        <f t="shared" si="2"/>
        <v>0</v>
      </c>
      <c r="F24" s="13"/>
      <c r="G24" s="13"/>
      <c r="H24" s="219"/>
      <c r="I24" s="13">
        <v>0</v>
      </c>
      <c r="J24" s="219">
        <f t="shared" si="3"/>
        <v>0</v>
      </c>
      <c r="K24" s="13"/>
      <c r="L24" s="216">
        <f t="shared" si="1"/>
        <v>0</v>
      </c>
      <c r="M24" s="219">
        <f t="shared" si="0"/>
        <v>0</v>
      </c>
      <c r="N24" s="13">
        <f t="shared" si="5"/>
        <v>0</v>
      </c>
      <c r="O24" s="219">
        <f t="shared" si="4"/>
        <v>0</v>
      </c>
      <c r="P24" s="216"/>
    </row>
    <row r="25" spans="2:16">
      <c r="B25" s="13">
        <v>17</v>
      </c>
      <c r="C25" s="13"/>
      <c r="D25" s="13"/>
      <c r="E25" s="219"/>
      <c r="F25" s="13"/>
      <c r="G25" s="13"/>
      <c r="H25" s="219"/>
      <c r="I25" s="13">
        <v>0</v>
      </c>
      <c r="J25" s="219">
        <f t="shared" si="3"/>
        <v>0</v>
      </c>
      <c r="K25" s="13"/>
      <c r="L25" s="216">
        <f t="shared" si="1"/>
        <v>0</v>
      </c>
      <c r="M25" s="219">
        <f>K25*R$7/1000</f>
        <v>0</v>
      </c>
      <c r="N25" s="13"/>
      <c r="O25" s="219">
        <f t="shared" si="4"/>
        <v>0</v>
      </c>
      <c r="P25" s="216"/>
    </row>
    <row r="26" spans="2:16">
      <c r="B26" s="13">
        <v>18</v>
      </c>
      <c r="C26" s="13"/>
      <c r="D26" s="13"/>
      <c r="E26" s="219">
        <f t="shared" si="2"/>
        <v>0</v>
      </c>
      <c r="F26" s="13"/>
      <c r="G26" s="13"/>
      <c r="H26" s="219"/>
      <c r="I26" s="13">
        <v>0</v>
      </c>
      <c r="J26" s="219">
        <f t="shared" si="3"/>
        <v>0</v>
      </c>
      <c r="K26" s="13">
        <v>0</v>
      </c>
      <c r="L26" s="216">
        <f t="shared" si="1"/>
        <v>0</v>
      </c>
      <c r="M26" s="219">
        <f t="shared" ref="M26:M39" si="6">K26*R$7/1000</f>
        <v>0</v>
      </c>
      <c r="N26" s="13">
        <f t="shared" si="5"/>
        <v>0</v>
      </c>
      <c r="O26" s="219">
        <f t="shared" si="4"/>
        <v>0</v>
      </c>
      <c r="P26" s="216"/>
    </row>
    <row r="27" spans="2:16">
      <c r="B27" s="13"/>
      <c r="C27" s="13"/>
      <c r="D27" s="13"/>
      <c r="E27" s="219"/>
      <c r="F27" s="13"/>
      <c r="G27" s="13"/>
      <c r="H27" s="219"/>
      <c r="I27" s="13"/>
      <c r="J27" s="219"/>
      <c r="K27" s="13"/>
      <c r="L27" s="216">
        <f t="shared" si="1"/>
        <v>0</v>
      </c>
      <c r="M27" s="219">
        <f t="shared" si="6"/>
        <v>0</v>
      </c>
      <c r="N27" s="13">
        <f t="shared" si="5"/>
        <v>0</v>
      </c>
      <c r="O27" s="219">
        <f t="shared" si="4"/>
        <v>0</v>
      </c>
      <c r="P27" s="216"/>
    </row>
    <row r="28" spans="2:16">
      <c r="B28" s="13">
        <v>20</v>
      </c>
      <c r="C28" s="13"/>
      <c r="D28" s="13"/>
      <c r="E28" s="219">
        <f t="shared" si="2"/>
        <v>0</v>
      </c>
      <c r="F28" s="13"/>
      <c r="G28" s="13"/>
      <c r="H28" s="219"/>
      <c r="I28" s="13">
        <v>0</v>
      </c>
      <c r="J28" s="219">
        <f t="shared" si="3"/>
        <v>0</v>
      </c>
      <c r="K28" s="13">
        <v>0</v>
      </c>
      <c r="L28" s="216">
        <f t="shared" si="1"/>
        <v>0</v>
      </c>
      <c r="M28" s="219">
        <f t="shared" si="6"/>
        <v>0</v>
      </c>
      <c r="N28" s="13">
        <f t="shared" si="5"/>
        <v>0</v>
      </c>
      <c r="O28" s="219">
        <f t="shared" si="4"/>
        <v>0</v>
      </c>
      <c r="P28" s="216"/>
    </row>
    <row r="29" spans="2:16">
      <c r="B29" s="13">
        <v>21</v>
      </c>
      <c r="C29" s="13"/>
      <c r="D29" s="13"/>
      <c r="E29" s="219">
        <f t="shared" si="2"/>
        <v>0</v>
      </c>
      <c r="F29" s="13"/>
      <c r="G29" s="13"/>
      <c r="H29" s="219"/>
      <c r="I29" s="13">
        <v>0</v>
      </c>
      <c r="J29" s="219">
        <f t="shared" si="3"/>
        <v>0</v>
      </c>
      <c r="K29" s="13">
        <v>0</v>
      </c>
      <c r="L29" s="216">
        <f t="shared" si="1"/>
        <v>0</v>
      </c>
      <c r="M29" s="219">
        <f t="shared" si="6"/>
        <v>0</v>
      </c>
      <c r="N29" s="13">
        <f t="shared" si="5"/>
        <v>0</v>
      </c>
      <c r="O29" s="219">
        <f t="shared" si="4"/>
        <v>0</v>
      </c>
      <c r="P29" s="216"/>
    </row>
    <row r="30" spans="2:16">
      <c r="B30" s="13">
        <v>22</v>
      </c>
      <c r="C30" s="13"/>
      <c r="D30" s="13"/>
      <c r="E30" s="219">
        <f t="shared" si="2"/>
        <v>0</v>
      </c>
      <c r="F30" s="13"/>
      <c r="G30" s="13"/>
      <c r="H30" s="219"/>
      <c r="I30" s="13">
        <v>0</v>
      </c>
      <c r="J30" s="219">
        <f t="shared" si="3"/>
        <v>0</v>
      </c>
      <c r="K30" s="13"/>
      <c r="L30" s="216">
        <f t="shared" si="1"/>
        <v>0</v>
      </c>
      <c r="M30" s="219">
        <f t="shared" si="6"/>
        <v>0</v>
      </c>
      <c r="N30" s="13">
        <f t="shared" si="5"/>
        <v>0</v>
      </c>
      <c r="O30" s="219">
        <f t="shared" si="4"/>
        <v>0</v>
      </c>
      <c r="P30" s="216"/>
    </row>
    <row r="31" spans="2:16">
      <c r="B31" s="13">
        <v>23</v>
      </c>
      <c r="C31" s="13"/>
      <c r="D31" s="13"/>
      <c r="E31" s="219">
        <f t="shared" si="2"/>
        <v>0</v>
      </c>
      <c r="F31" s="13"/>
      <c r="G31" s="13"/>
      <c r="H31" s="219"/>
      <c r="I31" s="13">
        <v>0</v>
      </c>
      <c r="J31" s="219">
        <f t="shared" si="3"/>
        <v>0</v>
      </c>
      <c r="K31" s="13">
        <v>0</v>
      </c>
      <c r="L31" s="216">
        <f t="shared" si="1"/>
        <v>0</v>
      </c>
      <c r="M31" s="219">
        <f t="shared" si="6"/>
        <v>0</v>
      </c>
      <c r="N31" s="13">
        <f t="shared" si="5"/>
        <v>0</v>
      </c>
      <c r="O31" s="219">
        <f t="shared" si="4"/>
        <v>0</v>
      </c>
      <c r="P31" s="216"/>
    </row>
    <row r="32" spans="2:16">
      <c r="B32" s="13">
        <v>24</v>
      </c>
      <c r="C32" s="13"/>
      <c r="D32" s="13"/>
      <c r="E32" s="219"/>
      <c r="F32" s="13"/>
      <c r="G32" s="13"/>
      <c r="H32" s="219"/>
      <c r="I32" s="13"/>
      <c r="J32" s="219"/>
      <c r="K32" s="13"/>
      <c r="L32" s="216">
        <f t="shared" si="1"/>
        <v>0</v>
      </c>
      <c r="M32" s="219">
        <f t="shared" si="6"/>
        <v>0</v>
      </c>
      <c r="N32" s="13">
        <f t="shared" si="5"/>
        <v>0</v>
      </c>
      <c r="O32" s="219">
        <f t="shared" si="4"/>
        <v>0</v>
      </c>
      <c r="P32" s="216"/>
    </row>
    <row r="33" spans="2:17">
      <c r="B33" s="13">
        <v>25</v>
      </c>
      <c r="C33" s="13"/>
      <c r="D33" s="13"/>
      <c r="E33" s="219">
        <f t="shared" si="2"/>
        <v>0</v>
      </c>
      <c r="F33" s="13"/>
      <c r="G33" s="13"/>
      <c r="H33" s="219"/>
      <c r="I33" s="13">
        <v>0</v>
      </c>
      <c r="J33" s="219">
        <f t="shared" si="3"/>
        <v>0</v>
      </c>
      <c r="K33" s="13"/>
      <c r="L33" s="216">
        <f t="shared" si="1"/>
        <v>0</v>
      </c>
      <c r="M33" s="219">
        <f t="shared" si="6"/>
        <v>0</v>
      </c>
      <c r="N33" s="13">
        <f t="shared" si="5"/>
        <v>0</v>
      </c>
      <c r="O33" s="219">
        <f t="shared" si="4"/>
        <v>0</v>
      </c>
      <c r="P33" s="216"/>
    </row>
    <row r="34" spans="2:17">
      <c r="B34" s="13">
        <v>26</v>
      </c>
      <c r="C34" s="13"/>
      <c r="D34" s="13"/>
      <c r="E34" s="219">
        <f t="shared" si="2"/>
        <v>0</v>
      </c>
      <c r="F34" s="13"/>
      <c r="G34" s="13"/>
      <c r="H34" s="219"/>
      <c r="I34" s="13">
        <v>0</v>
      </c>
      <c r="J34" s="219">
        <f t="shared" si="3"/>
        <v>0</v>
      </c>
      <c r="K34" s="13">
        <v>0</v>
      </c>
      <c r="L34" s="216">
        <f t="shared" si="1"/>
        <v>0</v>
      </c>
      <c r="M34" s="219">
        <f t="shared" si="6"/>
        <v>0</v>
      </c>
      <c r="N34" s="13">
        <f t="shared" si="5"/>
        <v>0</v>
      </c>
      <c r="O34" s="219">
        <f t="shared" si="4"/>
        <v>0</v>
      </c>
      <c r="P34" s="216"/>
    </row>
    <row r="35" spans="2:17">
      <c r="B35" s="13">
        <v>27</v>
      </c>
      <c r="C35" s="13"/>
      <c r="D35" s="13"/>
      <c r="E35" s="219">
        <f t="shared" si="2"/>
        <v>0</v>
      </c>
      <c r="F35" s="13"/>
      <c r="G35" s="13"/>
      <c r="H35" s="219"/>
      <c r="I35" s="13">
        <v>0</v>
      </c>
      <c r="J35" s="219">
        <f t="shared" si="3"/>
        <v>0</v>
      </c>
      <c r="K35" s="13">
        <v>0</v>
      </c>
      <c r="L35" s="216">
        <f t="shared" si="1"/>
        <v>0</v>
      </c>
      <c r="M35" s="219">
        <f t="shared" si="6"/>
        <v>0</v>
      </c>
      <c r="N35" s="13">
        <f t="shared" si="5"/>
        <v>0</v>
      </c>
      <c r="O35" s="219">
        <f t="shared" si="4"/>
        <v>0</v>
      </c>
      <c r="P35" s="216"/>
    </row>
    <row r="36" spans="2:17">
      <c r="B36" s="13">
        <v>28</v>
      </c>
      <c r="C36" s="13"/>
      <c r="D36" s="13"/>
      <c r="E36" s="219">
        <f t="shared" si="2"/>
        <v>0</v>
      </c>
      <c r="F36" s="13"/>
      <c r="G36" s="13"/>
      <c r="H36" s="219"/>
      <c r="I36" s="13">
        <v>0</v>
      </c>
      <c r="J36" s="219">
        <f t="shared" si="3"/>
        <v>0</v>
      </c>
      <c r="K36" s="13">
        <v>0</v>
      </c>
      <c r="L36" s="216">
        <f t="shared" si="1"/>
        <v>0</v>
      </c>
      <c r="M36" s="219">
        <f t="shared" si="6"/>
        <v>0</v>
      </c>
      <c r="N36" s="13">
        <f t="shared" si="5"/>
        <v>0</v>
      </c>
      <c r="O36" s="219">
        <f t="shared" si="4"/>
        <v>0</v>
      </c>
      <c r="P36" s="216"/>
    </row>
    <row r="37" spans="2:17">
      <c r="B37" s="13">
        <v>29</v>
      </c>
      <c r="C37" s="13"/>
      <c r="D37" s="13"/>
      <c r="E37" s="219">
        <f t="shared" si="2"/>
        <v>0</v>
      </c>
      <c r="F37" s="13"/>
      <c r="G37" s="13"/>
      <c r="H37" s="219"/>
      <c r="I37" s="13">
        <v>0</v>
      </c>
      <c r="J37" s="219">
        <f t="shared" si="3"/>
        <v>0</v>
      </c>
      <c r="K37" s="13">
        <v>0</v>
      </c>
      <c r="L37" s="216">
        <f t="shared" si="1"/>
        <v>0</v>
      </c>
      <c r="M37" s="219">
        <f t="shared" si="6"/>
        <v>0</v>
      </c>
      <c r="N37" s="13">
        <f t="shared" si="5"/>
        <v>0</v>
      </c>
      <c r="O37" s="219">
        <f t="shared" si="4"/>
        <v>0</v>
      </c>
      <c r="P37" s="216"/>
    </row>
    <row r="38" spans="2:17">
      <c r="B38" s="13">
        <v>30</v>
      </c>
      <c r="C38" s="234"/>
      <c r="D38" s="13"/>
      <c r="E38" s="219">
        <f t="shared" si="2"/>
        <v>0</v>
      </c>
      <c r="F38" s="235"/>
      <c r="G38" s="235"/>
      <c r="H38" s="219"/>
      <c r="I38" s="13"/>
      <c r="J38" s="219">
        <f t="shared" si="3"/>
        <v>0</v>
      </c>
      <c r="K38" s="235"/>
      <c r="L38" s="216">
        <f t="shared" si="1"/>
        <v>0</v>
      </c>
      <c r="M38" s="219">
        <f t="shared" si="6"/>
        <v>0</v>
      </c>
      <c r="N38" s="13">
        <f t="shared" si="5"/>
        <v>0</v>
      </c>
      <c r="O38" s="219">
        <f t="shared" si="4"/>
        <v>0</v>
      </c>
      <c r="P38" s="3"/>
    </row>
    <row r="39" spans="2:17">
      <c r="B39" s="236">
        <v>31</v>
      </c>
      <c r="C39" s="234"/>
      <c r="D39" s="13"/>
      <c r="E39" s="219">
        <f t="shared" si="2"/>
        <v>0</v>
      </c>
      <c r="F39" s="237"/>
      <c r="G39" s="237"/>
      <c r="H39" s="219"/>
      <c r="I39" s="13"/>
      <c r="J39" s="219">
        <f t="shared" si="3"/>
        <v>0</v>
      </c>
      <c r="K39" s="237"/>
      <c r="L39" s="216">
        <f t="shared" si="1"/>
        <v>0</v>
      </c>
      <c r="M39" s="219">
        <f t="shared" si="6"/>
        <v>0</v>
      </c>
      <c r="N39" s="13">
        <f t="shared" si="5"/>
        <v>0</v>
      </c>
      <c r="O39" s="219">
        <f t="shared" si="4"/>
        <v>0</v>
      </c>
      <c r="P39" s="223"/>
    </row>
    <row r="40" spans="2:17">
      <c r="B40" s="928" t="s">
        <v>10</v>
      </c>
      <c r="C40" s="929"/>
      <c r="D40" s="929"/>
      <c r="E40" s="930"/>
      <c r="F40" s="130">
        <f t="shared" ref="F40:M40" si="7">SUM(F9:F39)</f>
        <v>0</v>
      </c>
      <c r="G40" s="224">
        <f t="shared" si="7"/>
        <v>0</v>
      </c>
      <c r="H40" s="224">
        <f t="shared" si="7"/>
        <v>0</v>
      </c>
      <c r="I40" s="130"/>
      <c r="J40" s="130"/>
      <c r="K40" s="224">
        <f t="shared" si="7"/>
        <v>0</v>
      </c>
      <c r="L40" s="224">
        <f t="shared" si="7"/>
        <v>0</v>
      </c>
      <c r="M40" s="130">
        <f t="shared" si="7"/>
        <v>0</v>
      </c>
      <c r="N40" s="130"/>
      <c r="O40" s="130"/>
      <c r="P40" s="3"/>
    </row>
    <row r="42" spans="2:17">
      <c r="B42" s="931" t="s">
        <v>23</v>
      </c>
      <c r="C42" s="931"/>
      <c r="D42" s="931"/>
      <c r="E42" s="8">
        <f>G40*R7/1000</f>
        <v>0</v>
      </c>
      <c r="Q42">
        <v>6</v>
      </c>
    </row>
  </sheetData>
  <mergeCells count="18">
    <mergeCell ref="B2:P2"/>
    <mergeCell ref="R2:S2"/>
    <mergeCell ref="B3:P3"/>
    <mergeCell ref="R3:U3"/>
    <mergeCell ref="B4:P4"/>
    <mergeCell ref="R4:U4"/>
    <mergeCell ref="R7:U7"/>
    <mergeCell ref="R8:U8"/>
    <mergeCell ref="B40:E40"/>
    <mergeCell ref="B42:D42"/>
    <mergeCell ref="A5:P5"/>
    <mergeCell ref="R5:U5"/>
    <mergeCell ref="D6:F6"/>
    <mergeCell ref="G6:H6"/>
    <mergeCell ref="I6:J6"/>
    <mergeCell ref="K6:L6"/>
    <mergeCell ref="N6:O6"/>
    <mergeCell ref="R6:U6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W42"/>
  <sheetViews>
    <sheetView topLeftCell="B1" zoomScale="80" zoomScaleNormal="80" workbookViewId="0">
      <pane ySplit="8" topLeftCell="A30" activePane="bottomLeft" state="frozen"/>
      <selection pane="bottomLeft" activeCell="Q2" sqref="Q2:U2"/>
    </sheetView>
  </sheetViews>
  <sheetFormatPr defaultColWidth="9" defaultRowHeight="15"/>
  <cols>
    <col min="1" max="1" width="9" hidden="1" customWidth="1"/>
    <col min="3" max="3" width="9" hidden="1" customWidth="1"/>
    <col min="5" max="5" width="10.42578125" customWidth="1"/>
    <col min="6" max="6" width="9" hidden="1" customWidth="1"/>
    <col min="8" max="8" width="10.42578125" customWidth="1"/>
    <col min="10" max="10" width="10.42578125" customWidth="1"/>
    <col min="12" max="12" width="10.42578125" customWidth="1"/>
    <col min="13" max="13" width="12" customWidth="1"/>
    <col min="14" max="14" width="8.28515625" customWidth="1"/>
    <col min="15" max="16" width="10.42578125" customWidth="1"/>
    <col min="17" max="17" width="18.28515625" customWidth="1"/>
    <col min="18" max="18" width="8" customWidth="1"/>
    <col min="19" max="19" width="3" hidden="1" customWidth="1"/>
    <col min="20" max="20" width="6.140625" customWidth="1"/>
    <col min="21" max="21" width="6.28515625" customWidth="1"/>
    <col min="22" max="22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129"/>
      <c r="R2" s="1146"/>
      <c r="S2" s="1146"/>
      <c r="T2" s="129"/>
      <c r="U2" s="227"/>
      <c r="V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129" t="s">
        <v>3</v>
      </c>
      <c r="R3" s="931"/>
      <c r="S3" s="931"/>
      <c r="T3" s="931"/>
      <c r="U3" s="931"/>
      <c r="V3" s="170"/>
    </row>
    <row r="4" spans="1:23" ht="21">
      <c r="B4" s="939" t="s">
        <v>403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129" t="s">
        <v>5</v>
      </c>
      <c r="R4" s="931"/>
      <c r="S4" s="931"/>
      <c r="T4" s="931"/>
      <c r="U4" s="931"/>
      <c r="V4" s="170"/>
    </row>
    <row r="5" spans="1:23" ht="21">
      <c r="A5" s="932" t="s">
        <v>404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129" t="s">
        <v>7</v>
      </c>
      <c r="R5" s="931"/>
      <c r="S5" s="931"/>
      <c r="T5" s="931"/>
      <c r="U5" s="931"/>
      <c r="V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215"/>
      <c r="N6" s="934" t="s">
        <v>13</v>
      </c>
      <c r="O6" s="934"/>
      <c r="P6" s="225" t="s">
        <v>14</v>
      </c>
      <c r="Q6" s="129" t="s">
        <v>15</v>
      </c>
      <c r="R6" s="931"/>
      <c r="S6" s="931"/>
      <c r="T6" s="931"/>
      <c r="U6" s="931"/>
      <c r="V6" s="170"/>
      <c r="W6" t="s">
        <v>67</v>
      </c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16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17</v>
      </c>
      <c r="M7" s="217"/>
      <c r="N7" s="217" t="s">
        <v>16</v>
      </c>
      <c r="O7" s="217" t="s">
        <v>17</v>
      </c>
      <c r="P7" s="226"/>
      <c r="Q7" s="129" t="s">
        <v>19</v>
      </c>
      <c r="R7" s="931"/>
      <c r="S7" s="931"/>
      <c r="T7" s="931"/>
      <c r="U7" s="931"/>
      <c r="V7" s="170"/>
    </row>
    <row r="8" spans="1:23">
      <c r="B8" s="216"/>
      <c r="C8" s="216"/>
      <c r="D8" s="217" t="s">
        <v>21</v>
      </c>
      <c r="E8" s="217" t="s">
        <v>22</v>
      </c>
      <c r="F8" s="217"/>
      <c r="G8" s="217" t="s">
        <v>21</v>
      </c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217" t="s">
        <v>23</v>
      </c>
      <c r="N8" s="217" t="s">
        <v>21</v>
      </c>
      <c r="O8" s="217" t="s">
        <v>22</v>
      </c>
      <c r="P8" s="226"/>
      <c r="Q8" s="129" t="s">
        <v>24</v>
      </c>
      <c r="R8" s="941">
        <f>R6+R7</f>
        <v>0</v>
      </c>
      <c r="S8" s="941"/>
      <c r="T8" s="941"/>
      <c r="U8" s="941"/>
      <c r="V8" s="170"/>
    </row>
    <row r="9" spans="1:23">
      <c r="B9" s="216">
        <v>1</v>
      </c>
      <c r="C9" s="216"/>
      <c r="D9" s="216"/>
      <c r="E9" s="216"/>
      <c r="F9" s="216"/>
      <c r="G9" s="216"/>
      <c r="H9" s="216"/>
      <c r="I9" s="216"/>
      <c r="J9" s="216"/>
      <c r="K9" s="216"/>
      <c r="L9" s="216"/>
      <c r="M9" s="218">
        <f t="shared" ref="M9:M24" si="0">$R$7*L9/1000</f>
        <v>0</v>
      </c>
      <c r="N9" s="216"/>
      <c r="O9" s="216"/>
      <c r="P9" s="216"/>
      <c r="V9" s="170"/>
    </row>
    <row r="10" spans="1:23">
      <c r="B10" s="216">
        <v>2</v>
      </c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>
        <f t="shared" si="0"/>
        <v>0</v>
      </c>
      <c r="N10" s="216"/>
      <c r="O10" s="216"/>
      <c r="P10" s="216"/>
    </row>
    <row r="11" spans="1:23">
      <c r="B11" s="13">
        <v>3</v>
      </c>
      <c r="C11" s="13"/>
      <c r="D11" s="13"/>
      <c r="E11" s="13">
        <v>0</v>
      </c>
      <c r="F11" s="13"/>
      <c r="G11" s="13"/>
      <c r="H11" s="219"/>
      <c r="I11" s="13">
        <f>D11+G11</f>
        <v>0</v>
      </c>
      <c r="J11" s="13">
        <v>0</v>
      </c>
      <c r="K11" s="13">
        <v>0</v>
      </c>
      <c r="L11" s="219"/>
      <c r="M11" s="219">
        <f t="shared" si="0"/>
        <v>0</v>
      </c>
      <c r="N11" s="13">
        <v>0</v>
      </c>
      <c r="O11" s="219">
        <f>N11*R$8/1000</f>
        <v>0</v>
      </c>
      <c r="P11" s="216"/>
    </row>
    <row r="12" spans="1:23">
      <c r="B12" s="216">
        <v>4</v>
      </c>
      <c r="C12" s="216"/>
      <c r="D12" s="216"/>
      <c r="E12" s="218">
        <f>D12*R$8/1000</f>
        <v>0</v>
      </c>
      <c r="F12" s="216"/>
      <c r="G12" s="216"/>
      <c r="H12" s="218"/>
      <c r="I12" s="216">
        <f>D12+G12</f>
        <v>0</v>
      </c>
      <c r="J12" s="218">
        <f>I12*T$8/1000</f>
        <v>0</v>
      </c>
      <c r="K12" s="216">
        <v>0</v>
      </c>
      <c r="L12" s="218"/>
      <c r="M12" s="218">
        <f t="shared" si="0"/>
        <v>0</v>
      </c>
      <c r="N12" s="216">
        <f>D12+G12-K12</f>
        <v>0</v>
      </c>
      <c r="O12" s="218">
        <f>N12*R$8/1000</f>
        <v>0</v>
      </c>
      <c r="P12" s="216"/>
    </row>
    <row r="13" spans="1:23">
      <c r="B13" s="216">
        <v>5</v>
      </c>
      <c r="C13" s="216"/>
      <c r="D13" s="216"/>
      <c r="E13" s="218">
        <f t="shared" ref="E13:E39" si="1">D13*R$8/1000</f>
        <v>0</v>
      </c>
      <c r="F13" s="216"/>
      <c r="G13" s="216"/>
      <c r="H13" s="218"/>
      <c r="I13" s="216">
        <v>0</v>
      </c>
      <c r="J13" s="218">
        <f t="shared" ref="J13:J39" si="2">I13*T$8/1000</f>
        <v>0</v>
      </c>
      <c r="K13" s="216"/>
      <c r="L13" s="218">
        <f>+H13</f>
        <v>0</v>
      </c>
      <c r="M13" s="218">
        <f t="shared" si="0"/>
        <v>0</v>
      </c>
      <c r="N13" s="216">
        <f>D13+G13-K13</f>
        <v>0</v>
      </c>
      <c r="O13" s="218">
        <f t="shared" ref="O13:O39" si="3">N13*R$8/1000</f>
        <v>0</v>
      </c>
      <c r="P13" s="216"/>
    </row>
    <row r="14" spans="1:23">
      <c r="B14" s="13">
        <v>6</v>
      </c>
      <c r="C14" s="13"/>
      <c r="D14" s="13"/>
      <c r="E14" s="219"/>
      <c r="F14" s="13"/>
      <c r="G14" s="13"/>
      <c r="H14" s="219"/>
      <c r="I14" s="13"/>
      <c r="J14" s="219"/>
      <c r="K14" s="13"/>
      <c r="L14" s="219">
        <f>+H14</f>
        <v>0</v>
      </c>
      <c r="M14" s="219">
        <f t="shared" si="0"/>
        <v>0</v>
      </c>
      <c r="N14" s="13"/>
      <c r="O14" s="219">
        <f t="shared" si="3"/>
        <v>0</v>
      </c>
      <c r="P14" s="216"/>
    </row>
    <row r="15" spans="1:23">
      <c r="B15" s="216">
        <v>7</v>
      </c>
      <c r="C15" s="216"/>
      <c r="D15" s="216"/>
      <c r="E15" s="218">
        <f t="shared" si="1"/>
        <v>0</v>
      </c>
      <c r="F15" s="216"/>
      <c r="G15" s="216"/>
      <c r="H15" s="218"/>
      <c r="I15" s="216"/>
      <c r="J15" s="218">
        <f t="shared" si="2"/>
        <v>0</v>
      </c>
      <c r="K15" s="216">
        <v>0</v>
      </c>
      <c r="L15" s="219">
        <f t="shared" ref="L15:L38" si="4">+H15</f>
        <v>0</v>
      </c>
      <c r="M15" s="218">
        <f t="shared" si="0"/>
        <v>0</v>
      </c>
      <c r="N15" s="216">
        <f>D15+G15-K15</f>
        <v>0</v>
      </c>
      <c r="O15" s="218">
        <f t="shared" si="3"/>
        <v>0</v>
      </c>
      <c r="P15" s="216"/>
    </row>
    <row r="16" spans="1:23">
      <c r="B16" s="216">
        <v>8</v>
      </c>
      <c r="C16" s="216"/>
      <c r="D16" s="216"/>
      <c r="E16" s="218">
        <f t="shared" si="1"/>
        <v>0</v>
      </c>
      <c r="F16" s="216"/>
      <c r="G16" s="216"/>
      <c r="H16" s="218"/>
      <c r="I16" s="216"/>
      <c r="J16" s="218">
        <f t="shared" si="2"/>
        <v>0</v>
      </c>
      <c r="K16" s="216">
        <v>0</v>
      </c>
      <c r="L16" s="219">
        <f t="shared" si="4"/>
        <v>0</v>
      </c>
      <c r="M16" s="218">
        <f t="shared" si="0"/>
        <v>0</v>
      </c>
      <c r="N16" s="216">
        <f>D16+G16-K16</f>
        <v>0</v>
      </c>
      <c r="O16" s="218">
        <f t="shared" si="3"/>
        <v>0</v>
      </c>
      <c r="P16" s="216"/>
    </row>
    <row r="17" spans="2:16">
      <c r="B17" s="13">
        <v>9</v>
      </c>
      <c r="C17" s="13"/>
      <c r="D17" s="13"/>
      <c r="E17" s="219"/>
      <c r="F17" s="13"/>
      <c r="G17" s="13"/>
      <c r="H17" s="219"/>
      <c r="I17" s="13"/>
      <c r="J17" s="219">
        <f t="shared" si="2"/>
        <v>0</v>
      </c>
      <c r="K17" s="13">
        <v>0</v>
      </c>
      <c r="L17" s="219">
        <f t="shared" si="4"/>
        <v>0</v>
      </c>
      <c r="M17" s="219">
        <f t="shared" si="0"/>
        <v>0</v>
      </c>
      <c r="N17" s="216"/>
      <c r="O17" s="218">
        <f t="shared" si="3"/>
        <v>0</v>
      </c>
      <c r="P17" s="216"/>
    </row>
    <row r="18" spans="2:16">
      <c r="B18" s="13">
        <v>10</v>
      </c>
      <c r="C18" s="13"/>
      <c r="D18" s="13"/>
      <c r="E18" s="219">
        <f t="shared" si="1"/>
        <v>0</v>
      </c>
      <c r="F18" s="13"/>
      <c r="G18" s="13"/>
      <c r="H18" s="219"/>
      <c r="I18" s="13">
        <v>0</v>
      </c>
      <c r="J18" s="219">
        <f t="shared" si="2"/>
        <v>0</v>
      </c>
      <c r="K18" s="13"/>
      <c r="L18" s="219">
        <f t="shared" si="4"/>
        <v>0</v>
      </c>
      <c r="M18" s="219">
        <f t="shared" si="0"/>
        <v>0</v>
      </c>
      <c r="N18" s="13"/>
      <c r="O18" s="219">
        <f t="shared" si="3"/>
        <v>0</v>
      </c>
      <c r="P18" s="216"/>
    </row>
    <row r="19" spans="2:16">
      <c r="B19" s="13"/>
      <c r="C19" s="13"/>
      <c r="D19" s="13"/>
      <c r="E19" s="219"/>
      <c r="F19" s="13"/>
      <c r="G19" s="13"/>
      <c r="H19" s="219"/>
      <c r="I19" s="13"/>
      <c r="J19" s="219"/>
      <c r="K19" s="13"/>
      <c r="L19" s="219">
        <f t="shared" si="4"/>
        <v>0</v>
      </c>
      <c r="M19" s="218">
        <f t="shared" si="0"/>
        <v>0</v>
      </c>
      <c r="N19" s="216"/>
      <c r="O19" s="218">
        <f t="shared" si="3"/>
        <v>0</v>
      </c>
      <c r="P19" s="216"/>
    </row>
    <row r="20" spans="2:16">
      <c r="B20" s="216">
        <v>12</v>
      </c>
      <c r="C20" s="216"/>
      <c r="D20" s="216"/>
      <c r="E20" s="218">
        <f t="shared" si="1"/>
        <v>0</v>
      </c>
      <c r="F20" s="216"/>
      <c r="G20" s="216"/>
      <c r="H20" s="218"/>
      <c r="I20" s="216">
        <v>0</v>
      </c>
      <c r="J20" s="218">
        <f t="shared" si="2"/>
        <v>0</v>
      </c>
      <c r="K20" s="216">
        <v>0</v>
      </c>
      <c r="L20" s="219">
        <f t="shared" si="4"/>
        <v>0</v>
      </c>
      <c r="M20" s="218">
        <f t="shared" si="0"/>
        <v>0</v>
      </c>
      <c r="N20" s="216"/>
      <c r="O20" s="218">
        <f t="shared" si="3"/>
        <v>0</v>
      </c>
      <c r="P20" s="216"/>
    </row>
    <row r="21" spans="2:16">
      <c r="B21" s="13">
        <v>13</v>
      </c>
      <c r="C21" s="13"/>
      <c r="D21" s="13"/>
      <c r="E21" s="219"/>
      <c r="F21" s="13"/>
      <c r="G21" s="13"/>
      <c r="H21" s="219"/>
      <c r="I21" s="13"/>
      <c r="J21" s="219"/>
      <c r="K21" s="13"/>
      <c r="L21" s="219">
        <f t="shared" si="4"/>
        <v>0</v>
      </c>
      <c r="M21" s="219">
        <f t="shared" si="0"/>
        <v>0</v>
      </c>
      <c r="N21" s="13"/>
      <c r="O21" s="219">
        <f t="shared" si="3"/>
        <v>0</v>
      </c>
      <c r="P21" s="216"/>
    </row>
    <row r="22" spans="2:16">
      <c r="B22" s="13"/>
      <c r="C22" s="13"/>
      <c r="D22" s="13"/>
      <c r="E22" s="219"/>
      <c r="F22" s="13"/>
      <c r="G22" s="13"/>
      <c r="H22" s="219"/>
      <c r="I22" s="13"/>
      <c r="J22" s="219"/>
      <c r="K22" s="13"/>
      <c r="L22" s="219">
        <f t="shared" si="4"/>
        <v>0</v>
      </c>
      <c r="M22" s="218">
        <f t="shared" si="0"/>
        <v>0</v>
      </c>
      <c r="N22" s="216"/>
      <c r="O22" s="218">
        <f t="shared" si="3"/>
        <v>0</v>
      </c>
      <c r="P22" s="216"/>
    </row>
    <row r="23" spans="2:16">
      <c r="B23" s="216">
        <v>15</v>
      </c>
      <c r="C23" s="216"/>
      <c r="D23" s="216"/>
      <c r="E23" s="218">
        <f t="shared" si="1"/>
        <v>0</v>
      </c>
      <c r="F23" s="216"/>
      <c r="G23" s="216"/>
      <c r="H23" s="218"/>
      <c r="I23" s="216">
        <v>0</v>
      </c>
      <c r="J23" s="218">
        <f t="shared" si="2"/>
        <v>0</v>
      </c>
      <c r="K23" s="216">
        <v>0</v>
      </c>
      <c r="L23" s="219">
        <f t="shared" si="4"/>
        <v>0</v>
      </c>
      <c r="M23" s="218">
        <f t="shared" si="0"/>
        <v>0</v>
      </c>
      <c r="N23" s="216"/>
      <c r="O23" s="218">
        <f t="shared" si="3"/>
        <v>0</v>
      </c>
      <c r="P23" s="216"/>
    </row>
    <row r="24" spans="2:16">
      <c r="B24" s="216">
        <v>16</v>
      </c>
      <c r="C24" s="216"/>
      <c r="D24" s="216"/>
      <c r="E24" s="218">
        <f t="shared" si="1"/>
        <v>0</v>
      </c>
      <c r="F24" s="216"/>
      <c r="G24" s="216"/>
      <c r="H24" s="218"/>
      <c r="I24" s="216">
        <v>0</v>
      </c>
      <c r="J24" s="218">
        <f t="shared" si="2"/>
        <v>0</v>
      </c>
      <c r="K24" s="216"/>
      <c r="L24" s="219">
        <f t="shared" si="4"/>
        <v>0</v>
      </c>
      <c r="M24" s="218">
        <f t="shared" si="0"/>
        <v>0</v>
      </c>
      <c r="N24" s="216"/>
      <c r="O24" s="218">
        <f t="shared" si="3"/>
        <v>0</v>
      </c>
      <c r="P24" s="216"/>
    </row>
    <row r="25" spans="2:16">
      <c r="B25" s="13">
        <v>17</v>
      </c>
      <c r="C25" s="13"/>
      <c r="D25" s="13"/>
      <c r="E25" s="219"/>
      <c r="F25" s="13"/>
      <c r="G25" s="13"/>
      <c r="H25" s="219"/>
      <c r="I25" s="13">
        <v>0</v>
      </c>
      <c r="J25" s="219">
        <f t="shared" si="2"/>
        <v>0</v>
      </c>
      <c r="K25" s="13"/>
      <c r="L25" s="219">
        <f t="shared" si="4"/>
        <v>0</v>
      </c>
      <c r="M25" s="219"/>
      <c r="N25" s="13"/>
      <c r="O25" s="219">
        <f t="shared" si="3"/>
        <v>0</v>
      </c>
      <c r="P25" s="216"/>
    </row>
    <row r="26" spans="2:16">
      <c r="B26" s="13">
        <v>18</v>
      </c>
      <c r="C26" s="13"/>
      <c r="D26" s="13"/>
      <c r="E26" s="219">
        <f t="shared" si="1"/>
        <v>0</v>
      </c>
      <c r="F26" s="13"/>
      <c r="G26" s="13"/>
      <c r="H26" s="219"/>
      <c r="I26" s="13">
        <v>0</v>
      </c>
      <c r="J26" s="219">
        <f t="shared" si="2"/>
        <v>0</v>
      </c>
      <c r="K26" s="13">
        <v>0</v>
      </c>
      <c r="L26" s="219">
        <f t="shared" si="4"/>
        <v>0</v>
      </c>
      <c r="M26" s="219">
        <f t="shared" ref="M26:M39" si="5">K26*R$7/1000</f>
        <v>0</v>
      </c>
      <c r="N26" s="216"/>
      <c r="O26" s="218">
        <f t="shared" si="3"/>
        <v>0</v>
      </c>
      <c r="P26" s="216"/>
    </row>
    <row r="27" spans="2:16">
      <c r="B27" s="13"/>
      <c r="C27" s="13"/>
      <c r="D27" s="13"/>
      <c r="E27" s="219"/>
      <c r="F27" s="13"/>
      <c r="G27" s="13"/>
      <c r="H27" s="219"/>
      <c r="I27" s="13"/>
      <c r="J27" s="219"/>
      <c r="K27" s="13"/>
      <c r="L27" s="219">
        <f t="shared" si="4"/>
        <v>0</v>
      </c>
      <c r="M27" s="218">
        <f t="shared" si="5"/>
        <v>0</v>
      </c>
      <c r="N27" s="216"/>
      <c r="O27" s="218">
        <f t="shared" si="3"/>
        <v>0</v>
      </c>
      <c r="P27" s="216"/>
    </row>
    <row r="28" spans="2:16">
      <c r="B28" s="216">
        <v>20</v>
      </c>
      <c r="C28" s="216"/>
      <c r="D28" s="216"/>
      <c r="E28" s="218">
        <f t="shared" si="1"/>
        <v>0</v>
      </c>
      <c r="F28" s="216"/>
      <c r="G28" s="216"/>
      <c r="H28" s="218"/>
      <c r="I28" s="216">
        <v>0</v>
      </c>
      <c r="J28" s="218">
        <f t="shared" si="2"/>
        <v>0</v>
      </c>
      <c r="K28" s="216">
        <v>0</v>
      </c>
      <c r="L28" s="219">
        <f t="shared" si="4"/>
        <v>0</v>
      </c>
      <c r="M28" s="218">
        <f t="shared" si="5"/>
        <v>0</v>
      </c>
      <c r="N28" s="216"/>
      <c r="O28" s="218">
        <f t="shared" si="3"/>
        <v>0</v>
      </c>
      <c r="P28" s="216"/>
    </row>
    <row r="29" spans="2:16">
      <c r="B29" s="216">
        <v>21</v>
      </c>
      <c r="C29" s="216"/>
      <c r="D29" s="216"/>
      <c r="E29" s="218">
        <f t="shared" si="1"/>
        <v>0</v>
      </c>
      <c r="F29" s="216"/>
      <c r="G29" s="216"/>
      <c r="H29" s="218"/>
      <c r="I29" s="216">
        <v>0</v>
      </c>
      <c r="J29" s="218">
        <f t="shared" si="2"/>
        <v>0</v>
      </c>
      <c r="K29" s="216">
        <v>0</v>
      </c>
      <c r="L29" s="219">
        <f t="shared" si="4"/>
        <v>0</v>
      </c>
      <c r="M29" s="218">
        <f t="shared" si="5"/>
        <v>0</v>
      </c>
      <c r="N29" s="216"/>
      <c r="O29" s="218">
        <f t="shared" si="3"/>
        <v>0</v>
      </c>
      <c r="P29" s="216"/>
    </row>
    <row r="30" spans="2:16">
      <c r="B30" s="216">
        <v>22</v>
      </c>
      <c r="C30" s="216"/>
      <c r="D30" s="216"/>
      <c r="E30" s="218">
        <f t="shared" si="1"/>
        <v>0</v>
      </c>
      <c r="F30" s="216"/>
      <c r="G30" s="216"/>
      <c r="H30" s="218"/>
      <c r="I30" s="216">
        <v>0</v>
      </c>
      <c r="J30" s="218">
        <f t="shared" si="2"/>
        <v>0</v>
      </c>
      <c r="K30" s="216"/>
      <c r="L30" s="219">
        <f t="shared" si="4"/>
        <v>0</v>
      </c>
      <c r="M30" s="218">
        <f t="shared" si="5"/>
        <v>0</v>
      </c>
      <c r="N30" s="216"/>
      <c r="O30" s="218">
        <f t="shared" si="3"/>
        <v>0</v>
      </c>
      <c r="P30" s="216"/>
    </row>
    <row r="31" spans="2:16">
      <c r="B31" s="216">
        <v>23</v>
      </c>
      <c r="C31" s="216"/>
      <c r="D31" s="216"/>
      <c r="E31" s="218">
        <f t="shared" si="1"/>
        <v>0</v>
      </c>
      <c r="F31" s="216"/>
      <c r="G31" s="216"/>
      <c r="H31" s="218"/>
      <c r="I31" s="216">
        <v>0</v>
      </c>
      <c r="J31" s="218">
        <f t="shared" si="2"/>
        <v>0</v>
      </c>
      <c r="K31" s="216">
        <v>0</v>
      </c>
      <c r="L31" s="219">
        <f t="shared" si="4"/>
        <v>0</v>
      </c>
      <c r="M31" s="218">
        <f t="shared" si="5"/>
        <v>0</v>
      </c>
      <c r="N31" s="216"/>
      <c r="O31" s="218">
        <f t="shared" si="3"/>
        <v>0</v>
      </c>
      <c r="P31" s="216"/>
    </row>
    <row r="32" spans="2:16">
      <c r="B32" s="13"/>
      <c r="C32" s="13"/>
      <c r="D32" s="13"/>
      <c r="E32" s="219"/>
      <c r="F32" s="13"/>
      <c r="G32" s="13"/>
      <c r="H32" s="219"/>
      <c r="I32" s="13"/>
      <c r="J32" s="219"/>
      <c r="K32" s="13"/>
      <c r="L32" s="219">
        <f t="shared" si="4"/>
        <v>0</v>
      </c>
      <c r="M32" s="218">
        <f t="shared" si="5"/>
        <v>0</v>
      </c>
      <c r="N32" s="216"/>
      <c r="O32" s="218">
        <f t="shared" si="3"/>
        <v>0</v>
      </c>
      <c r="P32" s="216"/>
    </row>
    <row r="33" spans="2:17">
      <c r="B33" s="216">
        <v>25</v>
      </c>
      <c r="C33" s="216"/>
      <c r="D33" s="216"/>
      <c r="E33" s="218">
        <f t="shared" si="1"/>
        <v>0</v>
      </c>
      <c r="F33" s="216"/>
      <c r="G33" s="216"/>
      <c r="H33" s="218"/>
      <c r="I33" s="216">
        <v>0</v>
      </c>
      <c r="J33" s="218">
        <f t="shared" si="2"/>
        <v>0</v>
      </c>
      <c r="K33" s="216"/>
      <c r="L33" s="219">
        <f t="shared" si="4"/>
        <v>0</v>
      </c>
      <c r="M33" s="218">
        <f t="shared" si="5"/>
        <v>0</v>
      </c>
      <c r="N33" s="216"/>
      <c r="O33" s="218">
        <f t="shared" si="3"/>
        <v>0</v>
      </c>
      <c r="P33" s="216"/>
    </row>
    <row r="34" spans="2:17">
      <c r="B34" s="216">
        <v>26</v>
      </c>
      <c r="C34" s="216"/>
      <c r="D34" s="216"/>
      <c r="E34" s="218">
        <f t="shared" si="1"/>
        <v>0</v>
      </c>
      <c r="F34" s="216"/>
      <c r="G34" s="216"/>
      <c r="H34" s="218"/>
      <c r="I34" s="216">
        <v>0</v>
      </c>
      <c r="J34" s="218">
        <f t="shared" si="2"/>
        <v>0</v>
      </c>
      <c r="K34" s="216">
        <v>0</v>
      </c>
      <c r="L34" s="219">
        <f t="shared" si="4"/>
        <v>0</v>
      </c>
      <c r="M34" s="218">
        <f t="shared" si="5"/>
        <v>0</v>
      </c>
      <c r="N34" s="216"/>
      <c r="O34" s="218">
        <f t="shared" si="3"/>
        <v>0</v>
      </c>
      <c r="P34" s="216"/>
    </row>
    <row r="35" spans="2:17">
      <c r="B35" s="216">
        <v>27</v>
      </c>
      <c r="C35" s="216"/>
      <c r="D35" s="216"/>
      <c r="E35" s="218">
        <f t="shared" si="1"/>
        <v>0</v>
      </c>
      <c r="F35" s="216"/>
      <c r="G35" s="216"/>
      <c r="H35" s="218"/>
      <c r="I35" s="216">
        <v>0</v>
      </c>
      <c r="J35" s="218">
        <f t="shared" si="2"/>
        <v>0</v>
      </c>
      <c r="K35" s="216">
        <v>0</v>
      </c>
      <c r="L35" s="219">
        <f t="shared" si="4"/>
        <v>0</v>
      </c>
      <c r="M35" s="218">
        <f t="shared" si="5"/>
        <v>0</v>
      </c>
      <c r="N35" s="216"/>
      <c r="O35" s="218">
        <f t="shared" si="3"/>
        <v>0</v>
      </c>
      <c r="P35" s="216"/>
    </row>
    <row r="36" spans="2:17">
      <c r="B36" s="216">
        <v>28</v>
      </c>
      <c r="C36" s="216"/>
      <c r="D36" s="216"/>
      <c r="E36" s="218">
        <f t="shared" si="1"/>
        <v>0</v>
      </c>
      <c r="F36" s="216"/>
      <c r="G36" s="216"/>
      <c r="H36" s="218"/>
      <c r="I36" s="216">
        <v>0</v>
      </c>
      <c r="J36" s="218">
        <f t="shared" si="2"/>
        <v>0</v>
      </c>
      <c r="K36" s="216">
        <v>0</v>
      </c>
      <c r="L36" s="219">
        <f t="shared" si="4"/>
        <v>0</v>
      </c>
      <c r="M36" s="218">
        <f t="shared" si="5"/>
        <v>0</v>
      </c>
      <c r="N36" s="216"/>
      <c r="O36" s="218">
        <f t="shared" si="3"/>
        <v>0</v>
      </c>
      <c r="P36" s="216"/>
    </row>
    <row r="37" spans="2:17">
      <c r="B37" s="216">
        <v>29</v>
      </c>
      <c r="C37" s="216"/>
      <c r="D37" s="216"/>
      <c r="E37" s="218">
        <f t="shared" si="1"/>
        <v>0</v>
      </c>
      <c r="F37" s="216"/>
      <c r="G37" s="216"/>
      <c r="H37" s="218"/>
      <c r="I37" s="216">
        <v>0</v>
      </c>
      <c r="J37" s="218">
        <f t="shared" si="2"/>
        <v>0</v>
      </c>
      <c r="K37" s="216">
        <v>0</v>
      </c>
      <c r="L37" s="219">
        <f t="shared" si="4"/>
        <v>0</v>
      </c>
      <c r="M37" s="218">
        <f t="shared" si="5"/>
        <v>0</v>
      </c>
      <c r="N37" s="216"/>
      <c r="O37" s="218">
        <f t="shared" si="3"/>
        <v>0</v>
      </c>
      <c r="P37" s="216"/>
    </row>
    <row r="38" spans="2:17">
      <c r="B38" s="216">
        <v>30</v>
      </c>
      <c r="D38" s="216"/>
      <c r="E38" s="218">
        <f t="shared" si="1"/>
        <v>0</v>
      </c>
      <c r="F38" s="3"/>
      <c r="G38" s="3"/>
      <c r="H38" s="218"/>
      <c r="I38" s="216"/>
      <c r="J38" s="218">
        <f t="shared" si="2"/>
        <v>0</v>
      </c>
      <c r="K38" s="3"/>
      <c r="L38" s="219">
        <f t="shared" si="4"/>
        <v>0</v>
      </c>
      <c r="M38" s="218">
        <f t="shared" si="5"/>
        <v>0</v>
      </c>
      <c r="N38" s="216"/>
      <c r="O38" s="218">
        <f t="shared" si="3"/>
        <v>0</v>
      </c>
      <c r="P38" s="3"/>
    </row>
    <row r="39" spans="2:17">
      <c r="B39" s="231">
        <v>31</v>
      </c>
      <c r="C39" s="232"/>
      <c r="D39" s="217"/>
      <c r="E39" s="221">
        <f t="shared" si="1"/>
        <v>0</v>
      </c>
      <c r="F39" s="233"/>
      <c r="G39" s="233"/>
      <c r="H39" s="221"/>
      <c r="I39" s="217"/>
      <c r="J39" s="221">
        <f t="shared" si="2"/>
        <v>0</v>
      </c>
      <c r="K39" s="233"/>
      <c r="L39" s="221"/>
      <c r="M39" s="221">
        <f t="shared" si="5"/>
        <v>0</v>
      </c>
      <c r="N39" s="216"/>
      <c r="O39" s="218">
        <f t="shared" si="3"/>
        <v>0</v>
      </c>
      <c r="P39" s="223"/>
    </row>
    <row r="40" spans="2:17">
      <c r="B40" s="928" t="s">
        <v>10</v>
      </c>
      <c r="C40" s="929"/>
      <c r="D40" s="929"/>
      <c r="E40" s="930"/>
      <c r="F40" s="130">
        <f t="shared" ref="F40:M40" si="6">SUM(F9:F39)</f>
        <v>0</v>
      </c>
      <c r="G40" s="224">
        <f t="shared" si="6"/>
        <v>0</v>
      </c>
      <c r="H40" s="224">
        <f t="shared" si="6"/>
        <v>0</v>
      </c>
      <c r="I40" s="130"/>
      <c r="J40" s="130"/>
      <c r="K40" s="224">
        <f t="shared" si="6"/>
        <v>0</v>
      </c>
      <c r="L40" s="224">
        <f t="shared" si="6"/>
        <v>0</v>
      </c>
      <c r="M40" s="130">
        <f t="shared" si="6"/>
        <v>0</v>
      </c>
      <c r="N40" s="130"/>
      <c r="O40" s="130"/>
      <c r="P40" s="3"/>
    </row>
    <row r="42" spans="2:17">
      <c r="B42" s="931" t="s">
        <v>23</v>
      </c>
      <c r="C42" s="931"/>
      <c r="D42" s="931"/>
      <c r="E42" s="8">
        <f>G40*R7/1000</f>
        <v>0</v>
      </c>
      <c r="Q42">
        <v>6</v>
      </c>
    </row>
  </sheetData>
  <mergeCells count="18">
    <mergeCell ref="B2:P2"/>
    <mergeCell ref="R2:S2"/>
    <mergeCell ref="B3:P3"/>
    <mergeCell ref="R3:U3"/>
    <mergeCell ref="B4:P4"/>
    <mergeCell ref="R4:U4"/>
    <mergeCell ref="R7:U7"/>
    <mergeCell ref="R8:U8"/>
    <mergeCell ref="B40:E40"/>
    <mergeCell ref="B42:D42"/>
    <mergeCell ref="A5:P5"/>
    <mergeCell ref="R5:U5"/>
    <mergeCell ref="D6:F6"/>
    <mergeCell ref="G6:H6"/>
    <mergeCell ref="I6:J6"/>
    <mergeCell ref="K6:L6"/>
    <mergeCell ref="N6:O6"/>
    <mergeCell ref="R6:U6"/>
  </mergeCells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W42"/>
  <sheetViews>
    <sheetView topLeftCell="B1" zoomScale="80" zoomScaleNormal="80" workbookViewId="0">
      <pane ySplit="8" topLeftCell="A30" activePane="bottomLeft" state="frozen"/>
      <selection pane="bottomLeft" activeCell="Q2" sqref="Q2:U2"/>
    </sheetView>
  </sheetViews>
  <sheetFormatPr defaultColWidth="9" defaultRowHeight="15"/>
  <cols>
    <col min="1" max="1" width="9" hidden="1" customWidth="1"/>
    <col min="3" max="3" width="9" hidden="1" customWidth="1"/>
    <col min="5" max="5" width="10.42578125" customWidth="1"/>
    <col min="6" max="6" width="9" hidden="1" customWidth="1"/>
    <col min="8" max="8" width="10.42578125" customWidth="1"/>
    <col min="10" max="10" width="10.42578125" customWidth="1"/>
    <col min="12" max="12" width="10.42578125" customWidth="1"/>
    <col min="13" max="13" width="12" customWidth="1"/>
    <col min="14" max="14" width="8.28515625" customWidth="1"/>
    <col min="15" max="16" width="10.42578125" customWidth="1"/>
    <col min="17" max="17" width="18.28515625" customWidth="1"/>
    <col min="18" max="18" width="8" customWidth="1"/>
    <col min="19" max="19" width="3" hidden="1" customWidth="1"/>
    <col min="20" max="20" width="6.140625" customWidth="1"/>
    <col min="21" max="21" width="6.28515625" customWidth="1"/>
    <col min="22" max="22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129"/>
      <c r="R2" s="1146"/>
      <c r="S2" s="1146"/>
      <c r="T2" s="129"/>
      <c r="U2" s="227"/>
      <c r="V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129" t="s">
        <v>3</v>
      </c>
      <c r="R3" s="931"/>
      <c r="S3" s="931"/>
      <c r="T3" s="931"/>
      <c r="U3" s="931"/>
      <c r="V3" s="170"/>
    </row>
    <row r="4" spans="1:23" ht="21">
      <c r="B4" s="939" t="s">
        <v>405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129" t="s">
        <v>5</v>
      </c>
      <c r="R4" s="931"/>
      <c r="S4" s="931"/>
      <c r="T4" s="931"/>
      <c r="U4" s="931"/>
      <c r="V4" s="170"/>
    </row>
    <row r="5" spans="1:23" ht="21">
      <c r="A5" s="932"/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129" t="s">
        <v>7</v>
      </c>
      <c r="R5" s="931"/>
      <c r="S5" s="931"/>
      <c r="T5" s="931"/>
      <c r="U5" s="931"/>
      <c r="V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215"/>
      <c r="N6" s="934" t="s">
        <v>13</v>
      </c>
      <c r="O6" s="934"/>
      <c r="P6" s="225" t="s">
        <v>14</v>
      </c>
      <c r="Q6" s="129" t="s">
        <v>15</v>
      </c>
      <c r="R6" s="931"/>
      <c r="S6" s="931"/>
      <c r="T6" s="931"/>
      <c r="U6" s="931"/>
      <c r="V6" s="170"/>
      <c r="W6" t="s">
        <v>67</v>
      </c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16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17</v>
      </c>
      <c r="M7" s="217"/>
      <c r="N7" s="217" t="s">
        <v>16</v>
      </c>
      <c r="O7" s="217" t="s">
        <v>17</v>
      </c>
      <c r="P7" s="226"/>
      <c r="Q7" s="129" t="s">
        <v>19</v>
      </c>
      <c r="R7" s="931"/>
      <c r="S7" s="931"/>
      <c r="T7" s="931"/>
      <c r="U7" s="931"/>
      <c r="V7" s="170"/>
    </row>
    <row r="8" spans="1:23">
      <c r="B8" s="216"/>
      <c r="C8" s="216"/>
      <c r="D8" s="217" t="s">
        <v>21</v>
      </c>
      <c r="E8" s="217" t="s">
        <v>22</v>
      </c>
      <c r="F8" s="217"/>
      <c r="G8" s="217" t="s">
        <v>21</v>
      </c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217" t="s">
        <v>23</v>
      </c>
      <c r="N8" s="217" t="s">
        <v>21</v>
      </c>
      <c r="O8" s="217" t="s">
        <v>22</v>
      </c>
      <c r="P8" s="226"/>
      <c r="Q8" s="129" t="s">
        <v>24</v>
      </c>
      <c r="R8" s="941">
        <f>R6+R7</f>
        <v>0</v>
      </c>
      <c r="S8" s="941"/>
      <c r="T8" s="941"/>
      <c r="U8" s="941"/>
      <c r="V8" s="170"/>
    </row>
    <row r="9" spans="1:23">
      <c r="B9" s="216">
        <v>1</v>
      </c>
      <c r="C9" s="216"/>
      <c r="D9" s="216"/>
      <c r="E9" s="216"/>
      <c r="F9" s="216"/>
      <c r="G9" s="216"/>
      <c r="H9" s="216"/>
      <c r="I9" s="216"/>
      <c r="J9" s="216"/>
      <c r="K9" s="216"/>
      <c r="L9" s="216">
        <f>+H9</f>
        <v>0</v>
      </c>
      <c r="M9" s="218">
        <f t="shared" ref="M9:M24" si="0">$R$7*L9/1000</f>
        <v>0</v>
      </c>
      <c r="N9" s="216"/>
      <c r="O9" s="216"/>
      <c r="P9" s="216"/>
      <c r="V9" s="170"/>
    </row>
    <row r="10" spans="1:23">
      <c r="B10" s="216">
        <v>2</v>
      </c>
      <c r="C10" s="216"/>
      <c r="D10" s="216"/>
      <c r="E10" s="216"/>
      <c r="F10" s="216"/>
      <c r="G10" s="216"/>
      <c r="H10" s="216"/>
      <c r="I10" s="216"/>
      <c r="J10" s="216"/>
      <c r="K10" s="216"/>
      <c r="L10" s="216">
        <f t="shared" ref="L10:L39" si="1">+H10</f>
        <v>0</v>
      </c>
      <c r="M10" s="218">
        <f t="shared" si="0"/>
        <v>0</v>
      </c>
      <c r="N10" s="216"/>
      <c r="O10" s="216"/>
      <c r="P10" s="216"/>
    </row>
    <row r="11" spans="1:23">
      <c r="B11" s="216">
        <v>3</v>
      </c>
      <c r="C11" s="216"/>
      <c r="D11" s="216"/>
      <c r="E11" s="216">
        <v>0</v>
      </c>
      <c r="F11" s="216"/>
      <c r="G11" s="216"/>
      <c r="H11" s="218"/>
      <c r="I11" s="216">
        <f>D11+G11</f>
        <v>0</v>
      </c>
      <c r="J11" s="216">
        <v>0</v>
      </c>
      <c r="K11" s="216">
        <v>0</v>
      </c>
      <c r="L11" s="216">
        <f t="shared" si="1"/>
        <v>0</v>
      </c>
      <c r="M11" s="218">
        <f t="shared" si="0"/>
        <v>0</v>
      </c>
      <c r="N11" s="216">
        <v>0</v>
      </c>
      <c r="O11" s="218">
        <f>N11*R$8/1000</f>
        <v>0</v>
      </c>
      <c r="P11" s="216"/>
    </row>
    <row r="12" spans="1:23">
      <c r="B12" s="216">
        <v>4</v>
      </c>
      <c r="C12" s="216"/>
      <c r="D12" s="216"/>
      <c r="E12" s="218">
        <f>D12*R$8/1000</f>
        <v>0</v>
      </c>
      <c r="F12" s="216"/>
      <c r="G12" s="216"/>
      <c r="H12" s="218"/>
      <c r="I12" s="216">
        <f>D12+G12</f>
        <v>0</v>
      </c>
      <c r="J12" s="218">
        <f>I12*T$8/1000</f>
        <v>0</v>
      </c>
      <c r="K12" s="216">
        <v>0</v>
      </c>
      <c r="L12" s="216">
        <f t="shared" si="1"/>
        <v>0</v>
      </c>
      <c r="M12" s="218">
        <f t="shared" si="0"/>
        <v>0</v>
      </c>
      <c r="N12" s="216">
        <f>D12+G12-K12</f>
        <v>0</v>
      </c>
      <c r="O12" s="218">
        <f>N12*R$8/1000</f>
        <v>0</v>
      </c>
      <c r="P12" s="216"/>
    </row>
    <row r="13" spans="1:23">
      <c r="B13" s="216">
        <v>5</v>
      </c>
      <c r="C13" s="216"/>
      <c r="D13" s="216"/>
      <c r="E13" s="218">
        <f t="shared" ref="E13:E39" si="2">D13*R$8/1000</f>
        <v>0</v>
      </c>
      <c r="F13" s="216"/>
      <c r="G13" s="216"/>
      <c r="H13" s="218"/>
      <c r="I13" s="216">
        <v>0</v>
      </c>
      <c r="J13" s="218">
        <f t="shared" ref="J13:J39" si="3">I13*T$8/1000</f>
        <v>0</v>
      </c>
      <c r="K13" s="216"/>
      <c r="L13" s="216">
        <f t="shared" si="1"/>
        <v>0</v>
      </c>
      <c r="M13" s="218">
        <f t="shared" si="0"/>
        <v>0</v>
      </c>
      <c r="N13" s="216">
        <f>D13+G13-K13</f>
        <v>0</v>
      </c>
      <c r="O13" s="218">
        <f t="shared" ref="O13:O39" si="4">N13*R$8/1000</f>
        <v>0</v>
      </c>
      <c r="P13" s="216"/>
    </row>
    <row r="14" spans="1:23">
      <c r="B14" s="13">
        <v>6</v>
      </c>
      <c r="C14" s="13"/>
      <c r="D14" s="13"/>
      <c r="E14" s="219">
        <f t="shared" si="2"/>
        <v>0</v>
      </c>
      <c r="F14" s="13"/>
      <c r="G14" s="13"/>
      <c r="H14" s="219"/>
      <c r="I14" s="13"/>
      <c r="J14" s="219"/>
      <c r="K14" s="13"/>
      <c r="L14" s="216">
        <f t="shared" si="1"/>
        <v>0</v>
      </c>
      <c r="M14" s="219">
        <f t="shared" si="0"/>
        <v>0</v>
      </c>
      <c r="N14" s="13">
        <f>D14+G14-K14</f>
        <v>0</v>
      </c>
      <c r="O14" s="219">
        <f t="shared" si="4"/>
        <v>0</v>
      </c>
      <c r="P14" s="216"/>
    </row>
    <row r="15" spans="1:23">
      <c r="B15" s="216">
        <v>7</v>
      </c>
      <c r="C15" s="216"/>
      <c r="D15" s="216"/>
      <c r="E15" s="218">
        <f t="shared" si="2"/>
        <v>0</v>
      </c>
      <c r="F15" s="216"/>
      <c r="G15" s="216"/>
      <c r="H15" s="218"/>
      <c r="I15" s="216"/>
      <c r="J15" s="218">
        <f t="shared" si="3"/>
        <v>0</v>
      </c>
      <c r="K15" s="216">
        <v>0</v>
      </c>
      <c r="L15" s="216">
        <f t="shared" si="1"/>
        <v>0</v>
      </c>
      <c r="M15" s="218">
        <f t="shared" si="0"/>
        <v>0</v>
      </c>
      <c r="N15" s="216">
        <f t="shared" ref="N15:N39" si="5">D15+G15-K15</f>
        <v>0</v>
      </c>
      <c r="O15" s="218">
        <f t="shared" si="4"/>
        <v>0</v>
      </c>
      <c r="P15" s="216"/>
    </row>
    <row r="16" spans="1:23">
      <c r="B16" s="216">
        <v>8</v>
      </c>
      <c r="C16" s="216"/>
      <c r="D16" s="216"/>
      <c r="E16" s="218">
        <f t="shared" si="2"/>
        <v>0</v>
      </c>
      <c r="F16" s="216"/>
      <c r="G16" s="216"/>
      <c r="H16" s="218"/>
      <c r="I16" s="216"/>
      <c r="J16" s="218">
        <f t="shared" si="3"/>
        <v>0</v>
      </c>
      <c r="K16" s="216">
        <v>0</v>
      </c>
      <c r="L16" s="216">
        <f t="shared" si="1"/>
        <v>0</v>
      </c>
      <c r="M16" s="218">
        <f t="shared" si="0"/>
        <v>0</v>
      </c>
      <c r="N16" s="216">
        <f t="shared" si="5"/>
        <v>0</v>
      </c>
      <c r="O16" s="218">
        <f t="shared" si="4"/>
        <v>0</v>
      </c>
      <c r="P16" s="216"/>
    </row>
    <row r="17" spans="2:16">
      <c r="B17" s="216">
        <v>9</v>
      </c>
      <c r="C17" s="216"/>
      <c r="D17" s="216"/>
      <c r="E17" s="218">
        <f t="shared" si="2"/>
        <v>0</v>
      </c>
      <c r="F17" s="216"/>
      <c r="G17" s="216"/>
      <c r="H17" s="218"/>
      <c r="I17" s="216"/>
      <c r="J17" s="218">
        <f t="shared" si="3"/>
        <v>0</v>
      </c>
      <c r="K17" s="216">
        <v>0</v>
      </c>
      <c r="L17" s="216">
        <f t="shared" si="1"/>
        <v>0</v>
      </c>
      <c r="M17" s="218">
        <f t="shared" si="0"/>
        <v>0</v>
      </c>
      <c r="N17" s="216">
        <f t="shared" si="5"/>
        <v>0</v>
      </c>
      <c r="O17" s="218">
        <f t="shared" si="4"/>
        <v>0</v>
      </c>
      <c r="P17" s="216"/>
    </row>
    <row r="18" spans="2:16">
      <c r="B18" s="13">
        <v>10</v>
      </c>
      <c r="C18" s="13"/>
      <c r="D18" s="13"/>
      <c r="E18" s="219">
        <f t="shared" si="2"/>
        <v>0</v>
      </c>
      <c r="F18" s="13"/>
      <c r="G18" s="13"/>
      <c r="H18" s="219"/>
      <c r="I18" s="13">
        <v>0</v>
      </c>
      <c r="J18" s="219">
        <f t="shared" si="3"/>
        <v>0</v>
      </c>
      <c r="K18" s="13"/>
      <c r="L18" s="216">
        <f t="shared" si="1"/>
        <v>0</v>
      </c>
      <c r="M18" s="219">
        <f t="shared" si="0"/>
        <v>0</v>
      </c>
      <c r="N18" s="13">
        <f t="shared" si="5"/>
        <v>0</v>
      </c>
      <c r="O18" s="219">
        <f t="shared" si="4"/>
        <v>0</v>
      </c>
      <c r="P18" s="216"/>
    </row>
    <row r="19" spans="2:16">
      <c r="B19" s="13"/>
      <c r="C19" s="13"/>
      <c r="D19" s="13"/>
      <c r="E19" s="219"/>
      <c r="F19" s="13"/>
      <c r="G19" s="13"/>
      <c r="H19" s="219"/>
      <c r="I19" s="13"/>
      <c r="J19" s="219"/>
      <c r="K19" s="13"/>
      <c r="L19" s="216">
        <f t="shared" si="1"/>
        <v>0</v>
      </c>
      <c r="M19" s="218">
        <f t="shared" si="0"/>
        <v>0</v>
      </c>
      <c r="N19" s="216">
        <f t="shared" si="5"/>
        <v>0</v>
      </c>
      <c r="O19" s="218">
        <f t="shared" si="4"/>
        <v>0</v>
      </c>
      <c r="P19" s="216"/>
    </row>
    <row r="20" spans="2:16">
      <c r="B20" s="216">
        <v>12</v>
      </c>
      <c r="C20" s="216"/>
      <c r="D20" s="216"/>
      <c r="E20" s="218">
        <f t="shared" si="2"/>
        <v>0</v>
      </c>
      <c r="F20" s="216"/>
      <c r="G20" s="216"/>
      <c r="H20" s="218"/>
      <c r="I20" s="216">
        <v>0</v>
      </c>
      <c r="J20" s="218">
        <f t="shared" si="3"/>
        <v>0</v>
      </c>
      <c r="K20" s="216">
        <v>0</v>
      </c>
      <c r="L20" s="216">
        <f t="shared" si="1"/>
        <v>0</v>
      </c>
      <c r="M20" s="218">
        <f t="shared" si="0"/>
        <v>0</v>
      </c>
      <c r="N20" s="216">
        <f t="shared" si="5"/>
        <v>0</v>
      </c>
      <c r="O20" s="218">
        <f t="shared" si="4"/>
        <v>0</v>
      </c>
      <c r="P20" s="216"/>
    </row>
    <row r="21" spans="2:16">
      <c r="B21" s="13">
        <v>13</v>
      </c>
      <c r="C21" s="13"/>
      <c r="D21" s="13"/>
      <c r="E21" s="219">
        <f t="shared" si="2"/>
        <v>0</v>
      </c>
      <c r="F21" s="13"/>
      <c r="G21" s="13"/>
      <c r="H21" s="219"/>
      <c r="I21" s="13"/>
      <c r="J21" s="219"/>
      <c r="K21" s="13"/>
      <c r="L21" s="216">
        <f t="shared" si="1"/>
        <v>0</v>
      </c>
      <c r="M21" s="219">
        <f t="shared" si="0"/>
        <v>0</v>
      </c>
      <c r="N21" s="13">
        <f t="shared" si="5"/>
        <v>0</v>
      </c>
      <c r="O21" s="219">
        <f t="shared" si="4"/>
        <v>0</v>
      </c>
      <c r="P21" s="216"/>
    </row>
    <row r="22" spans="2:16">
      <c r="B22" s="13"/>
      <c r="C22" s="13"/>
      <c r="D22" s="13"/>
      <c r="E22" s="219"/>
      <c r="F22" s="13"/>
      <c r="G22" s="13"/>
      <c r="H22" s="219"/>
      <c r="I22" s="13"/>
      <c r="J22" s="219"/>
      <c r="K22" s="13"/>
      <c r="L22" s="216">
        <f t="shared" si="1"/>
        <v>0</v>
      </c>
      <c r="M22" s="218">
        <f t="shared" si="0"/>
        <v>0</v>
      </c>
      <c r="N22" s="216">
        <f t="shared" si="5"/>
        <v>0</v>
      </c>
      <c r="O22" s="218">
        <f t="shared" si="4"/>
        <v>0</v>
      </c>
      <c r="P22" s="216"/>
    </row>
    <row r="23" spans="2:16">
      <c r="B23" s="13">
        <v>15</v>
      </c>
      <c r="C23" s="13"/>
      <c r="D23" s="13"/>
      <c r="E23" s="219">
        <f t="shared" si="2"/>
        <v>0</v>
      </c>
      <c r="F23" s="13"/>
      <c r="G23" s="13"/>
      <c r="H23" s="219"/>
      <c r="I23" s="13">
        <v>0</v>
      </c>
      <c r="J23" s="219">
        <f t="shared" si="3"/>
        <v>0</v>
      </c>
      <c r="K23" s="13">
        <v>0</v>
      </c>
      <c r="L23" s="216">
        <f t="shared" si="1"/>
        <v>0</v>
      </c>
      <c r="M23" s="219">
        <f t="shared" si="0"/>
        <v>0</v>
      </c>
      <c r="N23" s="13">
        <f t="shared" si="5"/>
        <v>0</v>
      </c>
      <c r="O23" s="219">
        <f t="shared" si="4"/>
        <v>0</v>
      </c>
      <c r="P23" s="216"/>
    </row>
    <row r="24" spans="2:16">
      <c r="B24" s="216">
        <v>16</v>
      </c>
      <c r="C24" s="216"/>
      <c r="D24" s="216"/>
      <c r="E24" s="218">
        <f t="shared" si="2"/>
        <v>0</v>
      </c>
      <c r="F24" s="216"/>
      <c r="G24" s="216"/>
      <c r="H24" s="218"/>
      <c r="I24" s="216">
        <v>0</v>
      </c>
      <c r="J24" s="218">
        <f t="shared" si="3"/>
        <v>0</v>
      </c>
      <c r="K24" s="216"/>
      <c r="L24" s="216">
        <f t="shared" si="1"/>
        <v>0</v>
      </c>
      <c r="M24" s="218">
        <f t="shared" si="0"/>
        <v>0</v>
      </c>
      <c r="N24" s="216">
        <f t="shared" si="5"/>
        <v>0</v>
      </c>
      <c r="O24" s="218">
        <f t="shared" si="4"/>
        <v>0</v>
      </c>
      <c r="P24" s="216"/>
    </row>
    <row r="25" spans="2:16">
      <c r="B25" s="13">
        <v>17</v>
      </c>
      <c r="C25" s="13"/>
      <c r="D25" s="13"/>
      <c r="E25" s="219">
        <f t="shared" si="2"/>
        <v>0</v>
      </c>
      <c r="F25" s="13"/>
      <c r="G25" s="13"/>
      <c r="H25" s="219"/>
      <c r="I25" s="13">
        <v>0</v>
      </c>
      <c r="J25" s="219">
        <f t="shared" si="3"/>
        <v>0</v>
      </c>
      <c r="K25" s="13"/>
      <c r="L25" s="216">
        <f t="shared" si="1"/>
        <v>0</v>
      </c>
      <c r="M25" s="219">
        <f>K25*R$7/1000</f>
        <v>0</v>
      </c>
      <c r="N25" s="13">
        <f t="shared" si="5"/>
        <v>0</v>
      </c>
      <c r="O25" s="219">
        <f t="shared" si="4"/>
        <v>0</v>
      </c>
      <c r="P25" s="216"/>
    </row>
    <row r="26" spans="2:16">
      <c r="B26" s="13">
        <v>18</v>
      </c>
      <c r="C26" s="13"/>
      <c r="D26" s="13"/>
      <c r="E26" s="219">
        <f t="shared" si="2"/>
        <v>0</v>
      </c>
      <c r="F26" s="13"/>
      <c r="G26" s="13"/>
      <c r="H26" s="219"/>
      <c r="I26" s="13">
        <v>0</v>
      </c>
      <c r="J26" s="219">
        <f t="shared" si="3"/>
        <v>0</v>
      </c>
      <c r="K26" s="13">
        <v>0</v>
      </c>
      <c r="L26" s="216">
        <f t="shared" si="1"/>
        <v>0</v>
      </c>
      <c r="M26" s="219">
        <f t="shared" ref="M26:M39" si="6">K26*R$7/1000</f>
        <v>0</v>
      </c>
      <c r="N26" s="13">
        <f t="shared" si="5"/>
        <v>0</v>
      </c>
      <c r="O26" s="219">
        <f t="shared" si="4"/>
        <v>0</v>
      </c>
      <c r="P26" s="216"/>
    </row>
    <row r="27" spans="2:16">
      <c r="B27" s="13">
        <v>19</v>
      </c>
      <c r="C27" s="13"/>
      <c r="D27" s="13"/>
      <c r="E27" s="219"/>
      <c r="F27" s="13"/>
      <c r="G27" s="13"/>
      <c r="H27" s="219"/>
      <c r="I27" s="13"/>
      <c r="J27" s="219"/>
      <c r="K27" s="13"/>
      <c r="L27" s="216">
        <f t="shared" si="1"/>
        <v>0</v>
      </c>
      <c r="M27" s="218">
        <f t="shared" si="6"/>
        <v>0</v>
      </c>
      <c r="N27" s="216">
        <f t="shared" si="5"/>
        <v>0</v>
      </c>
      <c r="O27" s="218">
        <f t="shared" si="4"/>
        <v>0</v>
      </c>
      <c r="P27" s="216"/>
    </row>
    <row r="28" spans="2:16">
      <c r="B28" s="216">
        <v>20</v>
      </c>
      <c r="C28" s="216"/>
      <c r="D28" s="216"/>
      <c r="E28" s="218">
        <f t="shared" si="2"/>
        <v>0</v>
      </c>
      <c r="F28" s="216"/>
      <c r="G28" s="216"/>
      <c r="H28" s="218"/>
      <c r="I28" s="216">
        <v>0</v>
      </c>
      <c r="J28" s="218">
        <f t="shared" si="3"/>
        <v>0</v>
      </c>
      <c r="K28" s="216">
        <v>0</v>
      </c>
      <c r="L28" s="216">
        <f t="shared" si="1"/>
        <v>0</v>
      </c>
      <c r="M28" s="218">
        <f t="shared" si="6"/>
        <v>0</v>
      </c>
      <c r="N28" s="216">
        <f t="shared" si="5"/>
        <v>0</v>
      </c>
      <c r="O28" s="218">
        <f t="shared" si="4"/>
        <v>0</v>
      </c>
      <c r="P28" s="216"/>
    </row>
    <row r="29" spans="2:16">
      <c r="B29" s="216">
        <v>21</v>
      </c>
      <c r="C29" s="216"/>
      <c r="D29" s="216"/>
      <c r="E29" s="218">
        <f t="shared" si="2"/>
        <v>0</v>
      </c>
      <c r="F29" s="216"/>
      <c r="G29" s="216"/>
      <c r="H29" s="218"/>
      <c r="I29" s="216">
        <v>0</v>
      </c>
      <c r="J29" s="218">
        <f t="shared" si="3"/>
        <v>0</v>
      </c>
      <c r="K29" s="216">
        <v>0</v>
      </c>
      <c r="L29" s="216">
        <f t="shared" si="1"/>
        <v>0</v>
      </c>
      <c r="M29" s="218">
        <f t="shared" si="6"/>
        <v>0</v>
      </c>
      <c r="N29" s="216">
        <f t="shared" si="5"/>
        <v>0</v>
      </c>
      <c r="O29" s="218">
        <f t="shared" si="4"/>
        <v>0</v>
      </c>
      <c r="P29" s="216"/>
    </row>
    <row r="30" spans="2:16">
      <c r="B30" s="216">
        <v>22</v>
      </c>
      <c r="C30" s="216"/>
      <c r="D30" s="216"/>
      <c r="E30" s="218">
        <f t="shared" si="2"/>
        <v>0</v>
      </c>
      <c r="F30" s="216"/>
      <c r="G30" s="216"/>
      <c r="H30" s="218"/>
      <c r="I30" s="216">
        <v>0</v>
      </c>
      <c r="J30" s="218">
        <f t="shared" si="3"/>
        <v>0</v>
      </c>
      <c r="K30" s="216"/>
      <c r="L30" s="216">
        <f t="shared" si="1"/>
        <v>0</v>
      </c>
      <c r="M30" s="218">
        <f t="shared" si="6"/>
        <v>0</v>
      </c>
      <c r="N30" s="216">
        <f t="shared" si="5"/>
        <v>0</v>
      </c>
      <c r="O30" s="218">
        <f t="shared" si="4"/>
        <v>0</v>
      </c>
      <c r="P30" s="216"/>
    </row>
    <row r="31" spans="2:16">
      <c r="B31" s="216">
        <v>23</v>
      </c>
      <c r="C31" s="216"/>
      <c r="D31" s="216"/>
      <c r="E31" s="218">
        <f t="shared" si="2"/>
        <v>0</v>
      </c>
      <c r="F31" s="216"/>
      <c r="G31" s="216"/>
      <c r="H31" s="218"/>
      <c r="I31" s="216">
        <v>0</v>
      </c>
      <c r="J31" s="218">
        <f t="shared" si="3"/>
        <v>0</v>
      </c>
      <c r="K31" s="216">
        <v>0</v>
      </c>
      <c r="L31" s="216">
        <f t="shared" si="1"/>
        <v>0</v>
      </c>
      <c r="M31" s="218">
        <f t="shared" si="6"/>
        <v>0</v>
      </c>
      <c r="N31" s="216">
        <f t="shared" si="5"/>
        <v>0</v>
      </c>
      <c r="O31" s="218">
        <f t="shared" si="4"/>
        <v>0</v>
      </c>
      <c r="P31" s="216"/>
    </row>
    <row r="32" spans="2:16">
      <c r="B32" s="13"/>
      <c r="C32" s="13"/>
      <c r="D32" s="13"/>
      <c r="E32" s="219"/>
      <c r="F32" s="13"/>
      <c r="G32" s="13"/>
      <c r="H32" s="219"/>
      <c r="I32" s="13"/>
      <c r="J32" s="219"/>
      <c r="K32" s="13"/>
      <c r="L32" s="216">
        <f t="shared" si="1"/>
        <v>0</v>
      </c>
      <c r="M32" s="218">
        <f t="shared" si="6"/>
        <v>0</v>
      </c>
      <c r="N32" s="216">
        <f t="shared" si="5"/>
        <v>0</v>
      </c>
      <c r="O32" s="218">
        <f t="shared" si="4"/>
        <v>0</v>
      </c>
      <c r="P32" s="216"/>
    </row>
    <row r="33" spans="2:17">
      <c r="B33" s="216">
        <v>25</v>
      </c>
      <c r="C33" s="216"/>
      <c r="D33" s="216"/>
      <c r="E33" s="218">
        <f t="shared" si="2"/>
        <v>0</v>
      </c>
      <c r="F33" s="216"/>
      <c r="G33" s="216"/>
      <c r="H33" s="218"/>
      <c r="I33" s="216">
        <v>0</v>
      </c>
      <c r="J33" s="218">
        <f t="shared" si="3"/>
        <v>0</v>
      </c>
      <c r="K33" s="216"/>
      <c r="L33" s="216">
        <f t="shared" si="1"/>
        <v>0</v>
      </c>
      <c r="M33" s="218">
        <f t="shared" si="6"/>
        <v>0</v>
      </c>
      <c r="N33" s="216">
        <f t="shared" si="5"/>
        <v>0</v>
      </c>
      <c r="O33" s="218">
        <f t="shared" si="4"/>
        <v>0</v>
      </c>
      <c r="P33" s="216"/>
    </row>
    <row r="34" spans="2:17">
      <c r="B34" s="216">
        <v>26</v>
      </c>
      <c r="C34" s="216"/>
      <c r="D34" s="216"/>
      <c r="E34" s="218">
        <f t="shared" si="2"/>
        <v>0</v>
      </c>
      <c r="F34" s="216"/>
      <c r="G34" s="216"/>
      <c r="H34" s="218"/>
      <c r="I34" s="216">
        <v>0</v>
      </c>
      <c r="J34" s="218">
        <f t="shared" si="3"/>
        <v>0</v>
      </c>
      <c r="K34" s="216">
        <v>0</v>
      </c>
      <c r="L34" s="216">
        <f t="shared" si="1"/>
        <v>0</v>
      </c>
      <c r="M34" s="218">
        <f t="shared" si="6"/>
        <v>0</v>
      </c>
      <c r="N34" s="216">
        <f t="shared" si="5"/>
        <v>0</v>
      </c>
      <c r="O34" s="218">
        <f t="shared" si="4"/>
        <v>0</v>
      </c>
      <c r="P34" s="216"/>
    </row>
    <row r="35" spans="2:17">
      <c r="B35" s="216">
        <v>27</v>
      </c>
      <c r="C35" s="216"/>
      <c r="D35" s="216"/>
      <c r="E35" s="218">
        <f t="shared" si="2"/>
        <v>0</v>
      </c>
      <c r="F35" s="216"/>
      <c r="G35" s="216"/>
      <c r="H35" s="218"/>
      <c r="I35" s="216">
        <v>0</v>
      </c>
      <c r="J35" s="218">
        <f t="shared" si="3"/>
        <v>0</v>
      </c>
      <c r="K35" s="216">
        <v>0</v>
      </c>
      <c r="L35" s="216">
        <f t="shared" si="1"/>
        <v>0</v>
      </c>
      <c r="M35" s="218">
        <f t="shared" si="6"/>
        <v>0</v>
      </c>
      <c r="N35" s="216">
        <f t="shared" si="5"/>
        <v>0</v>
      </c>
      <c r="O35" s="218">
        <f t="shared" si="4"/>
        <v>0</v>
      </c>
      <c r="P35" s="216"/>
    </row>
    <row r="36" spans="2:17">
      <c r="B36" s="216">
        <v>28</v>
      </c>
      <c r="C36" s="216"/>
      <c r="D36" s="216"/>
      <c r="E36" s="218">
        <f t="shared" si="2"/>
        <v>0</v>
      </c>
      <c r="F36" s="216"/>
      <c r="G36" s="216"/>
      <c r="H36" s="218"/>
      <c r="I36" s="216">
        <v>0</v>
      </c>
      <c r="J36" s="218">
        <f t="shared" si="3"/>
        <v>0</v>
      </c>
      <c r="K36" s="216">
        <v>0</v>
      </c>
      <c r="L36" s="216">
        <f t="shared" si="1"/>
        <v>0</v>
      </c>
      <c r="M36" s="218">
        <f t="shared" si="6"/>
        <v>0</v>
      </c>
      <c r="N36" s="216">
        <f t="shared" si="5"/>
        <v>0</v>
      </c>
      <c r="O36" s="218">
        <f t="shared" si="4"/>
        <v>0</v>
      </c>
      <c r="P36" s="216"/>
    </row>
    <row r="37" spans="2:17">
      <c r="B37" s="216">
        <v>29</v>
      </c>
      <c r="C37" s="216"/>
      <c r="D37" s="216"/>
      <c r="E37" s="218">
        <f t="shared" si="2"/>
        <v>0</v>
      </c>
      <c r="F37" s="216"/>
      <c r="G37" s="216"/>
      <c r="H37" s="218"/>
      <c r="I37" s="216">
        <v>0</v>
      </c>
      <c r="J37" s="218">
        <f t="shared" si="3"/>
        <v>0</v>
      </c>
      <c r="K37" s="216">
        <v>0</v>
      </c>
      <c r="L37" s="216">
        <f t="shared" si="1"/>
        <v>0</v>
      </c>
      <c r="M37" s="218">
        <f t="shared" si="6"/>
        <v>0</v>
      </c>
      <c r="N37" s="216">
        <f t="shared" si="5"/>
        <v>0</v>
      </c>
      <c r="O37" s="218">
        <f t="shared" si="4"/>
        <v>0</v>
      </c>
      <c r="P37" s="216"/>
    </row>
    <row r="38" spans="2:17">
      <c r="B38" s="216">
        <v>30</v>
      </c>
      <c r="D38" s="216"/>
      <c r="E38" s="218">
        <f t="shared" si="2"/>
        <v>0</v>
      </c>
      <c r="F38" s="3"/>
      <c r="G38" s="3"/>
      <c r="H38" s="218"/>
      <c r="I38" s="216"/>
      <c r="J38" s="218">
        <f t="shared" si="3"/>
        <v>0</v>
      </c>
      <c r="K38" s="3"/>
      <c r="L38" s="216">
        <f t="shared" si="1"/>
        <v>0</v>
      </c>
      <c r="M38" s="218">
        <f t="shared" si="6"/>
        <v>0</v>
      </c>
      <c r="N38" s="216">
        <f t="shared" si="5"/>
        <v>0</v>
      </c>
      <c r="O38" s="218">
        <f t="shared" si="4"/>
        <v>0</v>
      </c>
      <c r="P38" s="3"/>
    </row>
    <row r="39" spans="2:17">
      <c r="B39" s="222">
        <v>31</v>
      </c>
      <c r="D39" s="216"/>
      <c r="E39" s="218">
        <f t="shared" si="2"/>
        <v>0</v>
      </c>
      <c r="F39" s="223"/>
      <c r="G39" s="223"/>
      <c r="H39" s="218"/>
      <c r="I39" s="216"/>
      <c r="J39" s="218">
        <f t="shared" si="3"/>
        <v>0</v>
      </c>
      <c r="K39" s="223"/>
      <c r="L39" s="216">
        <f t="shared" si="1"/>
        <v>0</v>
      </c>
      <c r="M39" s="218">
        <f t="shared" si="6"/>
        <v>0</v>
      </c>
      <c r="N39" s="216">
        <f t="shared" si="5"/>
        <v>0</v>
      </c>
      <c r="O39" s="218">
        <f t="shared" si="4"/>
        <v>0</v>
      </c>
      <c r="P39" s="223"/>
    </row>
    <row r="40" spans="2:17">
      <c r="B40" s="928" t="s">
        <v>10</v>
      </c>
      <c r="C40" s="929"/>
      <c r="D40" s="929"/>
      <c r="E40" s="930"/>
      <c r="F40" s="130">
        <f t="shared" ref="F40:M40" si="7">SUM(F9:F39)</f>
        <v>0</v>
      </c>
      <c r="G40" s="224">
        <f t="shared" si="7"/>
        <v>0</v>
      </c>
      <c r="H40" s="224">
        <f t="shared" si="7"/>
        <v>0</v>
      </c>
      <c r="I40" s="130"/>
      <c r="J40" s="130"/>
      <c r="K40" s="224">
        <f t="shared" si="7"/>
        <v>0</v>
      </c>
      <c r="L40" s="224">
        <f t="shared" si="7"/>
        <v>0</v>
      </c>
      <c r="M40" s="130">
        <f t="shared" si="7"/>
        <v>0</v>
      </c>
      <c r="N40" s="130"/>
      <c r="O40" s="130"/>
      <c r="P40" s="3"/>
    </row>
    <row r="42" spans="2:17">
      <c r="B42" s="931" t="s">
        <v>23</v>
      </c>
      <c r="C42" s="931"/>
      <c r="D42" s="931"/>
      <c r="E42" s="8">
        <f>G40*R7/1000</f>
        <v>0</v>
      </c>
      <c r="Q42">
        <v>6</v>
      </c>
    </row>
  </sheetData>
  <mergeCells count="18">
    <mergeCell ref="B2:P2"/>
    <mergeCell ref="R2:S2"/>
    <mergeCell ref="B3:P3"/>
    <mergeCell ref="R3:U3"/>
    <mergeCell ref="B4:P4"/>
    <mergeCell ref="R4:U4"/>
    <mergeCell ref="R7:U7"/>
    <mergeCell ref="R8:U8"/>
    <mergeCell ref="B40:E40"/>
    <mergeCell ref="B42:D42"/>
    <mergeCell ref="A5:P5"/>
    <mergeCell ref="R5:U5"/>
    <mergeCell ref="D6:F6"/>
    <mergeCell ref="G6:H6"/>
    <mergeCell ref="I6:J6"/>
    <mergeCell ref="K6:L6"/>
    <mergeCell ref="N6:O6"/>
    <mergeCell ref="R6:U6"/>
  </mergeCells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W42"/>
  <sheetViews>
    <sheetView topLeftCell="B1" zoomScale="80" zoomScaleNormal="80" workbookViewId="0">
      <pane ySplit="8" topLeftCell="A9" activePane="bottomLeft" state="frozen"/>
      <selection pane="bottomLeft" activeCell="L11" sqref="L11"/>
    </sheetView>
  </sheetViews>
  <sheetFormatPr defaultColWidth="9" defaultRowHeight="15"/>
  <cols>
    <col min="1" max="1" width="9" hidden="1" customWidth="1"/>
    <col min="3" max="3" width="9" hidden="1" customWidth="1"/>
    <col min="5" max="5" width="10.42578125" customWidth="1"/>
    <col min="6" max="6" width="9" hidden="1" customWidth="1"/>
    <col min="8" max="8" width="10.42578125" customWidth="1"/>
    <col min="10" max="10" width="10.42578125" customWidth="1"/>
    <col min="12" max="12" width="10.42578125" customWidth="1"/>
    <col min="13" max="13" width="12" customWidth="1"/>
    <col min="14" max="14" width="8.28515625" customWidth="1"/>
    <col min="15" max="16" width="10.42578125" customWidth="1"/>
    <col min="17" max="17" width="18.28515625" customWidth="1"/>
    <col min="18" max="18" width="8" customWidth="1"/>
    <col min="19" max="19" width="3" hidden="1" customWidth="1"/>
    <col min="20" max="20" width="6.140625" customWidth="1"/>
    <col min="21" max="21" width="6.28515625" customWidth="1"/>
    <col min="22" max="22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129"/>
      <c r="R2" s="1146"/>
      <c r="S2" s="1146"/>
      <c r="T2" s="129"/>
      <c r="U2" s="227"/>
      <c r="V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129" t="s">
        <v>3</v>
      </c>
      <c r="R3" s="931"/>
      <c r="S3" s="931"/>
      <c r="T3" s="931"/>
      <c r="U3" s="931"/>
      <c r="V3" s="170"/>
    </row>
    <row r="4" spans="1:23" ht="21">
      <c r="B4" s="939" t="s">
        <v>154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129" t="s">
        <v>5</v>
      </c>
      <c r="R4" s="931"/>
      <c r="S4" s="931"/>
      <c r="T4" s="931"/>
      <c r="U4" s="931"/>
      <c r="V4" s="170"/>
    </row>
    <row r="5" spans="1:23" ht="21">
      <c r="A5" s="932"/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129" t="s">
        <v>7</v>
      </c>
      <c r="R5" s="931"/>
      <c r="S5" s="931"/>
      <c r="T5" s="931"/>
      <c r="U5" s="931"/>
      <c r="V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215"/>
      <c r="N6" s="934" t="s">
        <v>13</v>
      </c>
      <c r="O6" s="934"/>
      <c r="P6" s="225" t="s">
        <v>14</v>
      </c>
      <c r="Q6" s="129" t="s">
        <v>15</v>
      </c>
      <c r="R6" s="931"/>
      <c r="S6" s="931"/>
      <c r="T6" s="931"/>
      <c r="U6" s="931"/>
      <c r="V6" s="170"/>
      <c r="W6" t="s">
        <v>67</v>
      </c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16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17</v>
      </c>
      <c r="M7" s="217"/>
      <c r="N7" s="217" t="s">
        <v>16</v>
      </c>
      <c r="O7" s="217" t="s">
        <v>17</v>
      </c>
      <c r="P7" s="226"/>
      <c r="Q7" s="129" t="s">
        <v>19</v>
      </c>
      <c r="R7" s="931"/>
      <c r="S7" s="931"/>
      <c r="T7" s="931"/>
      <c r="U7" s="931"/>
      <c r="V7" s="170"/>
    </row>
    <row r="8" spans="1:23">
      <c r="B8" s="216"/>
      <c r="C8" s="216"/>
      <c r="D8" s="217" t="s">
        <v>21</v>
      </c>
      <c r="E8" s="217" t="s">
        <v>22</v>
      </c>
      <c r="F8" s="217"/>
      <c r="G8" s="217" t="s">
        <v>21</v>
      </c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217" t="s">
        <v>23</v>
      </c>
      <c r="N8" s="217" t="s">
        <v>21</v>
      </c>
      <c r="O8" s="217" t="s">
        <v>22</v>
      </c>
      <c r="P8" s="226"/>
      <c r="Q8" s="129" t="s">
        <v>24</v>
      </c>
      <c r="R8" s="941">
        <f>R6+R7</f>
        <v>0</v>
      </c>
      <c r="S8" s="941"/>
      <c r="T8" s="941"/>
      <c r="U8" s="941"/>
      <c r="V8" s="170"/>
    </row>
    <row r="9" spans="1:23">
      <c r="B9" s="216">
        <v>1</v>
      </c>
      <c r="C9" s="216"/>
      <c r="D9" s="216"/>
      <c r="E9" s="216"/>
      <c r="F9" s="216"/>
      <c r="G9" s="216"/>
      <c r="H9" s="216"/>
      <c r="I9" s="216"/>
      <c r="J9" s="216"/>
      <c r="K9" s="216"/>
      <c r="L9" s="216">
        <f>+H9</f>
        <v>0</v>
      </c>
      <c r="M9" s="218">
        <f t="shared" ref="M9:M24" si="0">$R$7*L9/1000</f>
        <v>0</v>
      </c>
      <c r="N9" s="216"/>
      <c r="O9" s="216"/>
      <c r="P9" s="216"/>
      <c r="V9" s="170"/>
    </row>
    <row r="10" spans="1:23">
      <c r="B10" s="216">
        <v>2</v>
      </c>
      <c r="C10" s="216"/>
      <c r="D10" s="216"/>
      <c r="E10" s="216"/>
      <c r="F10" s="216"/>
      <c r="G10" s="216"/>
      <c r="H10" s="216"/>
      <c r="I10" s="216"/>
      <c r="J10" s="216"/>
      <c r="K10" s="216"/>
      <c r="L10" s="216">
        <f t="shared" ref="L10:L39" si="1">+H10</f>
        <v>0</v>
      </c>
      <c r="M10" s="218">
        <f t="shared" si="0"/>
        <v>0</v>
      </c>
      <c r="N10" s="216"/>
      <c r="O10" s="216"/>
      <c r="P10" s="216"/>
    </row>
    <row r="11" spans="1:23">
      <c r="B11" s="13">
        <v>3</v>
      </c>
      <c r="C11" s="13"/>
      <c r="D11" s="13"/>
      <c r="E11" s="13">
        <v>0</v>
      </c>
      <c r="F11" s="13"/>
      <c r="G11" s="13">
        <v>992</v>
      </c>
      <c r="H11" s="219">
        <v>0.43</v>
      </c>
      <c r="I11" s="13">
        <f>D11+G11</f>
        <v>992</v>
      </c>
      <c r="J11" s="13">
        <v>0</v>
      </c>
      <c r="K11" s="13">
        <v>0</v>
      </c>
      <c r="L11" s="218">
        <f t="shared" si="1"/>
        <v>0.43</v>
      </c>
      <c r="M11" s="219">
        <f t="shared" si="0"/>
        <v>0</v>
      </c>
      <c r="N11" s="13">
        <v>0</v>
      </c>
      <c r="O11" s="219">
        <f>N11*R$8/1000</f>
        <v>0</v>
      </c>
      <c r="P11" s="216"/>
    </row>
    <row r="12" spans="1:23">
      <c r="B12" s="216">
        <v>4</v>
      </c>
      <c r="C12" s="216"/>
      <c r="D12" s="216"/>
      <c r="E12" s="218">
        <f>D12*R$8/1000</f>
        <v>0</v>
      </c>
      <c r="F12" s="216"/>
      <c r="G12" s="216"/>
      <c r="H12" s="218"/>
      <c r="I12" s="216">
        <f>D12+G12</f>
        <v>0</v>
      </c>
      <c r="J12" s="218">
        <f>I12*T$8/1000</f>
        <v>0</v>
      </c>
      <c r="K12" s="216">
        <v>0</v>
      </c>
      <c r="L12" s="216">
        <f t="shared" si="1"/>
        <v>0</v>
      </c>
      <c r="M12" s="218">
        <f t="shared" si="0"/>
        <v>0</v>
      </c>
      <c r="N12" s="216">
        <f>D12+G12-K12</f>
        <v>0</v>
      </c>
      <c r="O12" s="218">
        <f>N12*R$8/1000</f>
        <v>0</v>
      </c>
      <c r="P12" s="216"/>
    </row>
    <row r="13" spans="1:23">
      <c r="B13" s="216">
        <v>5</v>
      </c>
      <c r="C13" s="216"/>
      <c r="D13" s="216"/>
      <c r="E13" s="218">
        <f t="shared" ref="E13:E39" si="2">D13*R$8/1000</f>
        <v>0</v>
      </c>
      <c r="F13" s="216"/>
      <c r="G13" s="216"/>
      <c r="H13" s="218"/>
      <c r="I13" s="216">
        <v>0</v>
      </c>
      <c r="J13" s="218">
        <f t="shared" ref="J13:J39" si="3">I13*T$8/1000</f>
        <v>0</v>
      </c>
      <c r="K13" s="216"/>
      <c r="L13" s="216">
        <f t="shared" si="1"/>
        <v>0</v>
      </c>
      <c r="M13" s="218">
        <f t="shared" si="0"/>
        <v>0</v>
      </c>
      <c r="N13" s="216">
        <f>D13+G13-K13</f>
        <v>0</v>
      </c>
      <c r="O13" s="218">
        <f t="shared" ref="O13:O39" si="4">N13*R$8/1000</f>
        <v>0</v>
      </c>
      <c r="P13" s="216"/>
    </row>
    <row r="14" spans="1:23">
      <c r="B14" s="13">
        <v>6</v>
      </c>
      <c r="C14" s="13"/>
      <c r="D14" s="13"/>
      <c r="E14" s="219">
        <f t="shared" si="2"/>
        <v>0</v>
      </c>
      <c r="F14" s="13"/>
      <c r="G14" s="13"/>
      <c r="H14" s="219"/>
      <c r="I14" s="13"/>
      <c r="J14" s="219"/>
      <c r="K14" s="13"/>
      <c r="L14" s="216">
        <f t="shared" si="1"/>
        <v>0</v>
      </c>
      <c r="M14" s="219">
        <f t="shared" si="0"/>
        <v>0</v>
      </c>
      <c r="N14" s="13">
        <f>D14+G14-K14</f>
        <v>0</v>
      </c>
      <c r="O14" s="219">
        <f t="shared" si="4"/>
        <v>0</v>
      </c>
      <c r="P14" s="216"/>
    </row>
    <row r="15" spans="1:23">
      <c r="B15" s="216">
        <v>7</v>
      </c>
      <c r="C15" s="216"/>
      <c r="D15" s="216"/>
      <c r="E15" s="218">
        <f t="shared" si="2"/>
        <v>0</v>
      </c>
      <c r="F15" s="216"/>
      <c r="G15" s="216"/>
      <c r="H15" s="218"/>
      <c r="I15" s="216"/>
      <c r="J15" s="218">
        <f t="shared" si="3"/>
        <v>0</v>
      </c>
      <c r="K15" s="216">
        <v>0</v>
      </c>
      <c r="L15" s="216">
        <f t="shared" si="1"/>
        <v>0</v>
      </c>
      <c r="M15" s="218">
        <f t="shared" si="0"/>
        <v>0</v>
      </c>
      <c r="N15" s="216">
        <f t="shared" ref="N15:N39" si="5">D15+G15-K15</f>
        <v>0</v>
      </c>
      <c r="O15" s="218">
        <f t="shared" si="4"/>
        <v>0</v>
      </c>
      <c r="P15" s="216"/>
    </row>
    <row r="16" spans="1:23">
      <c r="B16" s="216">
        <v>8</v>
      </c>
      <c r="C16" s="216"/>
      <c r="D16" s="216"/>
      <c r="E16" s="218">
        <f t="shared" si="2"/>
        <v>0</v>
      </c>
      <c r="F16" s="216"/>
      <c r="G16" s="216"/>
      <c r="H16" s="218"/>
      <c r="I16" s="216"/>
      <c r="J16" s="218">
        <f t="shared" si="3"/>
        <v>0</v>
      </c>
      <c r="K16" s="216">
        <v>0</v>
      </c>
      <c r="L16" s="216">
        <f t="shared" si="1"/>
        <v>0</v>
      </c>
      <c r="M16" s="218">
        <f t="shared" si="0"/>
        <v>0</v>
      </c>
      <c r="N16" s="216">
        <f t="shared" si="5"/>
        <v>0</v>
      </c>
      <c r="O16" s="218">
        <f t="shared" si="4"/>
        <v>0</v>
      </c>
      <c r="P16" s="216"/>
    </row>
    <row r="17" spans="2:16">
      <c r="B17" s="216">
        <v>9</v>
      </c>
      <c r="C17" s="216"/>
      <c r="D17" s="216"/>
      <c r="E17" s="218">
        <f t="shared" si="2"/>
        <v>0</v>
      </c>
      <c r="F17" s="216"/>
      <c r="G17" s="216"/>
      <c r="H17" s="218"/>
      <c r="I17" s="216"/>
      <c r="J17" s="218">
        <f t="shared" si="3"/>
        <v>0</v>
      </c>
      <c r="K17" s="216">
        <v>0</v>
      </c>
      <c r="L17" s="216">
        <f t="shared" si="1"/>
        <v>0</v>
      </c>
      <c r="M17" s="218">
        <f t="shared" si="0"/>
        <v>0</v>
      </c>
      <c r="N17" s="216">
        <f t="shared" si="5"/>
        <v>0</v>
      </c>
      <c r="O17" s="218">
        <f t="shared" si="4"/>
        <v>0</v>
      </c>
      <c r="P17" s="216"/>
    </row>
    <row r="18" spans="2:16">
      <c r="B18" s="13">
        <v>10</v>
      </c>
      <c r="C18" s="13"/>
      <c r="D18" s="13"/>
      <c r="E18" s="219">
        <f t="shared" si="2"/>
        <v>0</v>
      </c>
      <c r="F18" s="13"/>
      <c r="G18" s="13"/>
      <c r="H18" s="219"/>
      <c r="I18" s="13">
        <v>0</v>
      </c>
      <c r="J18" s="219">
        <f t="shared" si="3"/>
        <v>0</v>
      </c>
      <c r="K18" s="13"/>
      <c r="L18" s="216">
        <f t="shared" si="1"/>
        <v>0</v>
      </c>
      <c r="M18" s="219">
        <f t="shared" si="0"/>
        <v>0</v>
      </c>
      <c r="N18" s="13">
        <f t="shared" si="5"/>
        <v>0</v>
      </c>
      <c r="O18" s="219">
        <f t="shared" si="4"/>
        <v>0</v>
      </c>
      <c r="P18" s="216"/>
    </row>
    <row r="19" spans="2:16">
      <c r="B19" s="13"/>
      <c r="C19" s="13"/>
      <c r="D19" s="13"/>
      <c r="E19" s="219"/>
      <c r="F19" s="13"/>
      <c r="G19" s="13"/>
      <c r="H19" s="219"/>
      <c r="I19" s="13"/>
      <c r="J19" s="219"/>
      <c r="K19" s="13"/>
      <c r="L19" s="216">
        <f t="shared" si="1"/>
        <v>0</v>
      </c>
      <c r="M19" s="218">
        <f t="shared" si="0"/>
        <v>0</v>
      </c>
      <c r="N19" s="216">
        <f t="shared" si="5"/>
        <v>0</v>
      </c>
      <c r="O19" s="218">
        <f t="shared" si="4"/>
        <v>0</v>
      </c>
      <c r="P19" s="216"/>
    </row>
    <row r="20" spans="2:16">
      <c r="B20" s="216">
        <v>12</v>
      </c>
      <c r="C20" s="216"/>
      <c r="D20" s="216"/>
      <c r="E20" s="218">
        <f t="shared" si="2"/>
        <v>0</v>
      </c>
      <c r="F20" s="216"/>
      <c r="G20" s="216"/>
      <c r="H20" s="218"/>
      <c r="I20" s="216">
        <v>0</v>
      </c>
      <c r="J20" s="218">
        <f t="shared" si="3"/>
        <v>0</v>
      </c>
      <c r="K20" s="216">
        <v>0</v>
      </c>
      <c r="L20" s="216">
        <f t="shared" si="1"/>
        <v>0</v>
      </c>
      <c r="M20" s="218">
        <f t="shared" si="0"/>
        <v>0</v>
      </c>
      <c r="N20" s="216">
        <f t="shared" si="5"/>
        <v>0</v>
      </c>
      <c r="O20" s="218">
        <f t="shared" si="4"/>
        <v>0</v>
      </c>
      <c r="P20" s="216"/>
    </row>
    <row r="21" spans="2:16">
      <c r="B21" s="13">
        <v>13</v>
      </c>
      <c r="C21" s="13"/>
      <c r="D21" s="13"/>
      <c r="E21" s="219">
        <f t="shared" si="2"/>
        <v>0</v>
      </c>
      <c r="F21" s="13"/>
      <c r="G21" s="13"/>
      <c r="H21" s="219"/>
      <c r="I21" s="13"/>
      <c r="J21" s="219"/>
      <c r="K21" s="13"/>
      <c r="L21" s="216">
        <f t="shared" si="1"/>
        <v>0</v>
      </c>
      <c r="M21" s="219">
        <f t="shared" si="0"/>
        <v>0</v>
      </c>
      <c r="N21" s="13">
        <f t="shared" si="5"/>
        <v>0</v>
      </c>
      <c r="O21" s="219">
        <f t="shared" si="4"/>
        <v>0</v>
      </c>
      <c r="P21" s="216"/>
    </row>
    <row r="22" spans="2:16">
      <c r="B22" s="13"/>
      <c r="C22" s="13"/>
      <c r="D22" s="13"/>
      <c r="E22" s="219"/>
      <c r="F22" s="13"/>
      <c r="G22" s="13"/>
      <c r="H22" s="219"/>
      <c r="I22" s="13"/>
      <c r="J22" s="219"/>
      <c r="K22" s="13"/>
      <c r="L22" s="216">
        <f t="shared" si="1"/>
        <v>0</v>
      </c>
      <c r="M22" s="218">
        <f t="shared" si="0"/>
        <v>0</v>
      </c>
      <c r="N22" s="216">
        <f t="shared" si="5"/>
        <v>0</v>
      </c>
      <c r="O22" s="218">
        <f t="shared" si="4"/>
        <v>0</v>
      </c>
      <c r="P22" s="216"/>
    </row>
    <row r="23" spans="2:16">
      <c r="B23" s="216">
        <v>15</v>
      </c>
      <c r="C23" s="216"/>
      <c r="D23" s="216"/>
      <c r="E23" s="218">
        <f t="shared" si="2"/>
        <v>0</v>
      </c>
      <c r="F23" s="216"/>
      <c r="G23" s="216"/>
      <c r="H23" s="218"/>
      <c r="I23" s="216">
        <v>0</v>
      </c>
      <c r="J23" s="218">
        <f t="shared" si="3"/>
        <v>0</v>
      </c>
      <c r="K23" s="216">
        <v>0</v>
      </c>
      <c r="L23" s="216">
        <f t="shared" si="1"/>
        <v>0</v>
      </c>
      <c r="M23" s="218">
        <f t="shared" si="0"/>
        <v>0</v>
      </c>
      <c r="N23" s="216">
        <f t="shared" si="5"/>
        <v>0</v>
      </c>
      <c r="O23" s="218">
        <f t="shared" si="4"/>
        <v>0</v>
      </c>
      <c r="P23" s="216"/>
    </row>
    <row r="24" spans="2:16">
      <c r="B24" s="216">
        <v>16</v>
      </c>
      <c r="C24" s="216"/>
      <c r="D24" s="216"/>
      <c r="E24" s="218">
        <f t="shared" si="2"/>
        <v>0</v>
      </c>
      <c r="F24" s="216"/>
      <c r="G24" s="216"/>
      <c r="H24" s="218"/>
      <c r="I24" s="216">
        <v>0</v>
      </c>
      <c r="J24" s="218">
        <f t="shared" si="3"/>
        <v>0</v>
      </c>
      <c r="K24" s="216"/>
      <c r="L24" s="216">
        <f t="shared" si="1"/>
        <v>0</v>
      </c>
      <c r="M24" s="218">
        <f t="shared" si="0"/>
        <v>0</v>
      </c>
      <c r="N24" s="216">
        <f t="shared" si="5"/>
        <v>0</v>
      </c>
      <c r="O24" s="218">
        <f t="shared" si="4"/>
        <v>0</v>
      </c>
      <c r="P24" s="216"/>
    </row>
    <row r="25" spans="2:16">
      <c r="B25" s="13">
        <v>17</v>
      </c>
      <c r="C25" s="13"/>
      <c r="D25" s="13"/>
      <c r="E25" s="219">
        <f t="shared" si="2"/>
        <v>0</v>
      </c>
      <c r="F25" s="13"/>
      <c r="G25" s="13"/>
      <c r="H25" s="219"/>
      <c r="I25" s="13">
        <v>0</v>
      </c>
      <c r="J25" s="219">
        <f t="shared" si="3"/>
        <v>0</v>
      </c>
      <c r="K25" s="13"/>
      <c r="L25" s="216">
        <f t="shared" si="1"/>
        <v>0</v>
      </c>
      <c r="M25" s="219">
        <f>K25*R$7/1000</f>
        <v>0</v>
      </c>
      <c r="N25" s="13">
        <f t="shared" si="5"/>
        <v>0</v>
      </c>
      <c r="O25" s="219">
        <f t="shared" si="4"/>
        <v>0</v>
      </c>
      <c r="P25" s="216"/>
    </row>
    <row r="26" spans="2:16">
      <c r="B26" s="216">
        <v>18</v>
      </c>
      <c r="C26" s="216"/>
      <c r="D26" s="216"/>
      <c r="E26" s="218">
        <f t="shared" si="2"/>
        <v>0</v>
      </c>
      <c r="F26" s="216"/>
      <c r="G26" s="216"/>
      <c r="H26" s="218"/>
      <c r="I26" s="216">
        <v>0</v>
      </c>
      <c r="J26" s="218">
        <f t="shared" si="3"/>
        <v>0</v>
      </c>
      <c r="K26" s="216">
        <v>0</v>
      </c>
      <c r="L26" s="216">
        <f t="shared" si="1"/>
        <v>0</v>
      </c>
      <c r="M26" s="218">
        <f t="shared" ref="M26:M39" si="6">K26*R$7/1000</f>
        <v>0</v>
      </c>
      <c r="N26" s="216">
        <f t="shared" si="5"/>
        <v>0</v>
      </c>
      <c r="O26" s="218">
        <f t="shared" si="4"/>
        <v>0</v>
      </c>
      <c r="P26" s="216"/>
    </row>
    <row r="27" spans="2:16">
      <c r="B27" s="13"/>
      <c r="C27" s="13"/>
      <c r="D27" s="13"/>
      <c r="E27" s="219"/>
      <c r="F27" s="13"/>
      <c r="G27" s="13"/>
      <c r="H27" s="219"/>
      <c r="I27" s="13"/>
      <c r="J27" s="219"/>
      <c r="K27" s="13"/>
      <c r="L27" s="216">
        <f t="shared" si="1"/>
        <v>0</v>
      </c>
      <c r="M27" s="218">
        <f t="shared" si="6"/>
        <v>0</v>
      </c>
      <c r="N27" s="216">
        <f t="shared" si="5"/>
        <v>0</v>
      </c>
      <c r="O27" s="218">
        <f t="shared" si="4"/>
        <v>0</v>
      </c>
      <c r="P27" s="216"/>
    </row>
    <row r="28" spans="2:16">
      <c r="B28" s="216">
        <v>20</v>
      </c>
      <c r="C28" s="216"/>
      <c r="D28" s="216"/>
      <c r="E28" s="218">
        <f t="shared" si="2"/>
        <v>0</v>
      </c>
      <c r="F28" s="216"/>
      <c r="G28" s="216"/>
      <c r="H28" s="218"/>
      <c r="I28" s="216">
        <v>0</v>
      </c>
      <c r="J28" s="218">
        <f t="shared" si="3"/>
        <v>0</v>
      </c>
      <c r="K28" s="216">
        <v>0</v>
      </c>
      <c r="L28" s="216">
        <f t="shared" si="1"/>
        <v>0</v>
      </c>
      <c r="M28" s="218">
        <f t="shared" si="6"/>
        <v>0</v>
      </c>
      <c r="N28" s="216">
        <f t="shared" si="5"/>
        <v>0</v>
      </c>
      <c r="O28" s="218">
        <f t="shared" si="4"/>
        <v>0</v>
      </c>
      <c r="P28" s="216"/>
    </row>
    <row r="29" spans="2:16">
      <c r="B29" s="216">
        <v>21</v>
      </c>
      <c r="C29" s="216"/>
      <c r="D29" s="216"/>
      <c r="E29" s="218">
        <f t="shared" si="2"/>
        <v>0</v>
      </c>
      <c r="F29" s="216"/>
      <c r="G29" s="216"/>
      <c r="H29" s="218"/>
      <c r="I29" s="216">
        <v>0</v>
      </c>
      <c r="J29" s="218">
        <f t="shared" si="3"/>
        <v>0</v>
      </c>
      <c r="K29" s="216">
        <v>0</v>
      </c>
      <c r="L29" s="216">
        <f t="shared" si="1"/>
        <v>0</v>
      </c>
      <c r="M29" s="218">
        <f t="shared" si="6"/>
        <v>0</v>
      </c>
      <c r="N29" s="216">
        <f t="shared" si="5"/>
        <v>0</v>
      </c>
      <c r="O29" s="218">
        <f t="shared" si="4"/>
        <v>0</v>
      </c>
      <c r="P29" s="216"/>
    </row>
    <row r="30" spans="2:16">
      <c r="B30" s="13">
        <v>22</v>
      </c>
      <c r="C30" s="13"/>
      <c r="D30" s="13"/>
      <c r="E30" s="219">
        <f t="shared" si="2"/>
        <v>0</v>
      </c>
      <c r="F30" s="13"/>
      <c r="G30" s="13"/>
      <c r="H30" s="219"/>
      <c r="I30" s="13">
        <v>0</v>
      </c>
      <c r="J30" s="219">
        <f t="shared" si="3"/>
        <v>0</v>
      </c>
      <c r="K30" s="13"/>
      <c r="L30" s="216">
        <f t="shared" si="1"/>
        <v>0</v>
      </c>
      <c r="M30" s="219">
        <f t="shared" si="6"/>
        <v>0</v>
      </c>
      <c r="N30" s="13">
        <f t="shared" si="5"/>
        <v>0</v>
      </c>
      <c r="O30" s="219">
        <f t="shared" si="4"/>
        <v>0</v>
      </c>
      <c r="P30" s="216"/>
    </row>
    <row r="31" spans="2:16">
      <c r="B31" s="216">
        <v>23</v>
      </c>
      <c r="C31" s="216"/>
      <c r="D31" s="216"/>
      <c r="E31" s="218">
        <f t="shared" si="2"/>
        <v>0</v>
      </c>
      <c r="F31" s="216"/>
      <c r="G31" s="216"/>
      <c r="H31" s="218"/>
      <c r="I31" s="216">
        <v>0</v>
      </c>
      <c r="J31" s="218">
        <f t="shared" si="3"/>
        <v>0</v>
      </c>
      <c r="K31" s="216">
        <v>0</v>
      </c>
      <c r="L31" s="216">
        <f t="shared" si="1"/>
        <v>0</v>
      </c>
      <c r="M31" s="218">
        <f t="shared" si="6"/>
        <v>0</v>
      </c>
      <c r="N31" s="216">
        <f t="shared" si="5"/>
        <v>0</v>
      </c>
      <c r="O31" s="218">
        <f t="shared" si="4"/>
        <v>0</v>
      </c>
      <c r="P31" s="216"/>
    </row>
    <row r="32" spans="2:16">
      <c r="B32" s="13">
        <v>24</v>
      </c>
      <c r="C32" s="13"/>
      <c r="D32" s="13"/>
      <c r="E32" s="219"/>
      <c r="F32" s="13"/>
      <c r="G32" s="13"/>
      <c r="H32" s="219"/>
      <c r="I32" s="13"/>
      <c r="J32" s="219"/>
      <c r="K32" s="13"/>
      <c r="L32" s="216">
        <f t="shared" si="1"/>
        <v>0</v>
      </c>
      <c r="M32" s="218">
        <f t="shared" si="6"/>
        <v>0</v>
      </c>
      <c r="N32" s="216">
        <f t="shared" si="5"/>
        <v>0</v>
      </c>
      <c r="O32" s="218">
        <f t="shared" si="4"/>
        <v>0</v>
      </c>
      <c r="P32" s="216"/>
    </row>
    <row r="33" spans="2:17">
      <c r="B33" s="13">
        <v>25</v>
      </c>
      <c r="C33" s="13"/>
      <c r="D33" s="13"/>
      <c r="E33" s="219">
        <f t="shared" si="2"/>
        <v>0</v>
      </c>
      <c r="F33" s="13"/>
      <c r="G33" s="13"/>
      <c r="H33" s="219"/>
      <c r="I33" s="13">
        <v>0</v>
      </c>
      <c r="J33" s="219">
        <f t="shared" si="3"/>
        <v>0</v>
      </c>
      <c r="K33" s="13"/>
      <c r="L33" s="216">
        <f t="shared" si="1"/>
        <v>0</v>
      </c>
      <c r="M33" s="219">
        <f t="shared" si="6"/>
        <v>0</v>
      </c>
      <c r="N33" s="13">
        <f t="shared" si="5"/>
        <v>0</v>
      </c>
      <c r="O33" s="219">
        <f t="shared" si="4"/>
        <v>0</v>
      </c>
      <c r="P33" s="216"/>
    </row>
    <row r="34" spans="2:17">
      <c r="B34" s="216">
        <v>26</v>
      </c>
      <c r="C34" s="216"/>
      <c r="D34" s="216"/>
      <c r="E34" s="218">
        <f t="shared" si="2"/>
        <v>0</v>
      </c>
      <c r="F34" s="216"/>
      <c r="G34" s="216"/>
      <c r="H34" s="218"/>
      <c r="I34" s="216">
        <v>0</v>
      </c>
      <c r="J34" s="218">
        <f t="shared" si="3"/>
        <v>0</v>
      </c>
      <c r="K34" s="216">
        <v>0</v>
      </c>
      <c r="L34" s="216">
        <f t="shared" si="1"/>
        <v>0</v>
      </c>
      <c r="M34" s="218">
        <f t="shared" si="6"/>
        <v>0</v>
      </c>
      <c r="N34" s="216">
        <f t="shared" si="5"/>
        <v>0</v>
      </c>
      <c r="O34" s="218">
        <f t="shared" si="4"/>
        <v>0</v>
      </c>
      <c r="P34" s="216"/>
    </row>
    <row r="35" spans="2:17">
      <c r="B35" s="217">
        <v>27</v>
      </c>
      <c r="C35" s="217"/>
      <c r="D35" s="1147" t="s">
        <v>406</v>
      </c>
      <c r="E35" s="1148"/>
      <c r="F35" s="217"/>
      <c r="G35" s="217"/>
      <c r="H35" s="221"/>
      <c r="I35" s="217">
        <v>0</v>
      </c>
      <c r="J35" s="221">
        <f t="shared" si="3"/>
        <v>0</v>
      </c>
      <c r="K35" s="217">
        <v>0</v>
      </c>
      <c r="L35" s="216">
        <f t="shared" si="1"/>
        <v>0</v>
      </c>
      <c r="M35" s="221">
        <f t="shared" si="6"/>
        <v>0</v>
      </c>
      <c r="N35" s="217">
        <v>0</v>
      </c>
      <c r="O35" s="221">
        <f t="shared" si="4"/>
        <v>0</v>
      </c>
      <c r="P35" s="216"/>
    </row>
    <row r="36" spans="2:17">
      <c r="B36" s="216">
        <v>28</v>
      </c>
      <c r="C36" s="216"/>
      <c r="D36" s="216"/>
      <c r="E36" s="218">
        <f t="shared" si="2"/>
        <v>0</v>
      </c>
      <c r="F36" s="216"/>
      <c r="G36" s="216"/>
      <c r="H36" s="218"/>
      <c r="I36" s="216">
        <v>0</v>
      </c>
      <c r="J36" s="218">
        <f t="shared" si="3"/>
        <v>0</v>
      </c>
      <c r="K36" s="216">
        <v>0</v>
      </c>
      <c r="L36" s="216">
        <f t="shared" si="1"/>
        <v>0</v>
      </c>
      <c r="M36" s="218">
        <f t="shared" si="6"/>
        <v>0</v>
      </c>
      <c r="N36" s="216">
        <f t="shared" si="5"/>
        <v>0</v>
      </c>
      <c r="O36" s="218">
        <f t="shared" si="4"/>
        <v>0</v>
      </c>
      <c r="P36" s="216"/>
    </row>
    <row r="37" spans="2:17">
      <c r="B37" s="216">
        <v>29</v>
      </c>
      <c r="C37" s="216"/>
      <c r="D37" s="216"/>
      <c r="E37" s="218">
        <f t="shared" si="2"/>
        <v>0</v>
      </c>
      <c r="F37" s="216"/>
      <c r="G37" s="216"/>
      <c r="H37" s="218"/>
      <c r="I37" s="216">
        <v>0</v>
      </c>
      <c r="J37" s="218">
        <f t="shared" si="3"/>
        <v>0</v>
      </c>
      <c r="K37" s="216">
        <v>0</v>
      </c>
      <c r="L37" s="216">
        <f t="shared" si="1"/>
        <v>0</v>
      </c>
      <c r="M37" s="218">
        <f t="shared" si="6"/>
        <v>0</v>
      </c>
      <c r="N37" s="216">
        <f t="shared" si="5"/>
        <v>0</v>
      </c>
      <c r="O37" s="218">
        <f t="shared" si="4"/>
        <v>0</v>
      </c>
      <c r="P37" s="216"/>
    </row>
    <row r="38" spans="2:17">
      <c r="B38" s="216">
        <v>30</v>
      </c>
      <c r="D38" s="216"/>
      <c r="E38" s="218">
        <f t="shared" si="2"/>
        <v>0</v>
      </c>
      <c r="F38" s="3"/>
      <c r="G38" s="3"/>
      <c r="H38" s="218"/>
      <c r="I38" s="216"/>
      <c r="J38" s="218">
        <f t="shared" si="3"/>
        <v>0</v>
      </c>
      <c r="K38" s="3"/>
      <c r="L38" s="216">
        <f t="shared" si="1"/>
        <v>0</v>
      </c>
      <c r="M38" s="218">
        <f t="shared" si="6"/>
        <v>0</v>
      </c>
      <c r="N38" s="216">
        <f t="shared" si="5"/>
        <v>0</v>
      </c>
      <c r="O38" s="218">
        <f t="shared" si="4"/>
        <v>0</v>
      </c>
      <c r="P38" s="3"/>
    </row>
    <row r="39" spans="2:17">
      <c r="B39" s="222">
        <v>31</v>
      </c>
      <c r="D39" s="216"/>
      <c r="E39" s="218">
        <f t="shared" si="2"/>
        <v>0</v>
      </c>
      <c r="F39" s="223"/>
      <c r="G39" s="223"/>
      <c r="H39" s="218"/>
      <c r="I39" s="216"/>
      <c r="J39" s="218">
        <f t="shared" si="3"/>
        <v>0</v>
      </c>
      <c r="K39" s="223"/>
      <c r="L39" s="216">
        <f t="shared" si="1"/>
        <v>0</v>
      </c>
      <c r="M39" s="218">
        <f t="shared" si="6"/>
        <v>0</v>
      </c>
      <c r="N39" s="216">
        <f t="shared" si="5"/>
        <v>0</v>
      </c>
      <c r="O39" s="218">
        <f t="shared" si="4"/>
        <v>0</v>
      </c>
      <c r="P39" s="223"/>
    </row>
    <row r="40" spans="2:17">
      <c r="B40" s="928" t="s">
        <v>10</v>
      </c>
      <c r="C40" s="929"/>
      <c r="D40" s="929"/>
      <c r="E40" s="930"/>
      <c r="F40" s="130">
        <f t="shared" ref="F40:M40" si="7">SUM(F9:F39)</f>
        <v>0</v>
      </c>
      <c r="G40" s="224">
        <f t="shared" si="7"/>
        <v>992</v>
      </c>
      <c r="H40" s="224">
        <f t="shared" si="7"/>
        <v>0.43</v>
      </c>
      <c r="I40" s="130"/>
      <c r="J40" s="130"/>
      <c r="K40" s="224">
        <f t="shared" si="7"/>
        <v>0</v>
      </c>
      <c r="L40" s="224">
        <f t="shared" si="7"/>
        <v>0.43</v>
      </c>
      <c r="M40" s="130">
        <f t="shared" si="7"/>
        <v>0</v>
      </c>
      <c r="N40" s="130"/>
      <c r="O40" s="130"/>
      <c r="P40" s="3"/>
    </row>
    <row r="42" spans="2:17">
      <c r="B42" s="931" t="s">
        <v>23</v>
      </c>
      <c r="C42" s="931"/>
      <c r="D42" s="931"/>
      <c r="E42" s="8">
        <f>G40*R7/1000</f>
        <v>0</v>
      </c>
      <c r="Q42">
        <v>6</v>
      </c>
    </row>
  </sheetData>
  <mergeCells count="19">
    <mergeCell ref="B2:P2"/>
    <mergeCell ref="R2:S2"/>
    <mergeCell ref="B3:P3"/>
    <mergeCell ref="R3:U3"/>
    <mergeCell ref="B4:P4"/>
    <mergeCell ref="R4:U4"/>
    <mergeCell ref="A5:P5"/>
    <mergeCell ref="R5:U5"/>
    <mergeCell ref="D6:F6"/>
    <mergeCell ref="G6:H6"/>
    <mergeCell ref="I6:J6"/>
    <mergeCell ref="K6:L6"/>
    <mergeCell ref="N6:O6"/>
    <mergeCell ref="R6:U6"/>
    <mergeCell ref="R7:U7"/>
    <mergeCell ref="R8:U8"/>
    <mergeCell ref="D35:E35"/>
    <mergeCell ref="B40:E40"/>
    <mergeCell ref="B42:D42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W42"/>
  <sheetViews>
    <sheetView topLeftCell="B1" zoomScale="80" zoomScaleNormal="80" workbookViewId="0">
      <pane ySplit="8" topLeftCell="A27" activePane="bottomLeft" state="frozen"/>
      <selection pane="bottomLeft" activeCell="T35" sqref="T35"/>
    </sheetView>
  </sheetViews>
  <sheetFormatPr defaultColWidth="9" defaultRowHeight="15"/>
  <cols>
    <col min="1" max="1" width="9" hidden="1" customWidth="1"/>
    <col min="3" max="3" width="9" hidden="1" customWidth="1"/>
    <col min="5" max="5" width="10.42578125" customWidth="1"/>
    <col min="6" max="6" width="9" hidden="1" customWidth="1"/>
    <col min="8" max="8" width="10.42578125" customWidth="1"/>
    <col min="10" max="10" width="10.42578125" customWidth="1"/>
    <col min="12" max="12" width="10.42578125" customWidth="1"/>
    <col min="13" max="13" width="12" customWidth="1"/>
    <col min="14" max="14" width="8.28515625" customWidth="1"/>
    <col min="15" max="16" width="10.42578125" customWidth="1"/>
    <col min="17" max="17" width="18.28515625" customWidth="1"/>
    <col min="18" max="18" width="8" customWidth="1"/>
    <col min="19" max="19" width="3" hidden="1" customWidth="1"/>
    <col min="20" max="20" width="6.140625" customWidth="1"/>
    <col min="21" max="21" width="6.28515625" customWidth="1"/>
    <col min="22" max="22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129"/>
      <c r="R2" s="1146"/>
      <c r="S2" s="1146"/>
      <c r="T2" s="129"/>
      <c r="U2" s="227"/>
      <c r="V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129" t="s">
        <v>3</v>
      </c>
      <c r="R3" s="931"/>
      <c r="S3" s="931"/>
      <c r="T3" s="931"/>
      <c r="U3" s="931"/>
      <c r="V3" s="170"/>
    </row>
    <row r="4" spans="1:23" ht="21">
      <c r="B4" s="939" t="s">
        <v>154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129" t="s">
        <v>5</v>
      </c>
      <c r="R4" s="931"/>
      <c r="S4" s="931"/>
      <c r="T4" s="931"/>
      <c r="U4" s="931"/>
      <c r="V4" s="170"/>
    </row>
    <row r="5" spans="1:23" ht="21">
      <c r="A5" s="932"/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129" t="s">
        <v>7</v>
      </c>
      <c r="R5" s="931"/>
      <c r="S5" s="931"/>
      <c r="T5" s="931"/>
      <c r="U5" s="931"/>
      <c r="V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215"/>
      <c r="N6" s="934" t="s">
        <v>13</v>
      </c>
      <c r="O6" s="934"/>
      <c r="P6" s="225" t="s">
        <v>14</v>
      </c>
      <c r="Q6" s="129" t="s">
        <v>15</v>
      </c>
      <c r="R6" s="931"/>
      <c r="S6" s="931"/>
      <c r="T6" s="931"/>
      <c r="U6" s="931"/>
      <c r="V6" s="170"/>
      <c r="W6" t="s">
        <v>67</v>
      </c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16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17</v>
      </c>
      <c r="M7" s="217"/>
      <c r="N7" s="217" t="s">
        <v>16</v>
      </c>
      <c r="O7" s="217" t="s">
        <v>17</v>
      </c>
      <c r="P7" s="226"/>
      <c r="Q7" s="129" t="s">
        <v>19</v>
      </c>
      <c r="R7" s="931"/>
      <c r="S7" s="931"/>
      <c r="T7" s="931"/>
      <c r="U7" s="931"/>
      <c r="V7" s="170"/>
    </row>
    <row r="8" spans="1:23">
      <c r="B8" s="216"/>
      <c r="C8" s="216"/>
      <c r="D8" s="217" t="s">
        <v>21</v>
      </c>
      <c r="E8" s="217" t="s">
        <v>22</v>
      </c>
      <c r="F8" s="217"/>
      <c r="G8" s="217" t="s">
        <v>21</v>
      </c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217" t="s">
        <v>23</v>
      </c>
      <c r="N8" s="217" t="s">
        <v>21</v>
      </c>
      <c r="O8" s="217" t="s">
        <v>22</v>
      </c>
      <c r="P8" s="226"/>
      <c r="Q8" s="129" t="s">
        <v>24</v>
      </c>
      <c r="R8" s="941">
        <f>R6+R7</f>
        <v>0</v>
      </c>
      <c r="S8" s="941"/>
      <c r="T8" s="941"/>
      <c r="U8" s="941"/>
      <c r="V8" s="170"/>
    </row>
    <row r="9" spans="1:23">
      <c r="B9" s="216">
        <v>1</v>
      </c>
      <c r="C9" s="216"/>
      <c r="D9" s="216"/>
      <c r="E9" s="216"/>
      <c r="F9" s="216"/>
      <c r="G9" s="216"/>
      <c r="H9" s="216"/>
      <c r="I9" s="216"/>
      <c r="J9" s="216"/>
      <c r="K9" s="216"/>
      <c r="L9" s="218">
        <f t="shared" ref="L9:L15" si="0">+H9</f>
        <v>0</v>
      </c>
      <c r="M9" s="218">
        <f t="shared" ref="M9:M24" si="1">$R$7*L9/1000</f>
        <v>0</v>
      </c>
      <c r="N9" s="216"/>
      <c r="O9" s="216"/>
      <c r="P9" s="216"/>
      <c r="V9" s="170"/>
    </row>
    <row r="10" spans="1:23">
      <c r="B10" s="216">
        <v>2</v>
      </c>
      <c r="C10" s="216"/>
      <c r="D10" s="216"/>
      <c r="E10" s="216"/>
      <c r="F10" s="216"/>
      <c r="G10" s="216"/>
      <c r="H10" s="216"/>
      <c r="I10" s="216"/>
      <c r="J10" s="216"/>
      <c r="K10" s="216"/>
      <c r="L10" s="218">
        <f t="shared" si="0"/>
        <v>0</v>
      </c>
      <c r="M10" s="218">
        <f t="shared" si="1"/>
        <v>0</v>
      </c>
      <c r="N10" s="216"/>
      <c r="O10" s="216"/>
      <c r="P10" s="216"/>
    </row>
    <row r="11" spans="1:23">
      <c r="B11" s="13">
        <v>3</v>
      </c>
      <c r="C11" s="13"/>
      <c r="D11" s="1149"/>
      <c r="E11" s="1150"/>
      <c r="F11" s="13"/>
      <c r="G11" s="13"/>
      <c r="H11" s="219"/>
      <c r="I11" s="13"/>
      <c r="J11" s="13">
        <v>0</v>
      </c>
      <c r="K11" s="13">
        <v>0</v>
      </c>
      <c r="L11" s="218">
        <f t="shared" si="0"/>
        <v>0</v>
      </c>
      <c r="M11" s="219">
        <f t="shared" si="1"/>
        <v>0</v>
      </c>
      <c r="N11" s="13">
        <v>0</v>
      </c>
      <c r="O11" s="219">
        <f>N11*R$8/1000</f>
        <v>0</v>
      </c>
      <c r="P11" s="216"/>
    </row>
    <row r="12" spans="1:23">
      <c r="B12" s="216">
        <v>4</v>
      </c>
      <c r="C12" s="216"/>
      <c r="D12" s="216"/>
      <c r="E12" s="218">
        <f>D12*R$8/1000</f>
        <v>0</v>
      </c>
      <c r="F12" s="216"/>
      <c r="G12" s="216"/>
      <c r="H12" s="218"/>
      <c r="I12" s="216">
        <f>D12+G12</f>
        <v>0</v>
      </c>
      <c r="J12" s="218">
        <f>I12*T$8/1000</f>
        <v>0</v>
      </c>
      <c r="K12" s="216">
        <v>0</v>
      </c>
      <c r="L12" s="218">
        <f t="shared" si="0"/>
        <v>0</v>
      </c>
      <c r="M12" s="218">
        <f t="shared" si="1"/>
        <v>0</v>
      </c>
      <c r="N12" s="216">
        <f>D12+G12-K12</f>
        <v>0</v>
      </c>
      <c r="O12" s="218">
        <f>N12*R$8/1000</f>
        <v>0</v>
      </c>
      <c r="P12" s="216"/>
    </row>
    <row r="13" spans="1:23">
      <c r="B13" s="216">
        <v>5</v>
      </c>
      <c r="C13" s="216"/>
      <c r="D13" s="216"/>
      <c r="E13" s="218">
        <f t="shared" ref="E13:E39" si="2">D13*R$8/1000</f>
        <v>0</v>
      </c>
      <c r="F13" s="216"/>
      <c r="G13" s="216"/>
      <c r="H13" s="218"/>
      <c r="I13" s="216">
        <v>0</v>
      </c>
      <c r="J13" s="218">
        <f t="shared" ref="J13:J39" si="3">I13*T$8/1000</f>
        <v>0</v>
      </c>
      <c r="K13" s="216"/>
      <c r="L13" s="218">
        <f t="shared" si="0"/>
        <v>0</v>
      </c>
      <c r="M13" s="218">
        <f t="shared" si="1"/>
        <v>0</v>
      </c>
      <c r="N13" s="216">
        <f>D13+G13-K13</f>
        <v>0</v>
      </c>
      <c r="O13" s="218">
        <f t="shared" ref="O13:O39" si="4">N13*R$8/1000</f>
        <v>0</v>
      </c>
      <c r="P13" s="216"/>
    </row>
    <row r="14" spans="1:23">
      <c r="B14" s="13">
        <v>6</v>
      </c>
      <c r="C14" s="13"/>
      <c r="D14" s="13"/>
      <c r="E14" s="219">
        <f t="shared" si="2"/>
        <v>0</v>
      </c>
      <c r="F14" s="13"/>
      <c r="G14" s="13"/>
      <c r="H14" s="219"/>
      <c r="I14" s="13"/>
      <c r="J14" s="219"/>
      <c r="K14" s="13"/>
      <c r="L14" s="218">
        <f t="shared" si="0"/>
        <v>0</v>
      </c>
      <c r="M14" s="219">
        <f t="shared" si="1"/>
        <v>0</v>
      </c>
      <c r="N14" s="13">
        <f>D14+G14-K14</f>
        <v>0</v>
      </c>
      <c r="O14" s="219">
        <f t="shared" si="4"/>
        <v>0</v>
      </c>
      <c r="P14" s="216"/>
    </row>
    <row r="15" spans="1:23">
      <c r="B15" s="216">
        <v>7</v>
      </c>
      <c r="C15" s="216"/>
      <c r="D15" s="216"/>
      <c r="E15" s="218">
        <f t="shared" si="2"/>
        <v>0</v>
      </c>
      <c r="F15" s="216"/>
      <c r="G15" s="216"/>
      <c r="H15" s="218"/>
      <c r="I15" s="216"/>
      <c r="J15" s="218">
        <f t="shared" si="3"/>
        <v>0</v>
      </c>
      <c r="K15" s="216">
        <v>0</v>
      </c>
      <c r="L15" s="218">
        <f t="shared" si="0"/>
        <v>0</v>
      </c>
      <c r="M15" s="218">
        <f t="shared" si="1"/>
        <v>0</v>
      </c>
      <c r="N15" s="216">
        <f t="shared" ref="N15:N39" si="5">D15+G15-K15</f>
        <v>0</v>
      </c>
      <c r="O15" s="218">
        <f t="shared" si="4"/>
        <v>0</v>
      </c>
      <c r="P15" s="216"/>
    </row>
    <row r="16" spans="1:23">
      <c r="B16" s="216">
        <v>8</v>
      </c>
      <c r="C16" s="216"/>
      <c r="D16" s="216"/>
      <c r="E16" s="218">
        <f t="shared" si="2"/>
        <v>0</v>
      </c>
      <c r="F16" s="216"/>
      <c r="G16" s="216"/>
      <c r="H16" s="218"/>
      <c r="I16" s="216"/>
      <c r="J16" s="218">
        <f t="shared" si="3"/>
        <v>0</v>
      </c>
      <c r="K16" s="216">
        <v>0</v>
      </c>
      <c r="L16" s="218">
        <f t="shared" ref="L16:L39" si="6">+H16</f>
        <v>0</v>
      </c>
      <c r="M16" s="218">
        <f t="shared" si="1"/>
        <v>0</v>
      </c>
      <c r="N16" s="216">
        <f t="shared" si="5"/>
        <v>0</v>
      </c>
      <c r="O16" s="218">
        <f t="shared" si="4"/>
        <v>0</v>
      </c>
      <c r="P16" s="216"/>
    </row>
    <row r="17" spans="2:16">
      <c r="B17" s="216">
        <v>9</v>
      </c>
      <c r="C17" s="216"/>
      <c r="D17" s="216"/>
      <c r="E17" s="218">
        <f t="shared" si="2"/>
        <v>0</v>
      </c>
      <c r="F17" s="216"/>
      <c r="G17" s="216"/>
      <c r="H17" s="218"/>
      <c r="I17" s="216"/>
      <c r="J17" s="218">
        <f t="shared" si="3"/>
        <v>0</v>
      </c>
      <c r="K17" s="216">
        <v>0</v>
      </c>
      <c r="L17" s="218">
        <f t="shared" si="6"/>
        <v>0</v>
      </c>
      <c r="M17" s="218">
        <f t="shared" si="1"/>
        <v>0</v>
      </c>
      <c r="N17" s="216">
        <f t="shared" si="5"/>
        <v>0</v>
      </c>
      <c r="O17" s="218">
        <f t="shared" si="4"/>
        <v>0</v>
      </c>
      <c r="P17" s="216"/>
    </row>
    <row r="18" spans="2:16">
      <c r="B18" s="13">
        <v>10</v>
      </c>
      <c r="C18" s="13"/>
      <c r="D18" s="13"/>
      <c r="E18" s="219">
        <f t="shared" si="2"/>
        <v>0</v>
      </c>
      <c r="F18" s="13"/>
      <c r="G18" s="13"/>
      <c r="H18" s="219"/>
      <c r="I18" s="13">
        <v>0</v>
      </c>
      <c r="J18" s="219">
        <f t="shared" si="3"/>
        <v>0</v>
      </c>
      <c r="K18" s="13"/>
      <c r="L18" s="218">
        <f t="shared" si="6"/>
        <v>0</v>
      </c>
      <c r="M18" s="219">
        <f t="shared" si="1"/>
        <v>0</v>
      </c>
      <c r="N18" s="13">
        <f t="shared" si="5"/>
        <v>0</v>
      </c>
      <c r="O18" s="219">
        <f t="shared" si="4"/>
        <v>0</v>
      </c>
      <c r="P18" s="216"/>
    </row>
    <row r="19" spans="2:16">
      <c r="B19" s="13"/>
      <c r="C19" s="13"/>
      <c r="D19" s="13"/>
      <c r="E19" s="219"/>
      <c r="F19" s="13"/>
      <c r="G19" s="13"/>
      <c r="H19" s="219"/>
      <c r="I19" s="13"/>
      <c r="J19" s="219"/>
      <c r="K19" s="13"/>
      <c r="L19" s="218">
        <f t="shared" si="6"/>
        <v>0</v>
      </c>
      <c r="M19" s="218">
        <f t="shared" si="1"/>
        <v>0</v>
      </c>
      <c r="N19" s="216">
        <f t="shared" si="5"/>
        <v>0</v>
      </c>
      <c r="O19" s="218">
        <f t="shared" si="4"/>
        <v>0</v>
      </c>
      <c r="P19" s="216"/>
    </row>
    <row r="20" spans="2:16">
      <c r="B20" s="216">
        <v>12</v>
      </c>
      <c r="C20" s="216"/>
      <c r="D20" s="216"/>
      <c r="E20" s="218">
        <f t="shared" si="2"/>
        <v>0</v>
      </c>
      <c r="F20" s="216"/>
      <c r="G20" s="216"/>
      <c r="H20" s="218"/>
      <c r="I20" s="216">
        <v>0</v>
      </c>
      <c r="J20" s="218">
        <f t="shared" si="3"/>
        <v>0</v>
      </c>
      <c r="K20" s="216">
        <v>0</v>
      </c>
      <c r="L20" s="218">
        <f t="shared" si="6"/>
        <v>0</v>
      </c>
      <c r="M20" s="218">
        <f t="shared" si="1"/>
        <v>0</v>
      </c>
      <c r="N20" s="216">
        <f t="shared" si="5"/>
        <v>0</v>
      </c>
      <c r="O20" s="218">
        <f t="shared" si="4"/>
        <v>0</v>
      </c>
      <c r="P20" s="216"/>
    </row>
    <row r="21" spans="2:16">
      <c r="B21" s="13">
        <v>13</v>
      </c>
      <c r="C21" s="13"/>
      <c r="D21" s="13"/>
      <c r="E21" s="219">
        <f t="shared" si="2"/>
        <v>0</v>
      </c>
      <c r="F21" s="13"/>
      <c r="G21" s="13"/>
      <c r="H21" s="219"/>
      <c r="I21" s="13"/>
      <c r="J21" s="219"/>
      <c r="K21" s="13"/>
      <c r="L21" s="218">
        <f t="shared" si="6"/>
        <v>0</v>
      </c>
      <c r="M21" s="219">
        <f t="shared" si="1"/>
        <v>0</v>
      </c>
      <c r="N21" s="13">
        <f t="shared" si="5"/>
        <v>0</v>
      </c>
      <c r="O21" s="219">
        <f t="shared" si="4"/>
        <v>0</v>
      </c>
      <c r="P21" s="216"/>
    </row>
    <row r="22" spans="2:16">
      <c r="B22" s="13"/>
      <c r="C22" s="13"/>
      <c r="D22" s="13"/>
      <c r="E22" s="219"/>
      <c r="F22" s="13"/>
      <c r="G22" s="13"/>
      <c r="H22" s="219"/>
      <c r="I22" s="13"/>
      <c r="J22" s="219"/>
      <c r="K22" s="13"/>
      <c r="L22" s="218">
        <f t="shared" si="6"/>
        <v>0</v>
      </c>
      <c r="M22" s="218">
        <f t="shared" si="1"/>
        <v>0</v>
      </c>
      <c r="N22" s="216">
        <f t="shared" si="5"/>
        <v>0</v>
      </c>
      <c r="O22" s="218">
        <f t="shared" si="4"/>
        <v>0</v>
      </c>
      <c r="P22" s="216"/>
    </row>
    <row r="23" spans="2:16">
      <c r="B23" s="216">
        <v>15</v>
      </c>
      <c r="C23" s="216"/>
      <c r="D23" s="216"/>
      <c r="E23" s="218">
        <f t="shared" si="2"/>
        <v>0</v>
      </c>
      <c r="F23" s="216"/>
      <c r="G23" s="216"/>
      <c r="H23" s="218"/>
      <c r="I23" s="216">
        <v>0</v>
      </c>
      <c r="J23" s="218">
        <f t="shared" si="3"/>
        <v>0</v>
      </c>
      <c r="K23" s="216">
        <v>0</v>
      </c>
      <c r="L23" s="218">
        <f t="shared" si="6"/>
        <v>0</v>
      </c>
      <c r="M23" s="218">
        <f t="shared" si="1"/>
        <v>0</v>
      </c>
      <c r="N23" s="216">
        <f t="shared" si="5"/>
        <v>0</v>
      </c>
      <c r="O23" s="218">
        <f t="shared" si="4"/>
        <v>0</v>
      </c>
      <c r="P23" s="216"/>
    </row>
    <row r="24" spans="2:16">
      <c r="B24" s="216">
        <v>16</v>
      </c>
      <c r="C24" s="216"/>
      <c r="D24" s="216"/>
      <c r="E24" s="218">
        <f t="shared" si="2"/>
        <v>0</v>
      </c>
      <c r="F24" s="216"/>
      <c r="G24" s="216"/>
      <c r="H24" s="218"/>
      <c r="I24" s="216">
        <v>0</v>
      </c>
      <c r="J24" s="218">
        <f t="shared" si="3"/>
        <v>0</v>
      </c>
      <c r="K24" s="216"/>
      <c r="L24" s="218">
        <f t="shared" si="6"/>
        <v>0</v>
      </c>
      <c r="M24" s="218">
        <f t="shared" si="1"/>
        <v>0</v>
      </c>
      <c r="N24" s="216">
        <f t="shared" si="5"/>
        <v>0</v>
      </c>
      <c r="O24" s="218">
        <f t="shared" si="4"/>
        <v>0</v>
      </c>
      <c r="P24" s="216"/>
    </row>
    <row r="25" spans="2:16">
      <c r="B25" s="13">
        <v>17</v>
      </c>
      <c r="C25" s="13"/>
      <c r="D25" s="13"/>
      <c r="E25" s="219">
        <f t="shared" si="2"/>
        <v>0</v>
      </c>
      <c r="F25" s="13"/>
      <c r="G25" s="13"/>
      <c r="H25" s="219"/>
      <c r="I25" s="13">
        <v>0</v>
      </c>
      <c r="J25" s="219">
        <f t="shared" si="3"/>
        <v>0</v>
      </c>
      <c r="K25" s="13"/>
      <c r="L25" s="218">
        <f t="shared" si="6"/>
        <v>0</v>
      </c>
      <c r="M25" s="219">
        <f>K25*R$7/1000</f>
        <v>0</v>
      </c>
      <c r="N25" s="13">
        <f t="shared" si="5"/>
        <v>0</v>
      </c>
      <c r="O25" s="219">
        <f t="shared" si="4"/>
        <v>0</v>
      </c>
      <c r="P25" s="216"/>
    </row>
    <row r="26" spans="2:16">
      <c r="B26" s="216">
        <v>18</v>
      </c>
      <c r="C26" s="216"/>
      <c r="D26" s="216"/>
      <c r="E26" s="218">
        <f t="shared" si="2"/>
        <v>0</v>
      </c>
      <c r="F26" s="216"/>
      <c r="G26" s="216"/>
      <c r="H26" s="218"/>
      <c r="I26" s="216">
        <v>0</v>
      </c>
      <c r="J26" s="218">
        <f t="shared" si="3"/>
        <v>0</v>
      </c>
      <c r="K26" s="216">
        <v>0</v>
      </c>
      <c r="L26" s="218">
        <f t="shared" si="6"/>
        <v>0</v>
      </c>
      <c r="M26" s="218">
        <f t="shared" ref="M26:M39" si="7">K26*R$7/1000</f>
        <v>0</v>
      </c>
      <c r="N26" s="216">
        <f t="shared" si="5"/>
        <v>0</v>
      </c>
      <c r="O26" s="218">
        <f t="shared" si="4"/>
        <v>0</v>
      </c>
      <c r="P26" s="216"/>
    </row>
    <row r="27" spans="2:16">
      <c r="B27" s="13"/>
      <c r="C27" s="13"/>
      <c r="D27" s="13"/>
      <c r="E27" s="219"/>
      <c r="F27" s="13"/>
      <c r="G27" s="13"/>
      <c r="H27" s="219"/>
      <c r="I27" s="13"/>
      <c r="J27" s="219"/>
      <c r="K27" s="13"/>
      <c r="L27" s="218">
        <f t="shared" si="6"/>
        <v>0</v>
      </c>
      <c r="M27" s="218">
        <f t="shared" si="7"/>
        <v>0</v>
      </c>
      <c r="N27" s="216">
        <f t="shared" si="5"/>
        <v>0</v>
      </c>
      <c r="O27" s="218">
        <f t="shared" si="4"/>
        <v>0</v>
      </c>
      <c r="P27" s="216"/>
    </row>
    <row r="28" spans="2:16">
      <c r="B28" s="216">
        <v>20</v>
      </c>
      <c r="C28" s="216"/>
      <c r="D28" s="216"/>
      <c r="E28" s="218">
        <f t="shared" si="2"/>
        <v>0</v>
      </c>
      <c r="F28" s="216"/>
      <c r="G28" s="216"/>
      <c r="H28" s="218"/>
      <c r="I28" s="216">
        <v>0</v>
      </c>
      <c r="J28" s="218">
        <f t="shared" si="3"/>
        <v>0</v>
      </c>
      <c r="K28" s="216">
        <v>0</v>
      </c>
      <c r="L28" s="218">
        <f t="shared" si="6"/>
        <v>0</v>
      </c>
      <c r="M28" s="218">
        <f t="shared" si="7"/>
        <v>0</v>
      </c>
      <c r="N28" s="216">
        <f t="shared" si="5"/>
        <v>0</v>
      </c>
      <c r="O28" s="218">
        <f t="shared" si="4"/>
        <v>0</v>
      </c>
      <c r="P28" s="216"/>
    </row>
    <row r="29" spans="2:16">
      <c r="B29" s="216">
        <v>21</v>
      </c>
      <c r="C29" s="216"/>
      <c r="D29" s="216"/>
      <c r="E29" s="218">
        <f t="shared" si="2"/>
        <v>0</v>
      </c>
      <c r="F29" s="216"/>
      <c r="G29" s="216"/>
      <c r="H29" s="218"/>
      <c r="I29" s="216">
        <v>0</v>
      </c>
      <c r="J29" s="218">
        <f t="shared" si="3"/>
        <v>0</v>
      </c>
      <c r="K29" s="216">
        <v>0</v>
      </c>
      <c r="L29" s="218">
        <f t="shared" si="6"/>
        <v>0</v>
      </c>
      <c r="M29" s="218">
        <f t="shared" si="7"/>
        <v>0</v>
      </c>
      <c r="N29" s="216">
        <f t="shared" si="5"/>
        <v>0</v>
      </c>
      <c r="O29" s="218">
        <f t="shared" si="4"/>
        <v>0</v>
      </c>
      <c r="P29" s="216"/>
    </row>
    <row r="30" spans="2:16">
      <c r="B30" s="13">
        <v>22</v>
      </c>
      <c r="C30" s="13"/>
      <c r="D30" s="13"/>
      <c r="E30" s="219">
        <f t="shared" si="2"/>
        <v>0</v>
      </c>
      <c r="F30" s="13"/>
      <c r="G30" s="13"/>
      <c r="H30" s="219"/>
      <c r="I30" s="13">
        <v>0</v>
      </c>
      <c r="J30" s="219">
        <f t="shared" si="3"/>
        <v>0</v>
      </c>
      <c r="K30" s="13"/>
      <c r="L30" s="218">
        <f t="shared" si="6"/>
        <v>0</v>
      </c>
      <c r="M30" s="219">
        <f t="shared" si="7"/>
        <v>0</v>
      </c>
      <c r="N30" s="13">
        <f t="shared" si="5"/>
        <v>0</v>
      </c>
      <c r="O30" s="219">
        <f t="shared" si="4"/>
        <v>0</v>
      </c>
      <c r="P30" s="216"/>
    </row>
    <row r="31" spans="2:16">
      <c r="B31" s="216">
        <v>23</v>
      </c>
      <c r="C31" s="216"/>
      <c r="D31" s="216"/>
      <c r="E31" s="218">
        <f t="shared" si="2"/>
        <v>0</v>
      </c>
      <c r="F31" s="216"/>
      <c r="G31" s="216"/>
      <c r="H31" s="218"/>
      <c r="I31" s="216">
        <v>0</v>
      </c>
      <c r="J31" s="218">
        <f t="shared" si="3"/>
        <v>0</v>
      </c>
      <c r="K31" s="216">
        <v>0</v>
      </c>
      <c r="L31" s="218">
        <f t="shared" si="6"/>
        <v>0</v>
      </c>
      <c r="M31" s="218">
        <f t="shared" si="7"/>
        <v>0</v>
      </c>
      <c r="N31" s="216">
        <f t="shared" si="5"/>
        <v>0</v>
      </c>
      <c r="O31" s="218">
        <f t="shared" si="4"/>
        <v>0</v>
      </c>
      <c r="P31" s="216"/>
    </row>
    <row r="32" spans="2:16">
      <c r="B32" s="13">
        <v>24</v>
      </c>
      <c r="C32" s="13"/>
      <c r="D32" s="13"/>
      <c r="E32" s="219"/>
      <c r="F32" s="13"/>
      <c r="G32" s="13"/>
      <c r="H32" s="219"/>
      <c r="I32" s="13"/>
      <c r="J32" s="219"/>
      <c r="K32" s="13"/>
      <c r="L32" s="218">
        <f t="shared" si="6"/>
        <v>0</v>
      </c>
      <c r="M32" s="218">
        <f t="shared" si="7"/>
        <v>0</v>
      </c>
      <c r="N32" s="216">
        <f t="shared" si="5"/>
        <v>0</v>
      </c>
      <c r="O32" s="218">
        <f t="shared" si="4"/>
        <v>0</v>
      </c>
      <c r="P32" s="216"/>
    </row>
    <row r="33" spans="2:17">
      <c r="B33" s="13">
        <v>25</v>
      </c>
      <c r="C33" s="13"/>
      <c r="D33" s="13"/>
      <c r="E33" s="219">
        <f t="shared" si="2"/>
        <v>0</v>
      </c>
      <c r="F33" s="13"/>
      <c r="G33" s="13"/>
      <c r="H33" s="219"/>
      <c r="I33" s="13">
        <v>0</v>
      </c>
      <c r="J33" s="219">
        <f t="shared" si="3"/>
        <v>0</v>
      </c>
      <c r="K33" s="13"/>
      <c r="L33" s="218">
        <f t="shared" si="6"/>
        <v>0</v>
      </c>
      <c r="M33" s="219">
        <f t="shared" si="7"/>
        <v>0</v>
      </c>
      <c r="N33" s="13">
        <f t="shared" si="5"/>
        <v>0</v>
      </c>
      <c r="O33" s="219">
        <f t="shared" si="4"/>
        <v>0</v>
      </c>
      <c r="P33" s="216"/>
    </row>
    <row r="34" spans="2:17">
      <c r="B34" s="216">
        <v>26</v>
      </c>
      <c r="C34" s="216"/>
      <c r="D34" s="216"/>
      <c r="E34" s="218">
        <f t="shared" si="2"/>
        <v>0</v>
      </c>
      <c r="F34" s="216"/>
      <c r="G34" s="216"/>
      <c r="H34" s="218"/>
      <c r="I34" s="216">
        <v>0</v>
      </c>
      <c r="J34" s="218">
        <f t="shared" si="3"/>
        <v>0</v>
      </c>
      <c r="K34" s="216">
        <v>0</v>
      </c>
      <c r="L34" s="218">
        <f t="shared" si="6"/>
        <v>0</v>
      </c>
      <c r="M34" s="218">
        <f t="shared" si="7"/>
        <v>0</v>
      </c>
      <c r="N34" s="216">
        <f t="shared" si="5"/>
        <v>0</v>
      </c>
      <c r="O34" s="218">
        <f t="shared" si="4"/>
        <v>0</v>
      </c>
      <c r="P34" s="216"/>
    </row>
    <row r="35" spans="2:17">
      <c r="B35" s="217">
        <v>27</v>
      </c>
      <c r="C35" s="217"/>
      <c r="D35" s="1147"/>
      <c r="E35" s="1148"/>
      <c r="F35" s="217"/>
      <c r="G35" s="217"/>
      <c r="H35" s="221"/>
      <c r="I35" s="217">
        <v>0</v>
      </c>
      <c r="J35" s="221">
        <f t="shared" si="3"/>
        <v>0</v>
      </c>
      <c r="K35" s="217">
        <v>0</v>
      </c>
      <c r="L35" s="218">
        <f t="shared" si="6"/>
        <v>0</v>
      </c>
      <c r="M35" s="221">
        <f t="shared" si="7"/>
        <v>0</v>
      </c>
      <c r="N35" s="217">
        <v>0</v>
      </c>
      <c r="O35" s="221">
        <f t="shared" si="4"/>
        <v>0</v>
      </c>
      <c r="P35" s="216"/>
    </row>
    <row r="36" spans="2:17">
      <c r="B36" s="216">
        <v>28</v>
      </c>
      <c r="C36" s="216"/>
      <c r="D36" s="216"/>
      <c r="E36" s="218">
        <f t="shared" si="2"/>
        <v>0</v>
      </c>
      <c r="F36" s="216"/>
      <c r="G36" s="216"/>
      <c r="H36" s="218"/>
      <c r="I36" s="216">
        <v>0</v>
      </c>
      <c r="J36" s="218">
        <f t="shared" si="3"/>
        <v>0</v>
      </c>
      <c r="K36" s="216">
        <v>0</v>
      </c>
      <c r="L36" s="218">
        <f t="shared" si="6"/>
        <v>0</v>
      </c>
      <c r="M36" s="218">
        <f t="shared" si="7"/>
        <v>0</v>
      </c>
      <c r="N36" s="216">
        <f t="shared" si="5"/>
        <v>0</v>
      </c>
      <c r="O36" s="218">
        <f t="shared" si="4"/>
        <v>0</v>
      </c>
      <c r="P36" s="216"/>
    </row>
    <row r="37" spans="2:17">
      <c r="B37" s="216">
        <v>29</v>
      </c>
      <c r="C37" s="216"/>
      <c r="D37" s="216"/>
      <c r="E37" s="218">
        <f t="shared" si="2"/>
        <v>0</v>
      </c>
      <c r="F37" s="216"/>
      <c r="G37" s="216"/>
      <c r="H37" s="218"/>
      <c r="I37" s="216">
        <v>0</v>
      </c>
      <c r="J37" s="218">
        <f t="shared" si="3"/>
        <v>0</v>
      </c>
      <c r="K37" s="216">
        <v>0</v>
      </c>
      <c r="L37" s="218">
        <f t="shared" si="6"/>
        <v>0</v>
      </c>
      <c r="M37" s="218">
        <f t="shared" si="7"/>
        <v>0</v>
      </c>
      <c r="N37" s="216">
        <f t="shared" si="5"/>
        <v>0</v>
      </c>
      <c r="O37" s="218">
        <f t="shared" si="4"/>
        <v>0</v>
      </c>
      <c r="P37" s="216"/>
    </row>
    <row r="38" spans="2:17">
      <c r="B38" s="216">
        <v>30</v>
      </c>
      <c r="D38" s="216"/>
      <c r="E38" s="218">
        <f t="shared" si="2"/>
        <v>0</v>
      </c>
      <c r="F38" s="3"/>
      <c r="G38" s="3"/>
      <c r="H38" s="218"/>
      <c r="I38" s="216"/>
      <c r="J38" s="218">
        <f t="shared" si="3"/>
        <v>0</v>
      </c>
      <c r="K38" s="3"/>
      <c r="L38" s="218">
        <f t="shared" si="6"/>
        <v>0</v>
      </c>
      <c r="M38" s="218">
        <f t="shared" si="7"/>
        <v>0</v>
      </c>
      <c r="N38" s="216">
        <f t="shared" si="5"/>
        <v>0</v>
      </c>
      <c r="O38" s="218">
        <f t="shared" si="4"/>
        <v>0</v>
      </c>
      <c r="P38" s="3"/>
    </row>
    <row r="39" spans="2:17">
      <c r="B39" s="222">
        <v>31</v>
      </c>
      <c r="D39" s="216"/>
      <c r="E39" s="218">
        <f t="shared" si="2"/>
        <v>0</v>
      </c>
      <c r="F39" s="223"/>
      <c r="G39" s="223"/>
      <c r="H39" s="218"/>
      <c r="I39" s="216"/>
      <c r="J39" s="218">
        <f t="shared" si="3"/>
        <v>0</v>
      </c>
      <c r="K39" s="223"/>
      <c r="L39" s="218">
        <f t="shared" si="6"/>
        <v>0</v>
      </c>
      <c r="M39" s="218">
        <f t="shared" si="7"/>
        <v>0</v>
      </c>
      <c r="N39" s="216">
        <f t="shared" si="5"/>
        <v>0</v>
      </c>
      <c r="O39" s="218">
        <f t="shared" si="4"/>
        <v>0</v>
      </c>
      <c r="P39" s="223"/>
    </row>
    <row r="40" spans="2:17">
      <c r="B40" s="928" t="s">
        <v>10</v>
      </c>
      <c r="C40" s="929"/>
      <c r="D40" s="929"/>
      <c r="E40" s="930"/>
      <c r="F40" s="130">
        <f t="shared" ref="F40:M40" si="8">SUM(F9:F39)</f>
        <v>0</v>
      </c>
      <c r="G40" s="224">
        <f t="shared" si="8"/>
        <v>0</v>
      </c>
      <c r="H40" s="224">
        <f t="shared" si="8"/>
        <v>0</v>
      </c>
      <c r="I40" s="130"/>
      <c r="J40" s="130"/>
      <c r="K40" s="224">
        <f t="shared" si="8"/>
        <v>0</v>
      </c>
      <c r="L40" s="224">
        <f t="shared" si="8"/>
        <v>0</v>
      </c>
      <c r="M40" s="130">
        <f t="shared" si="8"/>
        <v>0</v>
      </c>
      <c r="N40" s="130"/>
      <c r="O40" s="130"/>
      <c r="P40" s="3"/>
    </row>
    <row r="42" spans="2:17">
      <c r="B42" s="931" t="s">
        <v>23</v>
      </c>
      <c r="C42" s="931"/>
      <c r="D42" s="931"/>
      <c r="E42" s="8">
        <f>G40*R7/1000</f>
        <v>0</v>
      </c>
      <c r="Q42">
        <v>6</v>
      </c>
    </row>
  </sheetData>
  <mergeCells count="20">
    <mergeCell ref="B2:P2"/>
    <mergeCell ref="R2:S2"/>
    <mergeCell ref="B3:P3"/>
    <mergeCell ref="R3:U3"/>
    <mergeCell ref="B4:P4"/>
    <mergeCell ref="R4:U4"/>
    <mergeCell ref="A5:P5"/>
    <mergeCell ref="R5:U5"/>
    <mergeCell ref="D6:F6"/>
    <mergeCell ref="G6:H6"/>
    <mergeCell ref="I6:J6"/>
    <mergeCell ref="K6:L6"/>
    <mergeCell ref="N6:O6"/>
    <mergeCell ref="R6:U6"/>
    <mergeCell ref="B42:D42"/>
    <mergeCell ref="R7:U7"/>
    <mergeCell ref="R8:U8"/>
    <mergeCell ref="D11:E11"/>
    <mergeCell ref="D35:E35"/>
    <mergeCell ref="B40:E40"/>
  </mergeCells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W42"/>
  <sheetViews>
    <sheetView topLeftCell="B1" zoomScale="80" zoomScaleNormal="80" workbookViewId="0">
      <pane ySplit="8" topLeftCell="A19" activePane="bottomLeft" state="frozen"/>
      <selection pane="bottomLeft" activeCell="V31" sqref="V31"/>
    </sheetView>
  </sheetViews>
  <sheetFormatPr defaultColWidth="9" defaultRowHeight="15"/>
  <cols>
    <col min="1" max="1" width="9" hidden="1" customWidth="1"/>
    <col min="3" max="3" width="9" hidden="1" customWidth="1"/>
    <col min="5" max="5" width="10.42578125" customWidth="1"/>
    <col min="6" max="6" width="9" hidden="1" customWidth="1"/>
    <col min="8" max="8" width="10.42578125" customWidth="1"/>
    <col min="10" max="10" width="10.42578125" customWidth="1"/>
    <col min="12" max="12" width="10.42578125" customWidth="1"/>
    <col min="13" max="13" width="12" customWidth="1"/>
    <col min="14" max="14" width="8.28515625" customWidth="1"/>
    <col min="15" max="16" width="10.42578125" customWidth="1"/>
    <col min="17" max="17" width="18.28515625" customWidth="1"/>
    <col min="18" max="18" width="8" customWidth="1"/>
    <col min="19" max="19" width="3" hidden="1" customWidth="1"/>
    <col min="20" max="20" width="6.140625" customWidth="1"/>
    <col min="21" max="21" width="6.28515625" customWidth="1"/>
    <col min="22" max="22" width="0.140625" customWidth="1"/>
  </cols>
  <sheetData>
    <row r="2" spans="1:23" ht="46.5">
      <c r="B2" s="935" t="s">
        <v>0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129"/>
      <c r="R2" s="1146"/>
      <c r="S2" s="1146"/>
      <c r="T2" s="129"/>
      <c r="U2" s="227"/>
      <c r="V2" s="228"/>
    </row>
    <row r="3" spans="1:23" ht="21">
      <c r="B3" s="937" t="s">
        <v>2</v>
      </c>
      <c r="C3" s="938"/>
      <c r="D3" s="938"/>
      <c r="E3" s="938"/>
      <c r="F3" s="938"/>
      <c r="G3" s="938"/>
      <c r="H3" s="938"/>
      <c r="I3" s="938"/>
      <c r="J3" s="938"/>
      <c r="K3" s="938"/>
      <c r="L3" s="938"/>
      <c r="M3" s="938"/>
      <c r="N3" s="938"/>
      <c r="O3" s="938"/>
      <c r="P3" s="938"/>
      <c r="Q3" s="129" t="s">
        <v>3</v>
      </c>
      <c r="R3" s="931"/>
      <c r="S3" s="931"/>
      <c r="T3" s="931"/>
      <c r="U3" s="931"/>
      <c r="V3" s="170"/>
    </row>
    <row r="4" spans="1:23" ht="21">
      <c r="B4" s="939" t="s">
        <v>7</v>
      </c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  <c r="O4" s="940"/>
      <c r="P4" s="940"/>
      <c r="Q4" s="129" t="s">
        <v>5</v>
      </c>
      <c r="R4" s="931"/>
      <c r="S4" s="931"/>
      <c r="T4" s="931"/>
      <c r="U4" s="931"/>
      <c r="V4" s="170"/>
    </row>
    <row r="5" spans="1:23" ht="21">
      <c r="A5" s="932"/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933"/>
      <c r="P5" s="933"/>
      <c r="Q5" s="129" t="s">
        <v>7</v>
      </c>
      <c r="R5" s="931"/>
      <c r="S5" s="931"/>
      <c r="T5" s="931"/>
      <c r="U5" s="931"/>
      <c r="V5" s="170"/>
    </row>
    <row r="6" spans="1:23">
      <c r="B6" s="214" t="s">
        <v>20</v>
      </c>
      <c r="C6" s="214"/>
      <c r="D6" s="934" t="s">
        <v>8</v>
      </c>
      <c r="E6" s="934"/>
      <c r="F6" s="934"/>
      <c r="G6" s="934" t="s">
        <v>9</v>
      </c>
      <c r="H6" s="934"/>
      <c r="I6" s="934" t="s">
        <v>10</v>
      </c>
      <c r="J6" s="934"/>
      <c r="K6" s="934" t="s">
        <v>11</v>
      </c>
      <c r="L6" s="934"/>
      <c r="M6" s="215"/>
      <c r="N6" s="934" t="s">
        <v>13</v>
      </c>
      <c r="O6" s="934"/>
      <c r="P6" s="225" t="s">
        <v>14</v>
      </c>
      <c r="Q6" s="129" t="s">
        <v>15</v>
      </c>
      <c r="R6" s="931"/>
      <c r="S6" s="931"/>
      <c r="T6" s="931"/>
      <c r="U6" s="931"/>
      <c r="V6" s="170"/>
      <c r="W6" t="s">
        <v>67</v>
      </c>
    </row>
    <row r="7" spans="1:23">
      <c r="B7" s="216"/>
      <c r="C7" s="216"/>
      <c r="D7" s="217" t="s">
        <v>16</v>
      </c>
      <c r="E7" s="217" t="s">
        <v>17</v>
      </c>
      <c r="F7" s="217"/>
      <c r="G7" s="217" t="s">
        <v>16</v>
      </c>
      <c r="H7" s="217" t="s">
        <v>17</v>
      </c>
      <c r="I7" s="217" t="s">
        <v>16</v>
      </c>
      <c r="J7" s="217" t="s">
        <v>17</v>
      </c>
      <c r="K7" s="217" t="s">
        <v>16</v>
      </c>
      <c r="L7" s="217" t="s">
        <v>17</v>
      </c>
      <c r="M7" s="217"/>
      <c r="N7" s="217" t="s">
        <v>16</v>
      </c>
      <c r="O7" s="217" t="s">
        <v>17</v>
      </c>
      <c r="P7" s="226"/>
      <c r="Q7" s="129" t="s">
        <v>19</v>
      </c>
      <c r="R7" s="931"/>
      <c r="S7" s="931"/>
      <c r="T7" s="931"/>
      <c r="U7" s="931"/>
      <c r="V7" s="170"/>
    </row>
    <row r="8" spans="1:23">
      <c r="B8" s="216"/>
      <c r="C8" s="216"/>
      <c r="D8" s="217" t="s">
        <v>21</v>
      </c>
      <c r="E8" s="217" t="s">
        <v>22</v>
      </c>
      <c r="F8" s="217"/>
      <c r="G8" s="217" t="s">
        <v>21</v>
      </c>
      <c r="H8" s="217" t="s">
        <v>22</v>
      </c>
      <c r="I8" s="217" t="s">
        <v>21</v>
      </c>
      <c r="J8" s="217" t="s">
        <v>22</v>
      </c>
      <c r="K8" s="217" t="s">
        <v>21</v>
      </c>
      <c r="L8" s="217" t="s">
        <v>22</v>
      </c>
      <c r="M8" s="217" t="s">
        <v>23</v>
      </c>
      <c r="N8" s="217" t="s">
        <v>21</v>
      </c>
      <c r="O8" s="217" t="s">
        <v>22</v>
      </c>
      <c r="P8" s="226"/>
      <c r="Q8" s="129" t="s">
        <v>24</v>
      </c>
      <c r="R8" s="941">
        <f>R6+R7</f>
        <v>0</v>
      </c>
      <c r="S8" s="941"/>
      <c r="T8" s="941"/>
      <c r="U8" s="941"/>
      <c r="V8" s="170"/>
    </row>
    <row r="9" spans="1:23">
      <c r="B9" s="216">
        <v>1</v>
      </c>
      <c r="C9" s="216"/>
      <c r="D9" s="216"/>
      <c r="E9" s="216"/>
      <c r="F9" s="216"/>
      <c r="G9" s="216"/>
      <c r="H9" s="218"/>
      <c r="I9" s="216"/>
      <c r="J9" s="216"/>
      <c r="K9" s="216"/>
      <c r="L9" s="219">
        <f t="shared" ref="L9:L14" si="0">+H9</f>
        <v>0</v>
      </c>
      <c r="M9" s="218">
        <f t="shared" ref="M9:M24" si="1">$R$7*L9/1000</f>
        <v>0</v>
      </c>
      <c r="N9" s="216"/>
      <c r="O9" s="216"/>
      <c r="P9" s="216"/>
      <c r="V9" s="170"/>
    </row>
    <row r="10" spans="1:23">
      <c r="B10" s="216">
        <v>2</v>
      </c>
      <c r="C10" s="216"/>
      <c r="D10" s="216"/>
      <c r="E10" s="216"/>
      <c r="F10" s="216"/>
      <c r="G10" s="216"/>
      <c r="H10" s="218"/>
      <c r="I10" s="216"/>
      <c r="J10" s="216"/>
      <c r="K10" s="216"/>
      <c r="L10" s="219">
        <f t="shared" si="0"/>
        <v>0</v>
      </c>
      <c r="M10" s="218">
        <f t="shared" si="1"/>
        <v>0</v>
      </c>
      <c r="N10" s="216"/>
      <c r="O10" s="216"/>
      <c r="P10" s="216"/>
    </row>
    <row r="11" spans="1:23">
      <c r="B11" s="13">
        <v>3</v>
      </c>
      <c r="C11" s="13"/>
      <c r="D11" s="13"/>
      <c r="E11" s="13">
        <v>0</v>
      </c>
      <c r="F11" s="13"/>
      <c r="G11" s="13"/>
      <c r="H11" s="219"/>
      <c r="I11" s="13">
        <f>D11+G11</f>
        <v>0</v>
      </c>
      <c r="J11" s="13">
        <v>0</v>
      </c>
      <c r="K11" s="13">
        <v>0</v>
      </c>
      <c r="L11" s="219">
        <f t="shared" si="0"/>
        <v>0</v>
      </c>
      <c r="M11" s="219">
        <f t="shared" si="1"/>
        <v>0</v>
      </c>
      <c r="N11" s="13">
        <v>0</v>
      </c>
      <c r="O11" s="219">
        <f>N11*R$8/1000</f>
        <v>0</v>
      </c>
      <c r="P11" s="216"/>
      <c r="Q11">
        <f>1.511+1.507+15</f>
        <v>18.018000000000001</v>
      </c>
    </row>
    <row r="12" spans="1:23">
      <c r="B12" s="216">
        <v>4</v>
      </c>
      <c r="C12" s="216"/>
      <c r="D12" s="216"/>
      <c r="E12" s="218">
        <f>D12*R$8/1000</f>
        <v>0</v>
      </c>
      <c r="F12" s="216"/>
      <c r="G12" s="216"/>
      <c r="H12" s="218"/>
      <c r="I12" s="216">
        <f>D12+G12</f>
        <v>0</v>
      </c>
      <c r="J12" s="218">
        <f>I12*T$8/1000</f>
        <v>0</v>
      </c>
      <c r="K12" s="216">
        <v>0</v>
      </c>
      <c r="L12" s="219">
        <f t="shared" si="0"/>
        <v>0</v>
      </c>
      <c r="M12" s="218">
        <f t="shared" si="1"/>
        <v>0</v>
      </c>
      <c r="N12" s="216">
        <f>D12+G12-K12</f>
        <v>0</v>
      </c>
      <c r="O12" s="218">
        <f>N12*R$8/1000</f>
        <v>0</v>
      </c>
      <c r="P12" s="216"/>
    </row>
    <row r="13" spans="1:23">
      <c r="B13" s="216">
        <v>5</v>
      </c>
      <c r="C13" s="216"/>
      <c r="D13" s="216"/>
      <c r="E13" s="218">
        <f t="shared" ref="E13:E39" si="2">D13*R$8/1000</f>
        <v>0</v>
      </c>
      <c r="F13" s="216"/>
      <c r="G13" s="216"/>
      <c r="H13" s="216"/>
      <c r="I13" s="216">
        <v>0</v>
      </c>
      <c r="J13" s="218">
        <f t="shared" ref="J13:J39" si="3">I13*T$8/1000</f>
        <v>0</v>
      </c>
      <c r="K13" s="216"/>
      <c r="L13" s="219">
        <f t="shared" si="0"/>
        <v>0</v>
      </c>
      <c r="M13" s="218">
        <f t="shared" si="1"/>
        <v>0</v>
      </c>
      <c r="N13" s="216">
        <f>D13+G13-K13</f>
        <v>0</v>
      </c>
      <c r="O13" s="218">
        <f t="shared" ref="O13:O39" si="4">N13*R$8/1000</f>
        <v>0</v>
      </c>
      <c r="P13" s="216"/>
    </row>
    <row r="14" spans="1:23">
      <c r="B14" s="13">
        <v>6</v>
      </c>
      <c r="C14" s="13"/>
      <c r="D14" s="13"/>
      <c r="E14" s="219">
        <f t="shared" si="2"/>
        <v>0</v>
      </c>
      <c r="F14" s="13"/>
      <c r="G14" s="13"/>
      <c r="H14" s="13"/>
      <c r="I14" s="13"/>
      <c r="J14" s="219"/>
      <c r="K14" s="13"/>
      <c r="L14" s="219">
        <f t="shared" si="0"/>
        <v>0</v>
      </c>
      <c r="M14" s="219">
        <f t="shared" si="1"/>
        <v>0</v>
      </c>
      <c r="N14" s="13">
        <f>D14+G14-K14</f>
        <v>0</v>
      </c>
      <c r="O14" s="219">
        <f t="shared" si="4"/>
        <v>0</v>
      </c>
      <c r="P14" s="216"/>
    </row>
    <row r="15" spans="1:23">
      <c r="B15" s="216">
        <v>7</v>
      </c>
      <c r="C15" s="216"/>
      <c r="D15" s="216"/>
      <c r="E15" s="218">
        <f t="shared" si="2"/>
        <v>0</v>
      </c>
      <c r="F15" s="216"/>
      <c r="G15" s="216"/>
      <c r="H15" s="216"/>
      <c r="I15" s="216"/>
      <c r="J15" s="218">
        <f t="shared" si="3"/>
        <v>0</v>
      </c>
      <c r="K15" s="216">
        <v>0</v>
      </c>
      <c r="L15" s="219">
        <f t="shared" ref="L15:L39" si="5">+H15</f>
        <v>0</v>
      </c>
      <c r="M15" s="218">
        <f t="shared" si="1"/>
        <v>0</v>
      </c>
      <c r="N15" s="216">
        <f t="shared" ref="N15:N39" si="6">D15+G15-K15</f>
        <v>0</v>
      </c>
      <c r="O15" s="218">
        <f t="shared" si="4"/>
        <v>0</v>
      </c>
      <c r="P15" s="216"/>
    </row>
    <row r="16" spans="1:23">
      <c r="B16" s="216">
        <v>8</v>
      </c>
      <c r="C16" s="216"/>
      <c r="D16" s="216"/>
      <c r="E16" s="218">
        <f t="shared" si="2"/>
        <v>0</v>
      </c>
      <c r="F16" s="216"/>
      <c r="G16" s="216"/>
      <c r="H16" s="216"/>
      <c r="I16" s="216"/>
      <c r="J16" s="218">
        <f t="shared" si="3"/>
        <v>0</v>
      </c>
      <c r="K16" s="216">
        <v>0</v>
      </c>
      <c r="L16" s="219">
        <f t="shared" si="5"/>
        <v>0</v>
      </c>
      <c r="M16" s="218">
        <f t="shared" si="1"/>
        <v>0</v>
      </c>
      <c r="N16" s="216">
        <f t="shared" si="6"/>
        <v>0</v>
      </c>
      <c r="O16" s="218">
        <f t="shared" si="4"/>
        <v>0</v>
      </c>
      <c r="P16" s="216"/>
    </row>
    <row r="17" spans="2:16">
      <c r="B17" s="216">
        <v>9</v>
      </c>
      <c r="C17" s="216"/>
      <c r="D17" s="216"/>
      <c r="E17" s="218">
        <f t="shared" si="2"/>
        <v>0</v>
      </c>
      <c r="F17" s="216"/>
      <c r="G17" s="216"/>
      <c r="H17" s="216"/>
      <c r="I17" s="216"/>
      <c r="J17" s="218">
        <f t="shared" si="3"/>
        <v>0</v>
      </c>
      <c r="K17" s="216">
        <v>0</v>
      </c>
      <c r="L17" s="219">
        <f t="shared" si="5"/>
        <v>0</v>
      </c>
      <c r="M17" s="218">
        <f t="shared" si="1"/>
        <v>0</v>
      </c>
      <c r="N17" s="216">
        <f t="shared" si="6"/>
        <v>0</v>
      </c>
      <c r="O17" s="218">
        <f t="shared" si="4"/>
        <v>0</v>
      </c>
      <c r="P17" s="216"/>
    </row>
    <row r="18" spans="2:16">
      <c r="B18" s="13">
        <v>10</v>
      </c>
      <c r="C18" s="13"/>
      <c r="D18" s="13"/>
      <c r="E18" s="219">
        <f t="shared" si="2"/>
        <v>0</v>
      </c>
      <c r="F18" s="13"/>
      <c r="G18" s="13"/>
      <c r="H18" s="13"/>
      <c r="I18" s="13">
        <v>0</v>
      </c>
      <c r="J18" s="219">
        <f t="shared" si="3"/>
        <v>0</v>
      </c>
      <c r="K18" s="13"/>
      <c r="L18" s="219">
        <f t="shared" si="5"/>
        <v>0</v>
      </c>
      <c r="M18" s="219">
        <f t="shared" si="1"/>
        <v>0</v>
      </c>
      <c r="N18" s="13">
        <f t="shared" si="6"/>
        <v>0</v>
      </c>
      <c r="O18" s="219">
        <f t="shared" si="4"/>
        <v>0</v>
      </c>
      <c r="P18" s="216"/>
    </row>
    <row r="19" spans="2:16">
      <c r="B19" s="13">
        <v>11</v>
      </c>
      <c r="C19" s="13"/>
      <c r="D19" s="13"/>
      <c r="E19" s="219"/>
      <c r="F19" s="13"/>
      <c r="G19" s="13"/>
      <c r="H19" s="13"/>
      <c r="I19" s="13"/>
      <c r="J19" s="219"/>
      <c r="K19" s="13"/>
      <c r="L19" s="219">
        <f t="shared" si="5"/>
        <v>0</v>
      </c>
      <c r="M19" s="218">
        <f t="shared" si="1"/>
        <v>0</v>
      </c>
      <c r="N19" s="216">
        <f t="shared" si="6"/>
        <v>0</v>
      </c>
      <c r="O19" s="218">
        <f t="shared" si="4"/>
        <v>0</v>
      </c>
      <c r="P19" s="216"/>
    </row>
    <row r="20" spans="2:16">
      <c r="B20" s="216">
        <v>12</v>
      </c>
      <c r="C20" s="216"/>
      <c r="D20" s="216"/>
      <c r="E20" s="218">
        <f t="shared" si="2"/>
        <v>0</v>
      </c>
      <c r="F20" s="216"/>
      <c r="G20" s="216"/>
      <c r="H20" s="216"/>
      <c r="I20" s="216">
        <v>0</v>
      </c>
      <c r="J20" s="218">
        <f t="shared" si="3"/>
        <v>0</v>
      </c>
      <c r="K20" s="216">
        <v>0</v>
      </c>
      <c r="L20" s="219">
        <f t="shared" si="5"/>
        <v>0</v>
      </c>
      <c r="M20" s="218">
        <f t="shared" si="1"/>
        <v>0</v>
      </c>
      <c r="N20" s="216">
        <f t="shared" si="6"/>
        <v>0</v>
      </c>
      <c r="O20" s="218">
        <f t="shared" si="4"/>
        <v>0</v>
      </c>
      <c r="P20" s="216"/>
    </row>
    <row r="21" spans="2:16">
      <c r="B21" s="13">
        <v>13</v>
      </c>
      <c r="C21" s="13"/>
      <c r="D21" s="13"/>
      <c r="E21" s="219">
        <f t="shared" si="2"/>
        <v>0</v>
      </c>
      <c r="F21" s="13"/>
      <c r="G21" s="13"/>
      <c r="H21" s="13"/>
      <c r="I21" s="13"/>
      <c r="J21" s="219"/>
      <c r="K21" s="13"/>
      <c r="L21" s="219">
        <f t="shared" si="5"/>
        <v>0</v>
      </c>
      <c r="M21" s="219">
        <f t="shared" si="1"/>
        <v>0</v>
      </c>
      <c r="N21" s="13">
        <f t="shared" si="6"/>
        <v>0</v>
      </c>
      <c r="O21" s="219">
        <f t="shared" si="4"/>
        <v>0</v>
      </c>
      <c r="P21" s="216"/>
    </row>
    <row r="22" spans="2:16">
      <c r="B22" s="13">
        <v>14</v>
      </c>
      <c r="C22" s="13"/>
      <c r="D22" s="13"/>
      <c r="E22" s="219"/>
      <c r="F22" s="13"/>
      <c r="G22" s="13"/>
      <c r="H22" s="13"/>
      <c r="I22" s="13"/>
      <c r="J22" s="219"/>
      <c r="K22" s="13"/>
      <c r="L22" s="219">
        <f t="shared" si="5"/>
        <v>0</v>
      </c>
      <c r="M22" s="218">
        <f t="shared" si="1"/>
        <v>0</v>
      </c>
      <c r="N22" s="216">
        <f t="shared" si="6"/>
        <v>0</v>
      </c>
      <c r="O22" s="218">
        <f t="shared" si="4"/>
        <v>0</v>
      </c>
      <c r="P22" s="216"/>
    </row>
    <row r="23" spans="2:16">
      <c r="B23" s="216">
        <v>15</v>
      </c>
      <c r="C23" s="216"/>
      <c r="D23" s="216"/>
      <c r="E23" s="218">
        <f t="shared" si="2"/>
        <v>0</v>
      </c>
      <c r="F23" s="216"/>
      <c r="G23" s="216"/>
      <c r="H23" s="216"/>
      <c r="I23" s="216">
        <v>0</v>
      </c>
      <c r="J23" s="218">
        <f t="shared" si="3"/>
        <v>0</v>
      </c>
      <c r="K23" s="216">
        <v>0</v>
      </c>
      <c r="L23" s="219">
        <f t="shared" si="5"/>
        <v>0</v>
      </c>
      <c r="M23" s="218">
        <f t="shared" si="1"/>
        <v>0</v>
      </c>
      <c r="N23" s="216">
        <f t="shared" si="6"/>
        <v>0</v>
      </c>
      <c r="O23" s="218">
        <f t="shared" si="4"/>
        <v>0</v>
      </c>
      <c r="P23" s="216"/>
    </row>
    <row r="24" spans="2:16">
      <c r="B24" s="216">
        <v>16</v>
      </c>
      <c r="C24" s="216"/>
      <c r="D24" s="216"/>
      <c r="E24" s="218">
        <f t="shared" si="2"/>
        <v>0</v>
      </c>
      <c r="F24" s="216"/>
      <c r="G24" s="216"/>
      <c r="H24" s="216"/>
      <c r="I24" s="216">
        <v>0</v>
      </c>
      <c r="J24" s="218">
        <f t="shared" si="3"/>
        <v>0</v>
      </c>
      <c r="K24" s="216"/>
      <c r="L24" s="219">
        <f t="shared" si="5"/>
        <v>0</v>
      </c>
      <c r="M24" s="218">
        <f t="shared" si="1"/>
        <v>0</v>
      </c>
      <c r="N24" s="216">
        <f t="shared" si="6"/>
        <v>0</v>
      </c>
      <c r="O24" s="218">
        <f t="shared" si="4"/>
        <v>0</v>
      </c>
      <c r="P24" s="216"/>
    </row>
    <row r="25" spans="2:16">
      <c r="B25" s="13">
        <v>17</v>
      </c>
      <c r="C25" s="13"/>
      <c r="D25" s="13"/>
      <c r="E25" s="219">
        <f t="shared" si="2"/>
        <v>0</v>
      </c>
      <c r="F25" s="13"/>
      <c r="G25" s="13"/>
      <c r="H25" s="13"/>
      <c r="I25" s="13">
        <v>0</v>
      </c>
      <c r="J25" s="219">
        <f t="shared" si="3"/>
        <v>0</v>
      </c>
      <c r="K25" s="13"/>
      <c r="L25" s="219">
        <f t="shared" si="5"/>
        <v>0</v>
      </c>
      <c r="M25" s="219">
        <f>K25*R$7/1000</f>
        <v>0</v>
      </c>
      <c r="N25" s="13">
        <f t="shared" si="6"/>
        <v>0</v>
      </c>
      <c r="O25" s="219">
        <f t="shared" si="4"/>
        <v>0</v>
      </c>
      <c r="P25" s="216"/>
    </row>
    <row r="26" spans="2:16">
      <c r="B26" s="216">
        <v>18</v>
      </c>
      <c r="C26" s="216"/>
      <c r="D26" s="216"/>
      <c r="E26" s="218">
        <f t="shared" si="2"/>
        <v>0</v>
      </c>
      <c r="F26" s="216"/>
      <c r="G26" s="216"/>
      <c r="H26" s="216"/>
      <c r="I26" s="216">
        <v>0</v>
      </c>
      <c r="J26" s="218">
        <f t="shared" si="3"/>
        <v>0</v>
      </c>
      <c r="K26" s="216">
        <v>0</v>
      </c>
      <c r="L26" s="219">
        <f t="shared" si="5"/>
        <v>0</v>
      </c>
      <c r="M26" s="218">
        <f t="shared" ref="M26:M39" si="7">K26*R$7/1000</f>
        <v>0</v>
      </c>
      <c r="N26" s="216">
        <f t="shared" si="6"/>
        <v>0</v>
      </c>
      <c r="O26" s="218">
        <f t="shared" si="4"/>
        <v>0</v>
      </c>
      <c r="P26" s="216"/>
    </row>
    <row r="27" spans="2:16">
      <c r="B27" s="13"/>
      <c r="C27" s="13"/>
      <c r="D27" s="13"/>
      <c r="E27" s="219"/>
      <c r="F27" s="13"/>
      <c r="G27" s="13"/>
      <c r="H27" s="13"/>
      <c r="I27" s="13"/>
      <c r="J27" s="219"/>
      <c r="K27" s="13"/>
      <c r="L27" s="219">
        <f t="shared" si="5"/>
        <v>0</v>
      </c>
      <c r="M27" s="218">
        <f t="shared" si="7"/>
        <v>0</v>
      </c>
      <c r="N27" s="216">
        <f t="shared" si="6"/>
        <v>0</v>
      </c>
      <c r="O27" s="218">
        <f t="shared" si="4"/>
        <v>0</v>
      </c>
      <c r="P27" s="216"/>
    </row>
    <row r="28" spans="2:16">
      <c r="B28" s="216">
        <v>20</v>
      </c>
      <c r="C28" s="216"/>
      <c r="D28" s="216"/>
      <c r="E28" s="218">
        <f t="shared" si="2"/>
        <v>0</v>
      </c>
      <c r="F28" s="216"/>
      <c r="G28" s="216"/>
      <c r="H28" s="216"/>
      <c r="I28" s="216">
        <v>0</v>
      </c>
      <c r="J28" s="218">
        <f t="shared" si="3"/>
        <v>0</v>
      </c>
      <c r="K28" s="216">
        <v>0</v>
      </c>
      <c r="L28" s="219">
        <f t="shared" si="5"/>
        <v>0</v>
      </c>
      <c r="M28" s="218">
        <f t="shared" si="7"/>
        <v>0</v>
      </c>
      <c r="N28" s="216">
        <f t="shared" si="6"/>
        <v>0</v>
      </c>
      <c r="O28" s="218">
        <f t="shared" si="4"/>
        <v>0</v>
      </c>
      <c r="P28" s="216"/>
    </row>
    <row r="29" spans="2:16">
      <c r="B29" s="216">
        <v>21</v>
      </c>
      <c r="C29" s="216"/>
      <c r="D29" s="216"/>
      <c r="E29" s="218">
        <f t="shared" si="2"/>
        <v>0</v>
      </c>
      <c r="F29" s="216"/>
      <c r="G29" s="216"/>
      <c r="H29" s="216"/>
      <c r="I29" s="216">
        <v>0</v>
      </c>
      <c r="J29" s="218">
        <f t="shared" si="3"/>
        <v>0</v>
      </c>
      <c r="K29" s="216">
        <v>0</v>
      </c>
      <c r="L29" s="219">
        <f t="shared" si="5"/>
        <v>0</v>
      </c>
      <c r="M29" s="218">
        <f t="shared" si="7"/>
        <v>0</v>
      </c>
      <c r="N29" s="216">
        <f t="shared" si="6"/>
        <v>0</v>
      </c>
      <c r="O29" s="218">
        <f t="shared" si="4"/>
        <v>0</v>
      </c>
      <c r="P29" s="216"/>
    </row>
    <row r="30" spans="2:16">
      <c r="B30" s="13">
        <v>22</v>
      </c>
      <c r="C30" s="13"/>
      <c r="D30" s="13"/>
      <c r="E30" s="219">
        <f t="shared" si="2"/>
        <v>0</v>
      </c>
      <c r="F30" s="13"/>
      <c r="G30" s="13"/>
      <c r="H30" s="13"/>
      <c r="I30" s="13">
        <v>0</v>
      </c>
      <c r="J30" s="219">
        <f t="shared" si="3"/>
        <v>0</v>
      </c>
      <c r="K30" s="13"/>
      <c r="L30" s="219">
        <f t="shared" si="5"/>
        <v>0</v>
      </c>
      <c r="M30" s="219">
        <f t="shared" si="7"/>
        <v>0</v>
      </c>
      <c r="N30" s="13">
        <f t="shared" si="6"/>
        <v>0</v>
      </c>
      <c r="O30" s="219">
        <f t="shared" si="4"/>
        <v>0</v>
      </c>
      <c r="P30" s="216"/>
    </row>
    <row r="31" spans="2:16">
      <c r="B31" s="216">
        <v>23</v>
      </c>
      <c r="C31" s="216"/>
      <c r="D31" s="216"/>
      <c r="E31" s="218">
        <f t="shared" si="2"/>
        <v>0</v>
      </c>
      <c r="F31" s="216"/>
      <c r="G31" s="216"/>
      <c r="H31" s="216"/>
      <c r="I31" s="216">
        <v>0</v>
      </c>
      <c r="J31" s="218">
        <f t="shared" si="3"/>
        <v>0</v>
      </c>
      <c r="K31" s="216">
        <v>0</v>
      </c>
      <c r="L31" s="219">
        <f t="shared" si="5"/>
        <v>0</v>
      </c>
      <c r="M31" s="218">
        <f t="shared" si="7"/>
        <v>0</v>
      </c>
      <c r="N31" s="216">
        <f t="shared" si="6"/>
        <v>0</v>
      </c>
      <c r="O31" s="218">
        <f t="shared" si="4"/>
        <v>0</v>
      </c>
      <c r="P31" s="216"/>
    </row>
    <row r="32" spans="2:16">
      <c r="B32" s="13">
        <v>24</v>
      </c>
      <c r="C32" s="13"/>
      <c r="D32" s="13"/>
      <c r="E32" s="219"/>
      <c r="F32" s="13"/>
      <c r="G32" s="13"/>
      <c r="H32" s="13"/>
      <c r="I32" s="13"/>
      <c r="J32" s="219"/>
      <c r="K32" s="13"/>
      <c r="L32" s="219">
        <f t="shared" si="5"/>
        <v>0</v>
      </c>
      <c r="M32" s="218">
        <f t="shared" si="7"/>
        <v>0</v>
      </c>
      <c r="N32" s="216">
        <f t="shared" si="6"/>
        <v>0</v>
      </c>
      <c r="O32" s="218">
        <f t="shared" si="4"/>
        <v>0</v>
      </c>
      <c r="P32" s="216"/>
    </row>
    <row r="33" spans="2:16">
      <c r="B33" s="13">
        <v>25</v>
      </c>
      <c r="C33" s="13"/>
      <c r="D33" s="13"/>
      <c r="E33" s="219">
        <f t="shared" si="2"/>
        <v>0</v>
      </c>
      <c r="F33" s="13"/>
      <c r="G33" s="13"/>
      <c r="H33" s="13"/>
      <c r="I33" s="13">
        <v>0</v>
      </c>
      <c r="J33" s="219">
        <f t="shared" si="3"/>
        <v>0</v>
      </c>
      <c r="K33" s="13"/>
      <c r="L33" s="219">
        <f t="shared" si="5"/>
        <v>0</v>
      </c>
      <c r="M33" s="219">
        <f t="shared" si="7"/>
        <v>0</v>
      </c>
      <c r="N33" s="13">
        <f t="shared" si="6"/>
        <v>0</v>
      </c>
      <c r="O33" s="219">
        <f t="shared" si="4"/>
        <v>0</v>
      </c>
      <c r="P33" s="216"/>
    </row>
    <row r="34" spans="2:16">
      <c r="B34" s="216">
        <v>26</v>
      </c>
      <c r="C34" s="216"/>
      <c r="D34" s="216"/>
      <c r="E34" s="218">
        <f t="shared" si="2"/>
        <v>0</v>
      </c>
      <c r="F34" s="216"/>
      <c r="G34" s="216"/>
      <c r="H34" s="218"/>
      <c r="I34" s="216">
        <v>0</v>
      </c>
      <c r="J34" s="218">
        <f t="shared" si="3"/>
        <v>0</v>
      </c>
      <c r="K34" s="216">
        <v>0</v>
      </c>
      <c r="L34" s="219">
        <f t="shared" si="5"/>
        <v>0</v>
      </c>
      <c r="M34" s="218">
        <f t="shared" si="7"/>
        <v>0</v>
      </c>
      <c r="N34" s="216">
        <f t="shared" si="6"/>
        <v>0</v>
      </c>
      <c r="O34" s="218">
        <f t="shared" si="4"/>
        <v>0</v>
      </c>
      <c r="P34" s="216"/>
    </row>
    <row r="35" spans="2:16">
      <c r="B35" s="217">
        <v>27</v>
      </c>
      <c r="C35" s="217"/>
      <c r="D35" s="1147"/>
      <c r="E35" s="1148"/>
      <c r="F35" s="217"/>
      <c r="G35" s="217"/>
      <c r="H35" s="221"/>
      <c r="I35" s="217">
        <v>0</v>
      </c>
      <c r="J35" s="221">
        <f t="shared" si="3"/>
        <v>0</v>
      </c>
      <c r="K35" s="217">
        <v>0</v>
      </c>
      <c r="L35" s="219">
        <f t="shared" si="5"/>
        <v>0</v>
      </c>
      <c r="M35" s="221">
        <f t="shared" si="7"/>
        <v>0</v>
      </c>
      <c r="N35" s="217">
        <v>0</v>
      </c>
      <c r="O35" s="221">
        <f t="shared" si="4"/>
        <v>0</v>
      </c>
      <c r="P35" s="216"/>
    </row>
    <row r="36" spans="2:16">
      <c r="B36" s="216">
        <v>28</v>
      </c>
      <c r="C36" s="216"/>
      <c r="D36" s="216"/>
      <c r="E36" s="218">
        <f t="shared" si="2"/>
        <v>0</v>
      </c>
      <c r="F36" s="216"/>
      <c r="G36" s="216"/>
      <c r="H36" s="218"/>
      <c r="I36" s="216">
        <v>0</v>
      </c>
      <c r="J36" s="218">
        <f t="shared" si="3"/>
        <v>0</v>
      </c>
      <c r="K36" s="216">
        <v>0</v>
      </c>
      <c r="L36" s="219">
        <f t="shared" si="5"/>
        <v>0</v>
      </c>
      <c r="M36" s="218">
        <f t="shared" si="7"/>
        <v>0</v>
      </c>
      <c r="N36" s="216">
        <f t="shared" si="6"/>
        <v>0</v>
      </c>
      <c r="O36" s="218">
        <f t="shared" si="4"/>
        <v>0</v>
      </c>
      <c r="P36" s="216"/>
    </row>
    <row r="37" spans="2:16">
      <c r="B37" s="216">
        <v>29</v>
      </c>
      <c r="C37" s="216"/>
      <c r="D37" s="216"/>
      <c r="E37" s="218">
        <f t="shared" si="2"/>
        <v>0</v>
      </c>
      <c r="F37" s="216"/>
      <c r="G37" s="216"/>
      <c r="H37" s="218"/>
      <c r="I37" s="216">
        <v>0</v>
      </c>
      <c r="J37" s="218">
        <f t="shared" si="3"/>
        <v>0</v>
      </c>
      <c r="K37" s="216">
        <v>0</v>
      </c>
      <c r="L37" s="219">
        <f t="shared" si="5"/>
        <v>0</v>
      </c>
      <c r="M37" s="218">
        <f t="shared" si="7"/>
        <v>0</v>
      </c>
      <c r="N37" s="216">
        <f t="shared" si="6"/>
        <v>0</v>
      </c>
      <c r="O37" s="218">
        <f t="shared" si="4"/>
        <v>0</v>
      </c>
      <c r="P37" s="216"/>
    </row>
    <row r="38" spans="2:16">
      <c r="B38" s="216">
        <v>30</v>
      </c>
      <c r="D38" s="216"/>
      <c r="E38" s="218">
        <f t="shared" si="2"/>
        <v>0</v>
      </c>
      <c r="F38" s="3"/>
      <c r="G38" s="3"/>
      <c r="H38" s="218"/>
      <c r="I38" s="216"/>
      <c r="J38" s="218">
        <f t="shared" si="3"/>
        <v>0</v>
      </c>
      <c r="K38" s="3"/>
      <c r="L38" s="219">
        <f t="shared" si="5"/>
        <v>0</v>
      </c>
      <c r="M38" s="218">
        <f t="shared" si="7"/>
        <v>0</v>
      </c>
      <c r="N38" s="216">
        <f t="shared" si="6"/>
        <v>0</v>
      </c>
      <c r="O38" s="218">
        <f t="shared" si="4"/>
        <v>0</v>
      </c>
      <c r="P38" s="3"/>
    </row>
    <row r="39" spans="2:16">
      <c r="B39" s="222">
        <v>31</v>
      </c>
      <c r="D39" s="216"/>
      <c r="E39" s="218">
        <f t="shared" si="2"/>
        <v>0</v>
      </c>
      <c r="F39" s="223"/>
      <c r="G39" s="223"/>
      <c r="H39" s="218"/>
      <c r="I39" s="216"/>
      <c r="J39" s="218">
        <f t="shared" si="3"/>
        <v>0</v>
      </c>
      <c r="K39" s="223"/>
      <c r="L39" s="219">
        <f t="shared" si="5"/>
        <v>0</v>
      </c>
      <c r="M39" s="218">
        <f t="shared" si="7"/>
        <v>0</v>
      </c>
      <c r="N39" s="216">
        <f t="shared" si="6"/>
        <v>0</v>
      </c>
      <c r="O39" s="218">
        <f t="shared" si="4"/>
        <v>0</v>
      </c>
      <c r="P39" s="223"/>
    </row>
    <row r="40" spans="2:16">
      <c r="B40" s="928" t="s">
        <v>10</v>
      </c>
      <c r="C40" s="929"/>
      <c r="D40" s="929"/>
      <c r="E40" s="930"/>
      <c r="F40" s="130">
        <f t="shared" ref="F40:M40" si="8">SUM(F9:F39)</f>
        <v>0</v>
      </c>
      <c r="G40" s="224">
        <f t="shared" si="8"/>
        <v>0</v>
      </c>
      <c r="H40" s="224">
        <f t="shared" si="8"/>
        <v>0</v>
      </c>
      <c r="I40" s="130"/>
      <c r="J40" s="130"/>
      <c r="K40" s="224">
        <f t="shared" si="8"/>
        <v>0</v>
      </c>
      <c r="L40" s="224">
        <f t="shared" si="8"/>
        <v>0</v>
      </c>
      <c r="M40" s="130">
        <f t="shared" si="8"/>
        <v>0</v>
      </c>
      <c r="N40" s="130"/>
      <c r="O40" s="130"/>
      <c r="P40" s="3"/>
    </row>
    <row r="42" spans="2:16">
      <c r="B42" s="931" t="s">
        <v>23</v>
      </c>
      <c r="C42" s="931"/>
      <c r="D42" s="931"/>
      <c r="E42" s="8">
        <f>G40*R7/1000</f>
        <v>0</v>
      </c>
    </row>
  </sheetData>
  <mergeCells count="19">
    <mergeCell ref="B2:P2"/>
    <mergeCell ref="R2:S2"/>
    <mergeCell ref="B3:P3"/>
    <mergeCell ref="R3:U3"/>
    <mergeCell ref="B4:P4"/>
    <mergeCell ref="R4:U4"/>
    <mergeCell ref="A5:P5"/>
    <mergeCell ref="R5:U5"/>
    <mergeCell ref="D6:F6"/>
    <mergeCell ref="G6:H6"/>
    <mergeCell ref="I6:J6"/>
    <mergeCell ref="K6:L6"/>
    <mergeCell ref="N6:O6"/>
    <mergeCell ref="R6:U6"/>
    <mergeCell ref="R7:U7"/>
    <mergeCell ref="R8:U8"/>
    <mergeCell ref="D35:E35"/>
    <mergeCell ref="B40:E40"/>
    <mergeCell ref="B42:D42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T54"/>
  <sheetViews>
    <sheetView workbookViewId="0">
      <pane ySplit="5" topLeftCell="A36" activePane="bottomLeft" state="frozen"/>
      <selection pane="bottomLeft" activeCell="Q48" sqref="Q48"/>
    </sheetView>
  </sheetViews>
  <sheetFormatPr defaultColWidth="9" defaultRowHeight="15"/>
  <cols>
    <col min="1" max="1" width="6.5703125" customWidth="1"/>
    <col min="2" max="2" width="19.7109375" customWidth="1"/>
    <col min="3" max="3" width="8.5703125" customWidth="1"/>
    <col min="4" max="4" width="7.28515625" customWidth="1"/>
    <col min="5" max="5" width="10.85546875" customWidth="1"/>
    <col min="6" max="6" width="7.5703125" customWidth="1"/>
    <col min="7" max="7" width="10.85546875" customWidth="1"/>
    <col min="8" max="8" width="7.140625" customWidth="1"/>
    <col min="9" max="9" width="10.7109375" customWidth="1"/>
    <col min="10" max="10" width="8.42578125" customWidth="1"/>
    <col min="11" max="11" width="8" customWidth="1"/>
    <col min="12" max="12" width="7.5703125" customWidth="1"/>
    <col min="13" max="13" width="8" customWidth="1"/>
    <col min="14" max="14" width="7.140625" customWidth="1"/>
    <col min="15" max="15" width="8.140625" customWidth="1"/>
    <col min="16" max="16" width="8.28515625" customWidth="1"/>
    <col min="17" max="17" width="11" customWidth="1"/>
    <col min="18" max="18" width="7.42578125" customWidth="1"/>
    <col min="19" max="19" width="8.5703125" customWidth="1"/>
    <col min="20" max="20" width="7.42578125" customWidth="1"/>
  </cols>
  <sheetData>
    <row r="1" spans="1:20" ht="18">
      <c r="B1" s="1139" t="s">
        <v>355</v>
      </c>
      <c r="C1" s="1139"/>
      <c r="D1" s="1139"/>
      <c r="E1" s="1139"/>
      <c r="F1" s="1139"/>
      <c r="G1" s="1139"/>
      <c r="H1" s="1139"/>
      <c r="I1" s="1139"/>
      <c r="J1" s="1139"/>
      <c r="K1" s="1139"/>
      <c r="L1" s="1139"/>
      <c r="M1" s="1139"/>
      <c r="N1" s="1139"/>
      <c r="O1" s="1139"/>
      <c r="P1" s="1139"/>
      <c r="Q1" s="1139"/>
    </row>
    <row r="2" spans="1:20" ht="15.75">
      <c r="B2" s="1140" t="s">
        <v>507</v>
      </c>
      <c r="C2" s="1141"/>
      <c r="D2" s="1141"/>
      <c r="E2" s="1141"/>
      <c r="F2" s="1141"/>
      <c r="G2" s="1141"/>
      <c r="H2" s="1141"/>
      <c r="I2" s="1141"/>
      <c r="J2" s="1141"/>
      <c r="K2" s="1141"/>
      <c r="L2" s="1141"/>
      <c r="M2" s="1141"/>
      <c r="N2" s="1141"/>
      <c r="O2" s="1141"/>
      <c r="P2" s="1141"/>
      <c r="Q2" s="1141"/>
    </row>
    <row r="3" spans="1:20">
      <c r="B3" s="1143" t="s">
        <v>407</v>
      </c>
      <c r="C3" s="1143"/>
      <c r="D3" s="1143"/>
      <c r="E3" s="1143"/>
      <c r="F3" s="1143"/>
      <c r="G3" s="1143"/>
      <c r="H3" s="1143"/>
      <c r="I3" s="1143"/>
      <c r="J3" s="1143"/>
      <c r="K3" s="1143"/>
      <c r="L3" s="1143"/>
      <c r="M3" s="1143"/>
      <c r="N3" s="1143"/>
      <c r="O3" s="1143"/>
      <c r="P3" s="1143"/>
      <c r="Q3" s="1143"/>
    </row>
    <row r="4" spans="1:20">
      <c r="B4" s="167" t="s">
        <v>356</v>
      </c>
      <c r="C4" s="1145" t="s">
        <v>357</v>
      </c>
      <c r="D4" s="1144" t="s">
        <v>358</v>
      </c>
      <c r="E4" s="1144"/>
      <c r="F4" s="1144" t="s">
        <v>359</v>
      </c>
      <c r="G4" s="1144"/>
      <c r="H4" s="1144" t="s">
        <v>360</v>
      </c>
      <c r="I4" s="1144"/>
      <c r="J4" s="1144" t="s">
        <v>361</v>
      </c>
      <c r="K4" s="1144"/>
      <c r="L4" s="1144" t="s">
        <v>362</v>
      </c>
      <c r="M4" s="1144"/>
      <c r="N4" s="1144" t="s">
        <v>363</v>
      </c>
      <c r="O4" s="1144"/>
      <c r="P4" s="1144" t="s">
        <v>364</v>
      </c>
      <c r="Q4" s="1144"/>
    </row>
    <row r="5" spans="1:20" ht="30">
      <c r="A5" s="170" t="s">
        <v>102</v>
      </c>
      <c r="B5" s="129" t="s">
        <v>301</v>
      </c>
      <c r="C5" s="1144"/>
      <c r="D5" s="171" t="s">
        <v>365</v>
      </c>
      <c r="E5" s="129" t="s">
        <v>366</v>
      </c>
      <c r="F5" s="171" t="s">
        <v>365</v>
      </c>
      <c r="G5" s="129" t="s">
        <v>366</v>
      </c>
      <c r="H5" s="171" t="s">
        <v>365</v>
      </c>
      <c r="I5" s="129" t="s">
        <v>366</v>
      </c>
      <c r="J5" s="171" t="s">
        <v>365</v>
      </c>
      <c r="K5" s="129" t="s">
        <v>366</v>
      </c>
      <c r="L5" s="171" t="s">
        <v>365</v>
      </c>
      <c r="M5" s="129" t="s">
        <v>366</v>
      </c>
      <c r="N5" s="171" t="s">
        <v>365</v>
      </c>
      <c r="O5" s="129" t="s">
        <v>366</v>
      </c>
      <c r="P5" s="171" t="s">
        <v>365</v>
      </c>
      <c r="Q5" s="129" t="s">
        <v>366</v>
      </c>
      <c r="R5" s="208" t="s">
        <v>367</v>
      </c>
      <c r="S5" s="10" t="s">
        <v>368</v>
      </c>
      <c r="T5" s="208" t="s">
        <v>369</v>
      </c>
    </row>
    <row r="6" spans="1:20">
      <c r="A6" s="170">
        <v>1</v>
      </c>
      <c r="B6" s="129" t="s">
        <v>370</v>
      </c>
      <c r="C6" s="129">
        <v>331.69499999999999</v>
      </c>
      <c r="D6" s="129">
        <f>+'39-6-OZ'!D9</f>
        <v>43</v>
      </c>
      <c r="E6" s="130">
        <f>+D6*C6/1000</f>
        <v>14.262885000000001</v>
      </c>
      <c r="F6" s="172">
        <f>+'39-6-OZ'!G40</f>
        <v>89</v>
      </c>
      <c r="G6" s="130">
        <f>+F6*C6/1000</f>
        <v>29.520855000000001</v>
      </c>
      <c r="H6" s="172">
        <f>+'39-6-OZ'!K40</f>
        <v>115</v>
      </c>
      <c r="I6" s="130">
        <f>H6*C6/1000</f>
        <v>38.144924999999994</v>
      </c>
      <c r="J6" s="129"/>
      <c r="K6" s="130">
        <f>J6*E6/1000</f>
        <v>0</v>
      </c>
      <c r="L6" s="129"/>
      <c r="M6" s="130">
        <f>L6*G6/1000</f>
        <v>0</v>
      </c>
      <c r="N6" s="129"/>
      <c r="O6" s="130">
        <f>N6*I6/1000</f>
        <v>0</v>
      </c>
      <c r="P6" s="129">
        <f>+D6+F6-H6+J6+L6-N6</f>
        <v>17</v>
      </c>
      <c r="Q6" s="130">
        <f>+E6+G6-I6+K6+M6-O6</f>
        <v>5.6388150000000081</v>
      </c>
      <c r="R6" s="130">
        <f>+F6*T6/1000</f>
        <v>0.22143199999999999</v>
      </c>
      <c r="S6" s="130">
        <f>+H6*T6/1000</f>
        <v>0.28611999999999999</v>
      </c>
      <c r="T6" s="129">
        <v>2.488</v>
      </c>
    </row>
    <row r="7" spans="1:20">
      <c r="A7" s="170">
        <v>2</v>
      </c>
      <c r="B7" s="129" t="s">
        <v>371</v>
      </c>
      <c r="C7" s="129">
        <v>437.38400000000001</v>
      </c>
      <c r="D7" s="129">
        <f>+'38-8.12-OZ '!D9</f>
        <v>40</v>
      </c>
      <c r="E7" s="130">
        <f>+D7*C7/1000</f>
        <v>17.495360000000002</v>
      </c>
      <c r="F7" s="172">
        <f>+'38-8.12-OZ '!G40</f>
        <v>79</v>
      </c>
      <c r="G7" s="130">
        <f>+F7*C7/1000</f>
        <v>34.553336000000002</v>
      </c>
      <c r="H7" s="172">
        <f>+'38-8.12-OZ '!K40</f>
        <v>101</v>
      </c>
      <c r="I7" s="130">
        <f t="shared" ref="I7:I29" si="0">H7*C7/1000</f>
        <v>44.175784</v>
      </c>
      <c r="J7" s="129"/>
      <c r="K7" s="130">
        <f t="shared" ref="K7:K29" si="1">J7*E7/1000</f>
        <v>0</v>
      </c>
      <c r="L7" s="129"/>
      <c r="M7" s="130">
        <f t="shared" ref="M7:M29" si="2">L7*G7/1000</f>
        <v>0</v>
      </c>
      <c r="N7" s="129"/>
      <c r="O7" s="130">
        <f t="shared" ref="O7:O29" si="3">N7*I7/1000</f>
        <v>0</v>
      </c>
      <c r="P7" s="129">
        <f t="shared" ref="P7:Q36" si="4">+D7+F7-H7+J7+L7-N7</f>
        <v>18</v>
      </c>
      <c r="Q7" s="130">
        <f>+E7+G7-I7+K7+M7-O7</f>
        <v>7.8729120000000066</v>
      </c>
      <c r="R7" s="130">
        <f t="shared" ref="R7:R36" si="5">+F7*T7/1000</f>
        <v>0.25912000000000002</v>
      </c>
      <c r="S7" s="130">
        <f t="shared" ref="S7:S36" si="6">+H7*T7/1000</f>
        <v>0.33127999999999996</v>
      </c>
      <c r="T7" s="129">
        <v>3.28</v>
      </c>
    </row>
    <row r="8" spans="1:20">
      <c r="A8" s="170">
        <v>3</v>
      </c>
      <c r="B8" s="129" t="s">
        <v>376</v>
      </c>
      <c r="C8" s="130">
        <v>368.55</v>
      </c>
      <c r="D8" s="129">
        <f>+'40-6.5'!D9</f>
        <v>7</v>
      </c>
      <c r="E8" s="130">
        <f>+D8*C8/1000</f>
        <v>2.57985</v>
      </c>
      <c r="F8" s="172">
        <f>+'40-6.5'!G40</f>
        <v>85</v>
      </c>
      <c r="G8" s="130">
        <f>+F8*C8/1000</f>
        <v>31.326750000000001</v>
      </c>
      <c r="H8" s="172">
        <f>+'40-6.5'!K40</f>
        <v>73</v>
      </c>
      <c r="I8" s="130">
        <f t="shared" si="0"/>
        <v>26.904150000000001</v>
      </c>
      <c r="J8" s="129"/>
      <c r="K8" s="130">
        <f t="shared" si="1"/>
        <v>0</v>
      </c>
      <c r="L8" s="129"/>
      <c r="M8" s="130">
        <f t="shared" si="2"/>
        <v>0</v>
      </c>
      <c r="N8" s="129"/>
      <c r="O8" s="130">
        <f t="shared" si="3"/>
        <v>0</v>
      </c>
      <c r="P8" s="129">
        <f t="shared" si="4"/>
        <v>19</v>
      </c>
      <c r="Q8" s="130">
        <f>+E8+G8-I8+K8+M8-O8</f>
        <v>7.0024499999999961</v>
      </c>
      <c r="R8" s="130">
        <f t="shared" si="5"/>
        <v>0.23493999999999998</v>
      </c>
      <c r="S8" s="129">
        <f t="shared" si="6"/>
        <v>0.20177199999999998</v>
      </c>
      <c r="T8" s="129">
        <v>2.7639999999999998</v>
      </c>
    </row>
    <row r="9" spans="1:20">
      <c r="A9" s="170">
        <v>4</v>
      </c>
      <c r="B9" s="129" t="s">
        <v>372</v>
      </c>
      <c r="C9" s="130">
        <v>255.15</v>
      </c>
      <c r="D9" s="129"/>
      <c r="E9" s="130">
        <f>+D9*C9/1000</f>
        <v>0</v>
      </c>
      <c r="F9" s="129"/>
      <c r="G9" s="130">
        <f>+F9*C9/1000</f>
        <v>0</v>
      </c>
      <c r="H9" s="129"/>
      <c r="I9" s="130">
        <f t="shared" si="0"/>
        <v>0</v>
      </c>
      <c r="J9" s="129"/>
      <c r="K9" s="130">
        <f t="shared" si="1"/>
        <v>0</v>
      </c>
      <c r="L9" s="129"/>
      <c r="M9" s="130">
        <f t="shared" si="2"/>
        <v>0</v>
      </c>
      <c r="N9" s="129"/>
      <c r="O9" s="130">
        <f t="shared" si="3"/>
        <v>0</v>
      </c>
      <c r="P9" s="129">
        <f t="shared" si="4"/>
        <v>0</v>
      </c>
      <c r="Q9" s="129">
        <f t="shared" si="4"/>
        <v>0</v>
      </c>
      <c r="R9" s="130">
        <f t="shared" si="5"/>
        <v>0</v>
      </c>
      <c r="S9" s="129">
        <f t="shared" si="6"/>
        <v>0</v>
      </c>
      <c r="T9" s="129">
        <v>1.194</v>
      </c>
    </row>
    <row r="10" spans="1:20">
      <c r="A10" s="170">
        <v>5</v>
      </c>
      <c r="B10" s="129" t="s">
        <v>312</v>
      </c>
      <c r="C10" s="129">
        <v>405.40499999999997</v>
      </c>
      <c r="D10" s="129">
        <f>+'44-7.15 '!D9</f>
        <v>0</v>
      </c>
      <c r="E10" s="130">
        <f t="shared" ref="E10:E29" si="7">+D10*C10/1000</f>
        <v>0</v>
      </c>
      <c r="F10" s="172">
        <f>+'44-7.15 '!G40</f>
        <v>0</v>
      </c>
      <c r="G10" s="130">
        <f t="shared" ref="G10:G29" si="8">+F10*C10/1000</f>
        <v>0</v>
      </c>
      <c r="H10" s="172">
        <f>+'44-7.15 '!K40</f>
        <v>0</v>
      </c>
      <c r="I10" s="130">
        <f t="shared" si="0"/>
        <v>0</v>
      </c>
      <c r="J10" s="129"/>
      <c r="K10" s="130">
        <f t="shared" si="1"/>
        <v>0</v>
      </c>
      <c r="L10" s="129"/>
      <c r="M10" s="130">
        <f t="shared" si="2"/>
        <v>0</v>
      </c>
      <c r="N10" s="129"/>
      <c r="O10" s="130">
        <f t="shared" si="3"/>
        <v>0</v>
      </c>
      <c r="P10" s="129">
        <f t="shared" si="4"/>
        <v>0</v>
      </c>
      <c r="Q10" s="129">
        <f t="shared" si="4"/>
        <v>0</v>
      </c>
      <c r="R10" s="130">
        <f t="shared" si="5"/>
        <v>0</v>
      </c>
      <c r="S10" s="129">
        <f t="shared" si="6"/>
        <v>0</v>
      </c>
      <c r="T10" s="129">
        <v>3.0409999999999999</v>
      </c>
    </row>
    <row r="11" spans="1:20">
      <c r="A11" s="170">
        <v>6</v>
      </c>
      <c r="B11" s="129" t="s">
        <v>266</v>
      </c>
      <c r="C11" s="130">
        <v>311.85000000000002</v>
      </c>
      <c r="D11" s="129">
        <f>+'44-5 OZ'!D9</f>
        <v>0</v>
      </c>
      <c r="E11" s="130">
        <f t="shared" si="7"/>
        <v>0</v>
      </c>
      <c r="F11" s="172">
        <f>+'44-5 OZ'!G40</f>
        <v>0</v>
      </c>
      <c r="G11" s="130">
        <f t="shared" si="8"/>
        <v>0</v>
      </c>
      <c r="H11" s="172">
        <f>+'44-5 OZ'!K40</f>
        <v>0</v>
      </c>
      <c r="I11" s="130">
        <f t="shared" si="0"/>
        <v>0</v>
      </c>
      <c r="J11" s="129"/>
      <c r="K11" s="130">
        <f t="shared" si="1"/>
        <v>0</v>
      </c>
      <c r="L11" s="129"/>
      <c r="M11" s="130">
        <f t="shared" si="2"/>
        <v>0</v>
      </c>
      <c r="N11" s="129"/>
      <c r="O11" s="130">
        <f t="shared" si="3"/>
        <v>0</v>
      </c>
      <c r="P11" s="129">
        <f t="shared" si="4"/>
        <v>0</v>
      </c>
      <c r="Q11" s="130">
        <f t="shared" si="4"/>
        <v>0</v>
      </c>
      <c r="R11" s="130">
        <f t="shared" si="5"/>
        <v>0</v>
      </c>
      <c r="S11" s="130">
        <f t="shared" si="6"/>
        <v>0</v>
      </c>
      <c r="T11" s="129">
        <v>2.339</v>
      </c>
    </row>
    <row r="12" spans="1:20">
      <c r="A12" s="170">
        <v>7</v>
      </c>
      <c r="B12" s="129" t="s">
        <v>408</v>
      </c>
      <c r="C12" s="129">
        <v>155.92500000000001</v>
      </c>
      <c r="D12" s="129"/>
      <c r="E12" s="130">
        <f t="shared" si="7"/>
        <v>0</v>
      </c>
      <c r="F12" s="172">
        <f>+'44-5 OZ (2)'!G40</f>
        <v>0</v>
      </c>
      <c r="G12" s="130">
        <f t="shared" si="8"/>
        <v>0</v>
      </c>
      <c r="H12" s="172">
        <f>+'44-5 OZ (2)'!K40</f>
        <v>0</v>
      </c>
      <c r="I12" s="130">
        <f t="shared" si="0"/>
        <v>0</v>
      </c>
      <c r="J12" s="129"/>
      <c r="K12" s="130">
        <f t="shared" si="1"/>
        <v>0</v>
      </c>
      <c r="L12" s="129"/>
      <c r="M12" s="130">
        <f t="shared" si="2"/>
        <v>0</v>
      </c>
      <c r="N12" s="129"/>
      <c r="O12" s="130">
        <f t="shared" si="3"/>
        <v>0</v>
      </c>
      <c r="P12" s="129">
        <f t="shared" si="4"/>
        <v>0</v>
      </c>
      <c r="Q12" s="130">
        <f t="shared" si="4"/>
        <v>0</v>
      </c>
      <c r="R12" s="130">
        <f t="shared" si="5"/>
        <v>0</v>
      </c>
      <c r="S12" s="129">
        <f t="shared" si="6"/>
        <v>0</v>
      </c>
      <c r="T12" s="129">
        <v>1.169</v>
      </c>
    </row>
    <row r="13" spans="1:20" ht="30">
      <c r="A13" s="170">
        <v>8</v>
      </c>
      <c r="B13" s="171" t="s">
        <v>409</v>
      </c>
      <c r="C13" s="129">
        <v>379.83300000000003</v>
      </c>
      <c r="D13" s="129">
        <f>+'44-8.12 OZ (2)'!D9</f>
        <v>0</v>
      </c>
      <c r="E13" s="130">
        <f t="shared" si="7"/>
        <v>0</v>
      </c>
      <c r="F13" s="172">
        <f>+'44-8.12 OZ (2)'!G40</f>
        <v>0</v>
      </c>
      <c r="G13" s="130">
        <f t="shared" si="8"/>
        <v>0</v>
      </c>
      <c r="H13" s="172">
        <f>+'44-8.12 OZ (2)'!K40</f>
        <v>0</v>
      </c>
      <c r="I13" s="130">
        <f t="shared" si="0"/>
        <v>0</v>
      </c>
      <c r="J13" s="129"/>
      <c r="K13" s="130">
        <f t="shared" si="1"/>
        <v>0</v>
      </c>
      <c r="L13" s="129"/>
      <c r="M13" s="130">
        <f t="shared" si="2"/>
        <v>0</v>
      </c>
      <c r="N13" s="129"/>
      <c r="O13" s="130">
        <f t="shared" si="3"/>
        <v>0</v>
      </c>
      <c r="P13" s="129">
        <f t="shared" si="4"/>
        <v>0</v>
      </c>
      <c r="Q13" s="130">
        <f t="shared" si="4"/>
        <v>0</v>
      </c>
      <c r="R13" s="130">
        <f t="shared" si="5"/>
        <v>0</v>
      </c>
      <c r="S13" s="129">
        <f t="shared" si="6"/>
        <v>0</v>
      </c>
      <c r="T13" s="129">
        <v>2.8490000000000002</v>
      </c>
    </row>
    <row r="14" spans="1:20" ht="60">
      <c r="A14" s="170">
        <v>9</v>
      </c>
      <c r="B14" s="856" t="s">
        <v>508</v>
      </c>
      <c r="C14" s="129"/>
      <c r="D14" s="129"/>
      <c r="E14" s="130"/>
      <c r="F14" s="129"/>
      <c r="G14" s="130">
        <f>+GROSS!I21</f>
        <v>0</v>
      </c>
      <c r="H14" s="129"/>
      <c r="I14" s="130">
        <f>+G14</f>
        <v>0</v>
      </c>
      <c r="J14" s="129"/>
      <c r="K14" s="130">
        <f t="shared" si="1"/>
        <v>0</v>
      </c>
      <c r="L14" s="129"/>
      <c r="M14" s="130">
        <f t="shared" si="2"/>
        <v>0</v>
      </c>
      <c r="N14" s="129"/>
      <c r="O14" s="130">
        <f t="shared" si="3"/>
        <v>0</v>
      </c>
      <c r="P14" s="129">
        <f t="shared" si="4"/>
        <v>0</v>
      </c>
      <c r="Q14" s="129">
        <f t="shared" si="4"/>
        <v>0</v>
      </c>
      <c r="R14" s="130">
        <f t="shared" si="5"/>
        <v>0</v>
      </c>
      <c r="S14" s="129">
        <f t="shared" si="6"/>
        <v>0</v>
      </c>
      <c r="T14" s="129"/>
    </row>
    <row r="15" spans="1:20">
      <c r="A15" s="170">
        <v>10</v>
      </c>
      <c r="B15" s="129"/>
      <c r="C15" s="129"/>
      <c r="D15" s="129"/>
      <c r="E15" s="130">
        <f t="shared" si="7"/>
        <v>0</v>
      </c>
      <c r="F15" s="129"/>
      <c r="G15" s="130">
        <f t="shared" si="8"/>
        <v>0</v>
      </c>
      <c r="H15" s="129"/>
      <c r="I15" s="130">
        <f t="shared" si="0"/>
        <v>0</v>
      </c>
      <c r="J15" s="129"/>
      <c r="K15" s="130">
        <f t="shared" si="1"/>
        <v>0</v>
      </c>
      <c r="L15" s="129"/>
      <c r="M15" s="130">
        <f t="shared" si="2"/>
        <v>0</v>
      </c>
      <c r="N15" s="129"/>
      <c r="O15" s="130">
        <f t="shared" si="3"/>
        <v>0</v>
      </c>
      <c r="P15" s="129">
        <f t="shared" si="4"/>
        <v>0</v>
      </c>
      <c r="Q15" s="129">
        <f t="shared" si="4"/>
        <v>0</v>
      </c>
      <c r="R15" s="130">
        <f t="shared" si="5"/>
        <v>0</v>
      </c>
      <c r="S15" s="129">
        <f t="shared" si="6"/>
        <v>0</v>
      </c>
      <c r="T15" s="129"/>
    </row>
    <row r="16" spans="1:20">
      <c r="A16" s="170">
        <v>11</v>
      </c>
      <c r="B16" s="129"/>
      <c r="C16" s="129"/>
      <c r="D16" s="129"/>
      <c r="E16" s="130">
        <f t="shared" si="7"/>
        <v>0</v>
      </c>
      <c r="F16" s="129"/>
      <c r="G16" s="130">
        <f t="shared" si="8"/>
        <v>0</v>
      </c>
      <c r="H16" s="129"/>
      <c r="I16" s="130">
        <f t="shared" si="0"/>
        <v>0</v>
      </c>
      <c r="J16" s="129"/>
      <c r="K16" s="130">
        <f t="shared" si="1"/>
        <v>0</v>
      </c>
      <c r="L16" s="129"/>
      <c r="M16" s="130">
        <f t="shared" si="2"/>
        <v>0</v>
      </c>
      <c r="N16" s="129"/>
      <c r="O16" s="130">
        <f t="shared" si="3"/>
        <v>0</v>
      </c>
      <c r="P16" s="129">
        <f t="shared" si="4"/>
        <v>0</v>
      </c>
      <c r="Q16" s="129">
        <f t="shared" si="4"/>
        <v>0</v>
      </c>
      <c r="R16" s="130">
        <f t="shared" si="5"/>
        <v>0</v>
      </c>
      <c r="S16" s="129">
        <f t="shared" si="6"/>
        <v>0</v>
      </c>
      <c r="T16" s="129"/>
    </row>
    <row r="17" spans="1:20">
      <c r="A17" s="170">
        <v>12</v>
      </c>
      <c r="B17" s="129"/>
      <c r="C17" s="129"/>
      <c r="D17" s="129"/>
      <c r="E17" s="130">
        <f t="shared" si="7"/>
        <v>0</v>
      </c>
      <c r="F17" s="129"/>
      <c r="G17" s="130">
        <f t="shared" si="8"/>
        <v>0</v>
      </c>
      <c r="H17" s="129"/>
      <c r="I17" s="130">
        <f t="shared" si="0"/>
        <v>0</v>
      </c>
      <c r="J17" s="129"/>
      <c r="K17" s="130">
        <f t="shared" si="1"/>
        <v>0</v>
      </c>
      <c r="L17" s="129"/>
      <c r="M17" s="130">
        <f t="shared" si="2"/>
        <v>0</v>
      </c>
      <c r="N17" s="129"/>
      <c r="O17" s="130">
        <f t="shared" si="3"/>
        <v>0</v>
      </c>
      <c r="P17" s="129">
        <f t="shared" si="4"/>
        <v>0</v>
      </c>
      <c r="Q17" s="129">
        <f t="shared" si="4"/>
        <v>0</v>
      </c>
      <c r="R17" s="130">
        <f t="shared" si="5"/>
        <v>0</v>
      </c>
      <c r="S17" s="129">
        <f t="shared" si="6"/>
        <v>0</v>
      </c>
      <c r="T17" s="129"/>
    </row>
    <row r="18" spans="1:20">
      <c r="A18" s="170">
        <v>13</v>
      </c>
      <c r="B18" s="129"/>
      <c r="C18" s="129"/>
      <c r="D18" s="129"/>
      <c r="E18" s="130">
        <f t="shared" si="7"/>
        <v>0</v>
      </c>
      <c r="F18" s="129"/>
      <c r="G18" s="130">
        <f t="shared" si="8"/>
        <v>0</v>
      </c>
      <c r="H18" s="129"/>
      <c r="I18" s="130">
        <f t="shared" si="0"/>
        <v>0</v>
      </c>
      <c r="J18" s="129"/>
      <c r="K18" s="130">
        <f t="shared" si="1"/>
        <v>0</v>
      </c>
      <c r="L18" s="129"/>
      <c r="M18" s="130">
        <f t="shared" si="2"/>
        <v>0</v>
      </c>
      <c r="N18" s="129"/>
      <c r="O18" s="130">
        <f t="shared" si="3"/>
        <v>0</v>
      </c>
      <c r="P18" s="129">
        <f t="shared" si="4"/>
        <v>0</v>
      </c>
      <c r="Q18" s="129">
        <f t="shared" si="4"/>
        <v>0</v>
      </c>
      <c r="R18" s="130">
        <f t="shared" si="5"/>
        <v>0</v>
      </c>
      <c r="S18" s="129">
        <f t="shared" si="6"/>
        <v>0</v>
      </c>
      <c r="T18" s="129"/>
    </row>
    <row r="19" spans="1:20">
      <c r="A19" s="170">
        <v>14</v>
      </c>
      <c r="B19" s="129"/>
      <c r="C19" s="129"/>
      <c r="D19" s="129"/>
      <c r="E19" s="130">
        <f t="shared" si="7"/>
        <v>0</v>
      </c>
      <c r="F19" s="129"/>
      <c r="G19" s="130">
        <f t="shared" si="8"/>
        <v>0</v>
      </c>
      <c r="H19" s="129"/>
      <c r="I19" s="130">
        <f t="shared" si="0"/>
        <v>0</v>
      </c>
      <c r="J19" s="129"/>
      <c r="K19" s="130">
        <f t="shared" si="1"/>
        <v>0</v>
      </c>
      <c r="L19" s="129"/>
      <c r="M19" s="130">
        <f t="shared" si="2"/>
        <v>0</v>
      </c>
      <c r="N19" s="129"/>
      <c r="O19" s="130">
        <f t="shared" si="3"/>
        <v>0</v>
      </c>
      <c r="P19" s="129">
        <f t="shared" si="4"/>
        <v>0</v>
      </c>
      <c r="Q19" s="129">
        <f t="shared" si="4"/>
        <v>0</v>
      </c>
      <c r="R19" s="130">
        <f t="shared" si="5"/>
        <v>0</v>
      </c>
      <c r="S19" s="129">
        <f t="shared" si="6"/>
        <v>0</v>
      </c>
      <c r="T19" s="129"/>
    </row>
    <row r="20" spans="1:20">
      <c r="A20" s="170">
        <v>15</v>
      </c>
      <c r="B20" s="129"/>
      <c r="C20" s="129"/>
      <c r="D20" s="129"/>
      <c r="E20" s="130">
        <f t="shared" si="7"/>
        <v>0</v>
      </c>
      <c r="F20" s="129"/>
      <c r="G20" s="130">
        <f t="shared" si="8"/>
        <v>0</v>
      </c>
      <c r="H20" s="129"/>
      <c r="I20" s="130">
        <f t="shared" si="0"/>
        <v>0</v>
      </c>
      <c r="J20" s="129"/>
      <c r="K20" s="130">
        <f t="shared" si="1"/>
        <v>0</v>
      </c>
      <c r="L20" s="129"/>
      <c r="M20" s="130">
        <f t="shared" si="2"/>
        <v>0</v>
      </c>
      <c r="N20" s="129"/>
      <c r="O20" s="130">
        <f t="shared" si="3"/>
        <v>0</v>
      </c>
      <c r="P20" s="129">
        <f t="shared" si="4"/>
        <v>0</v>
      </c>
      <c r="Q20" s="129">
        <f t="shared" si="4"/>
        <v>0</v>
      </c>
      <c r="R20" s="130">
        <f t="shared" si="5"/>
        <v>0</v>
      </c>
      <c r="S20" s="129">
        <f t="shared" si="6"/>
        <v>0</v>
      </c>
      <c r="T20" s="129"/>
    </row>
    <row r="21" spans="1:20">
      <c r="A21" s="170">
        <v>16</v>
      </c>
      <c r="B21" s="129"/>
      <c r="C21" s="129"/>
      <c r="D21" s="129"/>
      <c r="E21" s="130">
        <f t="shared" si="7"/>
        <v>0</v>
      </c>
      <c r="F21" s="129"/>
      <c r="G21" s="130">
        <f t="shared" si="8"/>
        <v>0</v>
      </c>
      <c r="H21" s="129"/>
      <c r="I21" s="130">
        <f t="shared" si="0"/>
        <v>0</v>
      </c>
      <c r="J21" s="129"/>
      <c r="K21" s="130">
        <f t="shared" si="1"/>
        <v>0</v>
      </c>
      <c r="L21" s="129"/>
      <c r="M21" s="130">
        <f t="shared" si="2"/>
        <v>0</v>
      </c>
      <c r="N21" s="129"/>
      <c r="O21" s="130">
        <f t="shared" si="3"/>
        <v>0</v>
      </c>
      <c r="P21" s="129">
        <f t="shared" si="4"/>
        <v>0</v>
      </c>
      <c r="Q21" s="129">
        <f t="shared" si="4"/>
        <v>0</v>
      </c>
      <c r="R21" s="130">
        <f t="shared" si="5"/>
        <v>0</v>
      </c>
      <c r="S21" s="129">
        <f t="shared" si="6"/>
        <v>0</v>
      </c>
      <c r="T21" s="129"/>
    </row>
    <row r="22" spans="1:20">
      <c r="A22" s="170">
        <v>17</v>
      </c>
      <c r="B22" s="129"/>
      <c r="C22" s="129"/>
      <c r="D22" s="129"/>
      <c r="E22" s="130">
        <f t="shared" si="7"/>
        <v>0</v>
      </c>
      <c r="F22" s="129"/>
      <c r="G22" s="130">
        <f t="shared" si="8"/>
        <v>0</v>
      </c>
      <c r="H22" s="129"/>
      <c r="I22" s="130">
        <f t="shared" si="0"/>
        <v>0</v>
      </c>
      <c r="J22" s="129"/>
      <c r="K22" s="130">
        <f t="shared" si="1"/>
        <v>0</v>
      </c>
      <c r="L22" s="129"/>
      <c r="M22" s="130">
        <f t="shared" si="2"/>
        <v>0</v>
      </c>
      <c r="N22" s="129"/>
      <c r="O22" s="130">
        <f t="shared" si="3"/>
        <v>0</v>
      </c>
      <c r="P22" s="129">
        <f t="shared" si="4"/>
        <v>0</v>
      </c>
      <c r="Q22" s="129">
        <f t="shared" si="4"/>
        <v>0</v>
      </c>
      <c r="R22" s="130">
        <f t="shared" si="5"/>
        <v>0</v>
      </c>
      <c r="S22" s="129">
        <f t="shared" si="6"/>
        <v>0</v>
      </c>
      <c r="T22" s="129"/>
    </row>
    <row r="23" spans="1:20">
      <c r="A23" s="170">
        <v>18</v>
      </c>
      <c r="B23" s="129"/>
      <c r="C23" s="129"/>
      <c r="D23" s="129"/>
      <c r="E23" s="130">
        <f t="shared" si="7"/>
        <v>0</v>
      </c>
      <c r="F23" s="129"/>
      <c r="G23" s="130">
        <f t="shared" si="8"/>
        <v>0</v>
      </c>
      <c r="H23" s="129"/>
      <c r="I23" s="130">
        <f t="shared" si="0"/>
        <v>0</v>
      </c>
      <c r="J23" s="129"/>
      <c r="K23" s="130">
        <f t="shared" si="1"/>
        <v>0</v>
      </c>
      <c r="L23" s="129"/>
      <c r="M23" s="130">
        <f t="shared" si="2"/>
        <v>0</v>
      </c>
      <c r="N23" s="129"/>
      <c r="O23" s="130">
        <f t="shared" si="3"/>
        <v>0</v>
      </c>
      <c r="P23" s="129">
        <f t="shared" si="4"/>
        <v>0</v>
      </c>
      <c r="Q23" s="129">
        <f t="shared" si="4"/>
        <v>0</v>
      </c>
      <c r="R23" s="130">
        <f t="shared" si="5"/>
        <v>0</v>
      </c>
      <c r="S23" s="129">
        <f t="shared" si="6"/>
        <v>0</v>
      </c>
      <c r="T23" s="129"/>
    </row>
    <row r="24" spans="1:20">
      <c r="A24" s="170">
        <v>19</v>
      </c>
      <c r="B24" s="129"/>
      <c r="C24" s="129"/>
      <c r="D24" s="129"/>
      <c r="E24" s="130">
        <f t="shared" si="7"/>
        <v>0</v>
      </c>
      <c r="F24" s="129"/>
      <c r="G24" s="130">
        <f t="shared" si="8"/>
        <v>0</v>
      </c>
      <c r="H24" s="129"/>
      <c r="I24" s="130">
        <f t="shared" si="0"/>
        <v>0</v>
      </c>
      <c r="J24" s="129"/>
      <c r="K24" s="130">
        <f t="shared" si="1"/>
        <v>0</v>
      </c>
      <c r="L24" s="129"/>
      <c r="M24" s="130">
        <f t="shared" si="2"/>
        <v>0</v>
      </c>
      <c r="N24" s="129"/>
      <c r="O24" s="130">
        <f t="shared" si="3"/>
        <v>0</v>
      </c>
      <c r="P24" s="129">
        <f t="shared" si="4"/>
        <v>0</v>
      </c>
      <c r="Q24" s="129">
        <f t="shared" si="4"/>
        <v>0</v>
      </c>
      <c r="R24" s="130">
        <f t="shared" si="5"/>
        <v>0</v>
      </c>
      <c r="S24" s="129">
        <f t="shared" si="6"/>
        <v>0</v>
      </c>
      <c r="T24" s="129"/>
    </row>
    <row r="25" spans="1:20">
      <c r="A25" s="170">
        <v>20</v>
      </c>
      <c r="B25" s="129"/>
      <c r="C25" s="129"/>
      <c r="D25" s="129"/>
      <c r="E25" s="130">
        <f t="shared" si="7"/>
        <v>0</v>
      </c>
      <c r="F25" s="129"/>
      <c r="G25" s="130">
        <f t="shared" si="8"/>
        <v>0</v>
      </c>
      <c r="H25" s="129"/>
      <c r="I25" s="130">
        <f t="shared" si="0"/>
        <v>0</v>
      </c>
      <c r="J25" s="129"/>
      <c r="K25" s="130">
        <f t="shared" si="1"/>
        <v>0</v>
      </c>
      <c r="L25" s="129"/>
      <c r="M25" s="130">
        <f t="shared" si="2"/>
        <v>0</v>
      </c>
      <c r="N25" s="129"/>
      <c r="O25" s="130">
        <f t="shared" si="3"/>
        <v>0</v>
      </c>
      <c r="P25" s="129">
        <f t="shared" si="4"/>
        <v>0</v>
      </c>
      <c r="Q25" s="129">
        <f t="shared" si="4"/>
        <v>0</v>
      </c>
      <c r="R25" s="130">
        <f t="shared" si="5"/>
        <v>0</v>
      </c>
      <c r="S25" s="129">
        <f t="shared" si="6"/>
        <v>0</v>
      </c>
      <c r="T25" s="129"/>
    </row>
    <row r="26" spans="1:20">
      <c r="A26" s="170">
        <v>21</v>
      </c>
      <c r="B26" s="129"/>
      <c r="C26" s="129"/>
      <c r="D26" s="129"/>
      <c r="E26" s="130">
        <f t="shared" si="7"/>
        <v>0</v>
      </c>
      <c r="F26" s="129"/>
      <c r="G26" s="130">
        <f t="shared" si="8"/>
        <v>0</v>
      </c>
      <c r="H26" s="129"/>
      <c r="I26" s="130">
        <f t="shared" si="0"/>
        <v>0</v>
      </c>
      <c r="J26" s="129"/>
      <c r="K26" s="130">
        <f t="shared" si="1"/>
        <v>0</v>
      </c>
      <c r="L26" s="129"/>
      <c r="M26" s="130">
        <f t="shared" si="2"/>
        <v>0</v>
      </c>
      <c r="N26" s="129"/>
      <c r="O26" s="130">
        <f t="shared" si="3"/>
        <v>0</v>
      </c>
      <c r="P26" s="129">
        <f t="shared" si="4"/>
        <v>0</v>
      </c>
      <c r="Q26" s="129">
        <f t="shared" si="4"/>
        <v>0</v>
      </c>
      <c r="R26" s="130">
        <f t="shared" si="5"/>
        <v>0</v>
      </c>
      <c r="S26" s="129">
        <f t="shared" si="6"/>
        <v>0</v>
      </c>
      <c r="T26" s="129"/>
    </row>
    <row r="27" spans="1:20">
      <c r="A27" s="170">
        <v>22</v>
      </c>
      <c r="B27" s="129"/>
      <c r="C27" s="129"/>
      <c r="D27" s="129"/>
      <c r="E27" s="130">
        <f t="shared" si="7"/>
        <v>0</v>
      </c>
      <c r="F27" s="129"/>
      <c r="G27" s="130">
        <f t="shared" si="8"/>
        <v>0</v>
      </c>
      <c r="H27" s="129"/>
      <c r="I27" s="130">
        <f t="shared" si="0"/>
        <v>0</v>
      </c>
      <c r="J27" s="129"/>
      <c r="K27" s="130">
        <f t="shared" si="1"/>
        <v>0</v>
      </c>
      <c r="L27" s="129"/>
      <c r="M27" s="130">
        <f t="shared" si="2"/>
        <v>0</v>
      </c>
      <c r="N27" s="129"/>
      <c r="O27" s="130">
        <f t="shared" si="3"/>
        <v>0</v>
      </c>
      <c r="P27" s="129">
        <f t="shared" si="4"/>
        <v>0</v>
      </c>
      <c r="Q27" s="129">
        <f t="shared" si="4"/>
        <v>0</v>
      </c>
      <c r="R27" s="130">
        <f t="shared" si="5"/>
        <v>0</v>
      </c>
      <c r="S27" s="129">
        <f t="shared" si="6"/>
        <v>0</v>
      </c>
      <c r="T27" s="129"/>
    </row>
    <row r="28" spans="1:20">
      <c r="A28" s="170">
        <v>23</v>
      </c>
      <c r="B28" s="129"/>
      <c r="C28" s="129"/>
      <c r="D28" s="129"/>
      <c r="E28" s="130">
        <f t="shared" si="7"/>
        <v>0</v>
      </c>
      <c r="F28" s="129"/>
      <c r="G28" s="130">
        <f t="shared" si="8"/>
        <v>0</v>
      </c>
      <c r="H28" s="129"/>
      <c r="I28" s="130">
        <f t="shared" si="0"/>
        <v>0</v>
      </c>
      <c r="J28" s="129"/>
      <c r="K28" s="130">
        <f t="shared" si="1"/>
        <v>0</v>
      </c>
      <c r="L28" s="129"/>
      <c r="M28" s="130">
        <f t="shared" si="2"/>
        <v>0</v>
      </c>
      <c r="N28" s="129"/>
      <c r="O28" s="130">
        <f t="shared" si="3"/>
        <v>0</v>
      </c>
      <c r="P28" s="129">
        <f t="shared" si="4"/>
        <v>0</v>
      </c>
      <c r="Q28" s="129">
        <f t="shared" si="4"/>
        <v>0</v>
      </c>
      <c r="R28" s="130">
        <f t="shared" si="5"/>
        <v>0</v>
      </c>
      <c r="S28" s="129">
        <f t="shared" si="6"/>
        <v>0</v>
      </c>
      <c r="T28" s="129"/>
    </row>
    <row r="29" spans="1:20">
      <c r="A29" s="170">
        <v>24</v>
      </c>
      <c r="B29" s="129"/>
      <c r="C29" s="129"/>
      <c r="D29" s="129"/>
      <c r="E29" s="130">
        <f t="shared" si="7"/>
        <v>0</v>
      </c>
      <c r="F29" s="129"/>
      <c r="G29" s="130">
        <f t="shared" si="8"/>
        <v>0</v>
      </c>
      <c r="H29" s="129"/>
      <c r="I29" s="130">
        <f t="shared" si="0"/>
        <v>0</v>
      </c>
      <c r="J29" s="129"/>
      <c r="K29" s="130">
        <f t="shared" si="1"/>
        <v>0</v>
      </c>
      <c r="L29" s="129"/>
      <c r="M29" s="130">
        <f t="shared" si="2"/>
        <v>0</v>
      </c>
      <c r="N29" s="129"/>
      <c r="O29" s="130">
        <f t="shared" si="3"/>
        <v>0</v>
      </c>
      <c r="P29" s="129">
        <f t="shared" si="4"/>
        <v>0</v>
      </c>
      <c r="Q29" s="129">
        <f t="shared" si="4"/>
        <v>0</v>
      </c>
      <c r="R29" s="130">
        <f t="shared" si="5"/>
        <v>0</v>
      </c>
      <c r="S29" s="129">
        <f t="shared" si="6"/>
        <v>0</v>
      </c>
      <c r="T29" s="129"/>
    </row>
    <row r="30" spans="1:20">
      <c r="A30" s="170"/>
      <c r="B30" s="129" t="s">
        <v>187</v>
      </c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>
        <f t="shared" si="4"/>
        <v>0</v>
      </c>
      <c r="Q30" s="129">
        <f t="shared" si="4"/>
        <v>0</v>
      </c>
      <c r="R30" s="130">
        <f t="shared" si="5"/>
        <v>0</v>
      </c>
      <c r="S30" s="129">
        <f t="shared" si="6"/>
        <v>0</v>
      </c>
      <c r="T30" s="129"/>
    </row>
    <row r="31" spans="1:20">
      <c r="A31" s="170">
        <v>25</v>
      </c>
      <c r="B31" s="101" t="s">
        <v>392</v>
      </c>
      <c r="C31" s="129"/>
      <c r="D31" s="129"/>
      <c r="E31" s="129"/>
      <c r="F31" s="129"/>
      <c r="G31" s="129">
        <f>+'EXCISE SALES DETAILS'!AT94</f>
        <v>22.408000000000001</v>
      </c>
      <c r="H31" s="129"/>
      <c r="I31" s="129">
        <f t="shared" ref="I31:I36" si="9">+G31</f>
        <v>22.408000000000001</v>
      </c>
      <c r="J31" s="129"/>
      <c r="K31" s="129"/>
      <c r="L31" s="129"/>
      <c r="M31" s="129"/>
      <c r="N31" s="129"/>
      <c r="O31" s="129"/>
      <c r="P31" s="129">
        <f t="shared" si="4"/>
        <v>0</v>
      </c>
      <c r="Q31" s="129">
        <f t="shared" si="4"/>
        <v>0</v>
      </c>
      <c r="R31" s="130">
        <f t="shared" si="5"/>
        <v>0</v>
      </c>
      <c r="S31" s="129">
        <f t="shared" si="6"/>
        <v>0</v>
      </c>
      <c r="T31" s="129"/>
    </row>
    <row r="32" spans="1:20">
      <c r="A32" s="170">
        <v>26</v>
      </c>
      <c r="B32" s="95" t="s">
        <v>393</v>
      </c>
      <c r="C32" s="129"/>
      <c r="D32" s="129"/>
      <c r="E32" s="129"/>
      <c r="F32" s="129"/>
      <c r="G32" s="129">
        <f>+'EXCISE SALES DETAILS'!DC94</f>
        <v>0</v>
      </c>
      <c r="H32" s="129"/>
      <c r="I32" s="129">
        <f t="shared" si="9"/>
        <v>0</v>
      </c>
      <c r="J32" s="129"/>
      <c r="K32" s="129"/>
      <c r="L32" s="129"/>
      <c r="M32" s="129"/>
      <c r="N32" s="129"/>
      <c r="O32" s="129"/>
      <c r="P32" s="129">
        <f t="shared" si="4"/>
        <v>0</v>
      </c>
      <c r="Q32" s="129">
        <f t="shared" si="4"/>
        <v>0</v>
      </c>
      <c r="R32" s="130">
        <f t="shared" si="5"/>
        <v>0</v>
      </c>
      <c r="S32" s="129">
        <f t="shared" si="6"/>
        <v>0</v>
      </c>
      <c r="T32" s="129"/>
    </row>
    <row r="33" spans="1:20">
      <c r="A33" s="170">
        <v>27</v>
      </c>
      <c r="B33" s="95" t="s">
        <v>394</v>
      </c>
      <c r="C33" s="129"/>
      <c r="D33" s="129"/>
      <c r="E33" s="129"/>
      <c r="F33" s="129"/>
      <c r="G33" s="129">
        <f>+'EXCISE SALES DETAILS'!BK94</f>
        <v>2.7E-2</v>
      </c>
      <c r="H33" s="129"/>
      <c r="I33" s="129">
        <f t="shared" si="9"/>
        <v>2.7E-2</v>
      </c>
      <c r="J33" s="129"/>
      <c r="K33" s="129"/>
      <c r="L33" s="129"/>
      <c r="M33" s="129"/>
      <c r="N33" s="129"/>
      <c r="O33" s="129"/>
      <c r="P33" s="129">
        <f t="shared" si="4"/>
        <v>0</v>
      </c>
      <c r="Q33" s="129">
        <f t="shared" si="4"/>
        <v>0</v>
      </c>
      <c r="R33" s="130">
        <f t="shared" si="5"/>
        <v>0</v>
      </c>
      <c r="S33" s="129">
        <f t="shared" si="6"/>
        <v>0</v>
      </c>
      <c r="T33" s="129"/>
    </row>
    <row r="34" spans="1:20" ht="43.5">
      <c r="A34" s="170">
        <v>28</v>
      </c>
      <c r="B34" s="105" t="s">
        <v>410</v>
      </c>
      <c r="C34" s="129"/>
      <c r="D34" s="129"/>
      <c r="E34" s="129"/>
      <c r="F34" s="129"/>
      <c r="G34" s="129">
        <f>+GROSS!I27+GROSS!I29</f>
        <v>0</v>
      </c>
      <c r="H34" s="129"/>
      <c r="I34" s="129">
        <f t="shared" si="9"/>
        <v>0</v>
      </c>
      <c r="J34" s="129"/>
      <c r="K34" s="129"/>
      <c r="L34" s="129"/>
      <c r="M34" s="129"/>
      <c r="N34" s="129"/>
      <c r="O34" s="129"/>
      <c r="P34" s="129">
        <f t="shared" si="4"/>
        <v>0</v>
      </c>
      <c r="Q34" s="129">
        <f t="shared" si="4"/>
        <v>0</v>
      </c>
      <c r="R34" s="130">
        <f t="shared" si="5"/>
        <v>0</v>
      </c>
      <c r="S34" s="129">
        <f t="shared" si="6"/>
        <v>0</v>
      </c>
      <c r="T34" s="129"/>
    </row>
    <row r="35" spans="1:20" ht="57.75">
      <c r="A35" s="170">
        <v>29</v>
      </c>
      <c r="B35" s="105" t="s">
        <v>397</v>
      </c>
      <c r="C35" s="129"/>
      <c r="D35" s="129"/>
      <c r="E35" s="129"/>
      <c r="F35" s="129"/>
      <c r="G35" s="129">
        <f>+GROSS!I30</f>
        <v>0</v>
      </c>
      <c r="H35" s="129"/>
      <c r="I35" s="129">
        <f t="shared" si="9"/>
        <v>0</v>
      </c>
      <c r="J35" s="129"/>
      <c r="K35" s="129"/>
      <c r="L35" s="129"/>
      <c r="M35" s="129"/>
      <c r="N35" s="129"/>
      <c r="O35" s="129"/>
      <c r="P35" s="129">
        <f t="shared" si="4"/>
        <v>0</v>
      </c>
      <c r="Q35" s="129">
        <f t="shared" si="4"/>
        <v>0</v>
      </c>
      <c r="R35" s="130">
        <f t="shared" si="5"/>
        <v>0</v>
      </c>
      <c r="S35" s="129">
        <f t="shared" si="6"/>
        <v>0</v>
      </c>
      <c r="T35" s="129"/>
    </row>
    <row r="36" spans="1:20" ht="57.75">
      <c r="A36" s="170">
        <v>30</v>
      </c>
      <c r="B36" s="173" t="s">
        <v>398</v>
      </c>
      <c r="C36" s="174"/>
      <c r="D36" s="174"/>
      <c r="E36" s="174"/>
      <c r="F36" s="174"/>
      <c r="G36" s="174">
        <f>+GROSS!I28</f>
        <v>0</v>
      </c>
      <c r="H36" s="174"/>
      <c r="I36" s="174">
        <f t="shared" si="9"/>
        <v>0</v>
      </c>
      <c r="J36" s="174"/>
      <c r="K36" s="174"/>
      <c r="L36" s="174"/>
      <c r="M36" s="174"/>
      <c r="N36" s="174"/>
      <c r="O36" s="174"/>
      <c r="P36" s="174">
        <f t="shared" si="4"/>
        <v>0</v>
      </c>
      <c r="Q36" s="174">
        <f t="shared" si="4"/>
        <v>0</v>
      </c>
      <c r="R36" s="209">
        <f t="shared" si="5"/>
        <v>0</v>
      </c>
      <c r="S36" s="174">
        <f t="shared" si="6"/>
        <v>0</v>
      </c>
      <c r="T36" s="129"/>
    </row>
    <row r="37" spans="1:20" ht="15.75">
      <c r="A37" s="170"/>
      <c r="B37" s="175"/>
      <c r="C37" s="176"/>
      <c r="D37" s="177">
        <f t="shared" ref="D37:S37" si="10">SUM(D6:D36)</f>
        <v>90</v>
      </c>
      <c r="E37" s="178">
        <f t="shared" si="10"/>
        <v>34.338095000000003</v>
      </c>
      <c r="F37" s="179">
        <f t="shared" si="10"/>
        <v>253</v>
      </c>
      <c r="G37" s="178">
        <f t="shared" si="10"/>
        <v>117.83594100000001</v>
      </c>
      <c r="H37" s="179">
        <f t="shared" si="10"/>
        <v>289</v>
      </c>
      <c r="I37" s="178">
        <f t="shared" si="10"/>
        <v>131.65985899999998</v>
      </c>
      <c r="J37" s="179">
        <f t="shared" si="10"/>
        <v>0</v>
      </c>
      <c r="K37" s="178">
        <f t="shared" si="10"/>
        <v>0</v>
      </c>
      <c r="L37" s="179">
        <f t="shared" si="10"/>
        <v>0</v>
      </c>
      <c r="M37" s="178">
        <f t="shared" si="10"/>
        <v>0</v>
      </c>
      <c r="N37" s="179">
        <f t="shared" si="10"/>
        <v>0</v>
      </c>
      <c r="O37" s="178">
        <f t="shared" si="10"/>
        <v>0</v>
      </c>
      <c r="P37" s="179">
        <f t="shared" si="10"/>
        <v>54</v>
      </c>
      <c r="Q37" s="178">
        <f t="shared" si="10"/>
        <v>20.514177000000011</v>
      </c>
      <c r="R37" s="178">
        <f t="shared" si="10"/>
        <v>0.71549200000000002</v>
      </c>
      <c r="S37" s="210">
        <f t="shared" si="10"/>
        <v>0.8191719999999999</v>
      </c>
      <c r="T37" s="166"/>
    </row>
    <row r="38" spans="1:20">
      <c r="A38" s="17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70"/>
      <c r="S38" s="170"/>
      <c r="T38" s="170"/>
    </row>
    <row r="39" spans="1:20">
      <c r="A39" s="170"/>
      <c r="B39" s="129"/>
      <c r="C39" s="129"/>
      <c r="D39" s="931" t="s">
        <v>358</v>
      </c>
      <c r="E39" s="931"/>
      <c r="F39" s="931" t="s">
        <v>359</v>
      </c>
      <c r="G39" s="931"/>
      <c r="H39" s="931" t="s">
        <v>360</v>
      </c>
      <c r="I39" s="931"/>
      <c r="J39" s="931" t="s">
        <v>361</v>
      </c>
      <c r="K39" s="931"/>
      <c r="L39" s="931" t="s">
        <v>362</v>
      </c>
      <c r="M39" s="931"/>
      <c r="N39" s="931" t="s">
        <v>363</v>
      </c>
      <c r="O39" s="931"/>
      <c r="P39" s="931" t="s">
        <v>364</v>
      </c>
      <c r="Q39" s="931"/>
      <c r="R39" s="170"/>
      <c r="S39" s="170"/>
      <c r="T39" s="170"/>
    </row>
    <row r="40" spans="1:20">
      <c r="A40" s="170"/>
      <c r="B40" s="129" t="s">
        <v>301</v>
      </c>
      <c r="C40" s="129"/>
      <c r="D40" s="171" t="s">
        <v>365</v>
      </c>
      <c r="E40" s="129" t="s">
        <v>366</v>
      </c>
      <c r="F40" s="171" t="s">
        <v>365</v>
      </c>
      <c r="G40" s="129" t="s">
        <v>366</v>
      </c>
      <c r="H40" s="171" t="s">
        <v>365</v>
      </c>
      <c r="I40" s="129" t="s">
        <v>366</v>
      </c>
      <c r="J40" s="171" t="s">
        <v>365</v>
      </c>
      <c r="K40" s="129" t="s">
        <v>366</v>
      </c>
      <c r="L40" s="171" t="s">
        <v>365</v>
      </c>
      <c r="M40" s="129" t="s">
        <v>366</v>
      </c>
      <c r="N40" s="171" t="s">
        <v>365</v>
      </c>
      <c r="O40" s="129" t="s">
        <v>366</v>
      </c>
      <c r="P40" s="171" t="s">
        <v>365</v>
      </c>
      <c r="Q40" s="163" t="s">
        <v>366</v>
      </c>
      <c r="R40" s="129"/>
      <c r="S40" s="129"/>
      <c r="T40" s="129"/>
    </row>
    <row r="41" spans="1:20" ht="44.25" customHeight="1">
      <c r="A41" s="170">
        <v>1</v>
      </c>
      <c r="B41" s="87" t="s">
        <v>399</v>
      </c>
      <c r="C41" s="181">
        <v>290</v>
      </c>
      <c r="D41" s="181">
        <f>+'TYPE A GOV'!D9</f>
        <v>365</v>
      </c>
      <c r="E41" s="182">
        <f>+D41*C41/1000</f>
        <v>105.85</v>
      </c>
      <c r="F41" s="183">
        <f>+'TYPE A GOV'!G40</f>
        <v>654</v>
      </c>
      <c r="G41" s="182">
        <f>+F41*C41/1000</f>
        <v>189.66</v>
      </c>
      <c r="H41" s="183">
        <f>+'TYPE A GOV'!K40</f>
        <v>957</v>
      </c>
      <c r="I41" s="182">
        <f>+H41*C41/1000</f>
        <v>277.52999999999997</v>
      </c>
      <c r="J41" s="181"/>
      <c r="K41" s="182">
        <f t="shared" ref="K41:M43" si="11">J41*E41/1000</f>
        <v>0</v>
      </c>
      <c r="L41" s="181"/>
      <c r="M41" s="182">
        <f t="shared" si="11"/>
        <v>0</v>
      </c>
      <c r="N41" s="181"/>
      <c r="O41" s="182">
        <f>N41*I41/1000</f>
        <v>0</v>
      </c>
      <c r="P41" s="181">
        <f>+D41+F41-H41+J41+L41-N41</f>
        <v>62</v>
      </c>
      <c r="Q41" s="182">
        <f>+E41+G41-I41+K41+M41-O41</f>
        <v>17.980000000000018</v>
      </c>
      <c r="R41" s="182">
        <f>+F41*T41/1000</f>
        <v>1.4224499999999998</v>
      </c>
      <c r="S41" s="181">
        <f>+H41*T41/1000</f>
        <v>2.0814749999999997</v>
      </c>
      <c r="T41" s="181">
        <v>2.1749999999999998</v>
      </c>
    </row>
    <row r="42" spans="1:20" ht="39">
      <c r="A42" s="170">
        <v>2</v>
      </c>
      <c r="B42" s="404" t="s">
        <v>510</v>
      </c>
      <c r="C42" s="129">
        <v>383.5</v>
      </c>
      <c r="D42" s="129">
        <f>+GROSS!E35</f>
        <v>0</v>
      </c>
      <c r="E42" s="182">
        <f>+D42*C42/1000</f>
        <v>0</v>
      </c>
      <c r="F42" s="129">
        <f>+GROSS!H35</f>
        <v>0</v>
      </c>
      <c r="G42" s="182">
        <f>+F42*C42/1000</f>
        <v>0</v>
      </c>
      <c r="H42" s="129">
        <f>+GROSS!K35</f>
        <v>0</v>
      </c>
      <c r="I42" s="182">
        <f>+H42*C42/1000</f>
        <v>0</v>
      </c>
      <c r="J42" s="129"/>
      <c r="K42" s="130">
        <f t="shared" si="11"/>
        <v>0</v>
      </c>
      <c r="L42" s="129"/>
      <c r="M42" s="130">
        <f t="shared" si="11"/>
        <v>0</v>
      </c>
      <c r="N42" s="129"/>
      <c r="O42" s="182">
        <f>N42*I42/1000</f>
        <v>0</v>
      </c>
      <c r="P42" s="129">
        <f>+D42+F42-H42+J42+L42-N42</f>
        <v>0</v>
      </c>
      <c r="Q42" s="163">
        <f>+E42+G42-I42+K42+M42-O42</f>
        <v>0</v>
      </c>
      <c r="R42" s="182">
        <f>+F42*T42/1000</f>
        <v>0</v>
      </c>
      <c r="S42" s="181">
        <f>+H42*T42/1000</f>
        <v>0</v>
      </c>
      <c r="T42" s="129">
        <v>2.8759999999999999</v>
      </c>
    </row>
    <row r="43" spans="1:20">
      <c r="A43" s="170">
        <v>3</v>
      </c>
      <c r="B43" s="174"/>
      <c r="C43" s="174"/>
      <c r="D43" s="174"/>
      <c r="E43" s="174"/>
      <c r="F43" s="174"/>
      <c r="G43" s="174"/>
      <c r="H43" s="174"/>
      <c r="I43" s="174"/>
      <c r="J43" s="174"/>
      <c r="K43" s="130">
        <f t="shared" si="11"/>
        <v>0</v>
      </c>
      <c r="L43" s="174"/>
      <c r="M43" s="130">
        <f t="shared" si="11"/>
        <v>0</v>
      </c>
      <c r="N43" s="174"/>
      <c r="O43" s="182">
        <f>+C43+E43-G43+I43+K43-M43</f>
        <v>0</v>
      </c>
      <c r="P43" s="174">
        <f>+D43+F43-H43+J43+L43-N43</f>
        <v>0</v>
      </c>
      <c r="Q43" s="211"/>
      <c r="R43" s="174"/>
      <c r="S43" s="174"/>
      <c r="T43" s="129"/>
    </row>
    <row r="44" spans="1:20" ht="15.75">
      <c r="A44" s="170"/>
      <c r="B44" s="175"/>
      <c r="C44" s="184"/>
      <c r="D44" s="184">
        <f t="shared" ref="D44:O44" si="12">SUM(D41:D43)</f>
        <v>365</v>
      </c>
      <c r="E44" s="178">
        <f t="shared" si="12"/>
        <v>105.85</v>
      </c>
      <c r="F44" s="184">
        <f t="shared" si="12"/>
        <v>654</v>
      </c>
      <c r="G44" s="178">
        <f t="shared" si="12"/>
        <v>189.66</v>
      </c>
      <c r="H44" s="184">
        <f t="shared" si="12"/>
        <v>957</v>
      </c>
      <c r="I44" s="178">
        <f t="shared" si="12"/>
        <v>277.52999999999997</v>
      </c>
      <c r="J44" s="184">
        <f t="shared" si="12"/>
        <v>0</v>
      </c>
      <c r="K44" s="178">
        <f t="shared" si="12"/>
        <v>0</v>
      </c>
      <c r="L44" s="184">
        <f t="shared" si="12"/>
        <v>0</v>
      </c>
      <c r="M44" s="178">
        <f t="shared" si="12"/>
        <v>0</v>
      </c>
      <c r="N44" s="184">
        <f t="shared" si="12"/>
        <v>0</v>
      </c>
      <c r="O44" s="178">
        <f t="shared" si="12"/>
        <v>0</v>
      </c>
      <c r="P44" s="184">
        <f>+D44+F44-H44+J44+L44-N44</f>
        <v>62</v>
      </c>
      <c r="Q44" s="212">
        <f>SUM(Q41:Q43)</f>
        <v>17.980000000000018</v>
      </c>
      <c r="R44" s="212">
        <f>SUM(R41:R43)</f>
        <v>1.4224499999999998</v>
      </c>
      <c r="S44" s="210">
        <f>SUM(S41:S43)</f>
        <v>2.0814749999999997</v>
      </c>
      <c r="T44" s="166"/>
    </row>
    <row r="45" spans="1:20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69"/>
      <c r="S45" s="169"/>
      <c r="T45" s="129"/>
    </row>
    <row r="46" spans="1:20" ht="18.75">
      <c r="A46" s="185" t="s">
        <v>400</v>
      </c>
      <c r="B46" s="186"/>
      <c r="C46" s="187"/>
      <c r="D46" s="188">
        <f t="shared" ref="D46:Q46" si="13">+D37+D44</f>
        <v>455</v>
      </c>
      <c r="E46" s="189">
        <f t="shared" si="13"/>
        <v>140.188095</v>
      </c>
      <c r="F46" s="188">
        <f t="shared" si="13"/>
        <v>907</v>
      </c>
      <c r="G46" s="189">
        <f t="shared" si="13"/>
        <v>307.49594100000002</v>
      </c>
      <c r="H46" s="188">
        <f t="shared" si="13"/>
        <v>1246</v>
      </c>
      <c r="I46" s="189">
        <f t="shared" si="13"/>
        <v>409.18985899999996</v>
      </c>
      <c r="J46" s="188">
        <f t="shared" si="13"/>
        <v>0</v>
      </c>
      <c r="K46" s="189">
        <f t="shared" si="13"/>
        <v>0</v>
      </c>
      <c r="L46" s="188">
        <f t="shared" si="13"/>
        <v>0</v>
      </c>
      <c r="M46" s="189">
        <f t="shared" si="13"/>
        <v>0</v>
      </c>
      <c r="N46" s="188">
        <f t="shared" si="13"/>
        <v>0</v>
      </c>
      <c r="O46" s="189">
        <f t="shared" si="13"/>
        <v>0</v>
      </c>
      <c r="P46" s="188">
        <f t="shared" si="13"/>
        <v>116</v>
      </c>
      <c r="Q46" s="213">
        <f t="shared" si="13"/>
        <v>38.494177000000029</v>
      </c>
      <c r="R46" s="166"/>
      <c r="S46" s="129"/>
      <c r="T46" s="129"/>
    </row>
    <row r="48" spans="1:20">
      <c r="A48" s="190"/>
      <c r="B48" s="191" t="s">
        <v>411</v>
      </c>
      <c r="C48" s="192" t="s">
        <v>412</v>
      </c>
      <c r="E48" s="193" t="s">
        <v>413</v>
      </c>
      <c r="F48" s="194">
        <f>+'EXCISE SALES DETAILS'!BW94</f>
        <v>19.86</v>
      </c>
      <c r="H48" s="1151" t="s">
        <v>414</v>
      </c>
      <c r="I48" s="1152"/>
      <c r="J48" s="1152"/>
      <c r="K48" s="1152"/>
      <c r="L48" s="1152"/>
      <c r="M48" s="1153"/>
    </row>
    <row r="49" spans="1:13">
      <c r="A49" s="195"/>
      <c r="B49" s="196"/>
      <c r="C49" s="197"/>
      <c r="E49" s="162" t="s">
        <v>415</v>
      </c>
      <c r="F49" s="198">
        <f>+'EXCISE SALES DETAILS'!CL94</f>
        <v>12.48</v>
      </c>
      <c r="H49" s="162" t="s">
        <v>412</v>
      </c>
      <c r="I49" s="3" t="s">
        <v>365</v>
      </c>
      <c r="J49" s="931" t="s">
        <v>301</v>
      </c>
      <c r="K49" s="931"/>
      <c r="L49" s="931"/>
      <c r="M49" s="149" t="s">
        <v>416</v>
      </c>
    </row>
    <row r="50" spans="1:13">
      <c r="A50" s="195"/>
      <c r="B50" s="196"/>
      <c r="C50" s="199"/>
      <c r="E50" s="164" t="s">
        <v>417</v>
      </c>
      <c r="F50" s="200">
        <f>SUM(F48:F49)</f>
        <v>32.340000000000003</v>
      </c>
      <c r="H50" s="162"/>
      <c r="I50" s="3"/>
      <c r="J50" s="931"/>
      <c r="K50" s="931"/>
      <c r="L50" s="931"/>
      <c r="M50" s="149"/>
    </row>
    <row r="51" spans="1:13">
      <c r="A51" s="201"/>
      <c r="B51" s="202"/>
      <c r="C51" s="203"/>
      <c r="H51" s="162"/>
      <c r="I51" s="3"/>
      <c r="J51" s="931"/>
      <c r="K51" s="931"/>
      <c r="L51" s="931"/>
      <c r="M51" s="149"/>
    </row>
    <row r="52" spans="1:13">
      <c r="A52" s="201"/>
      <c r="B52" s="202"/>
      <c r="C52" s="203"/>
      <c r="H52" s="162"/>
      <c r="I52" s="3"/>
      <c r="J52" s="931"/>
      <c r="K52" s="931"/>
      <c r="L52" s="931"/>
      <c r="M52" s="149"/>
    </row>
    <row r="53" spans="1:13">
      <c r="A53" s="204"/>
      <c r="B53" s="205" t="s">
        <v>10</v>
      </c>
      <c r="C53" s="206">
        <f>SUM(C49:C52)</f>
        <v>0</v>
      </c>
      <c r="H53" s="162"/>
      <c r="I53" s="3"/>
      <c r="J53" s="931"/>
      <c r="K53" s="931"/>
      <c r="L53" s="931"/>
      <c r="M53" s="149"/>
    </row>
    <row r="54" spans="1:13">
      <c r="H54" s="164"/>
      <c r="I54" s="165"/>
      <c r="J54" s="979"/>
      <c r="K54" s="979"/>
      <c r="L54" s="979"/>
      <c r="M54" s="207"/>
    </row>
  </sheetData>
  <sheetProtection algorithmName="SHA-512" hashValue="woGZw2UzjtyEMtIY4oYHuNxGcH7cm+5cea6yHx30fAp9MaOw79UowUr7dBlWgCio1ERYyMxcNUFI25hGglQqMw==" saltValue="f46BG0C4+myw7JIacte5YA==" spinCount="100000" sheet="1" objects="1" scenarios="1"/>
  <mergeCells count="25">
    <mergeCell ref="B1:Q1"/>
    <mergeCell ref="B2:Q2"/>
    <mergeCell ref="B3:Q3"/>
    <mergeCell ref="D4:E4"/>
    <mergeCell ref="F4:G4"/>
    <mergeCell ref="H4:I4"/>
    <mergeCell ref="J4:K4"/>
    <mergeCell ref="L4:M4"/>
    <mergeCell ref="N4:O4"/>
    <mergeCell ref="P4:Q4"/>
    <mergeCell ref="N39:O39"/>
    <mergeCell ref="P39:Q39"/>
    <mergeCell ref="H48:M48"/>
    <mergeCell ref="J49:L49"/>
    <mergeCell ref="J50:L50"/>
    <mergeCell ref="H39:I39"/>
    <mergeCell ref="J39:K39"/>
    <mergeCell ref="L39:M39"/>
    <mergeCell ref="J51:L51"/>
    <mergeCell ref="J52:L52"/>
    <mergeCell ref="J53:L53"/>
    <mergeCell ref="J54:L54"/>
    <mergeCell ref="C4:C5"/>
    <mergeCell ref="D39:E39"/>
    <mergeCell ref="F39:G39"/>
  </mergeCells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105"/>
  <sheetViews>
    <sheetView topLeftCell="A10" zoomScale="80" zoomScaleNormal="80" workbookViewId="0">
      <selection activeCell="A4" sqref="A4:A5"/>
    </sheetView>
  </sheetViews>
  <sheetFormatPr defaultColWidth="9" defaultRowHeight="15"/>
  <cols>
    <col min="2" max="2" width="37.42578125" customWidth="1"/>
    <col min="3" max="3" width="10" customWidth="1"/>
    <col min="4" max="4" width="7.85546875" customWidth="1"/>
    <col min="5" max="5" width="9.5703125" customWidth="1"/>
    <col min="7" max="7" width="10.85546875" customWidth="1"/>
    <col min="9" max="9" width="10.85546875" customWidth="1"/>
    <col min="11" max="12" width="9.5703125" customWidth="1"/>
    <col min="13" max="13" width="16.140625" customWidth="1"/>
    <col min="14" max="14" width="13.7109375" customWidth="1"/>
    <col min="15" max="15" width="10.85546875" customWidth="1"/>
  </cols>
  <sheetData>
    <row r="1" spans="1:15" ht="18">
      <c r="A1" s="1160" t="s">
        <v>355</v>
      </c>
      <c r="B1" s="1161"/>
      <c r="C1" s="1161"/>
      <c r="D1" s="1161"/>
      <c r="E1" s="1161"/>
      <c r="F1" s="1161"/>
      <c r="G1" s="1161"/>
      <c r="H1" s="1161"/>
      <c r="I1" s="1161"/>
      <c r="J1" s="1161"/>
      <c r="K1" s="1162"/>
      <c r="L1" s="78"/>
      <c r="M1" s="135"/>
      <c r="N1" s="135"/>
      <c r="O1" s="136"/>
    </row>
    <row r="2" spans="1:15" ht="18">
      <c r="A2" s="79"/>
      <c r="B2" s="80"/>
      <c r="C2" s="80"/>
      <c r="D2" s="81"/>
      <c r="E2" s="81"/>
      <c r="F2" s="81"/>
      <c r="G2" s="81"/>
      <c r="H2" s="81"/>
      <c r="I2" s="81"/>
      <c r="J2" s="81"/>
      <c r="K2" s="137"/>
      <c r="L2" s="81"/>
      <c r="M2" s="126"/>
      <c r="N2" s="126"/>
      <c r="O2" s="138"/>
    </row>
    <row r="3" spans="1:15" ht="15.75">
      <c r="A3" s="1163" t="s">
        <v>418</v>
      </c>
      <c r="B3" s="1164"/>
      <c r="C3" s="1164"/>
      <c r="D3" s="1164"/>
      <c r="E3" s="1164"/>
      <c r="F3" s="1164"/>
      <c r="G3" s="1164"/>
      <c r="H3" s="1164"/>
      <c r="I3" s="1164"/>
      <c r="J3" s="1164"/>
      <c r="K3" s="1165"/>
      <c r="L3" s="82"/>
      <c r="M3" s="126"/>
      <c r="N3" s="126"/>
      <c r="O3" s="138"/>
    </row>
    <row r="4" spans="1:15">
      <c r="A4" s="1154" t="s">
        <v>419</v>
      </c>
      <c r="B4" s="83" t="s">
        <v>301</v>
      </c>
      <c r="C4" s="83"/>
      <c r="D4" s="1155" t="s">
        <v>420</v>
      </c>
      <c r="E4" s="1155"/>
      <c r="F4" s="1155" t="s">
        <v>359</v>
      </c>
      <c r="G4" s="1155"/>
      <c r="H4" s="1155" t="s">
        <v>421</v>
      </c>
      <c r="I4" s="1155"/>
      <c r="J4" s="1155" t="s">
        <v>422</v>
      </c>
      <c r="K4" s="1159"/>
      <c r="L4" s="139" t="s">
        <v>423</v>
      </c>
      <c r="M4" s="126"/>
      <c r="N4" s="126"/>
      <c r="O4" s="138"/>
    </row>
    <row r="5" spans="1:15" ht="45">
      <c r="A5" s="1154"/>
      <c r="B5" s="83" t="s">
        <v>424</v>
      </c>
      <c r="C5" s="83" t="s">
        <v>84</v>
      </c>
      <c r="D5" s="84" t="s">
        <v>250</v>
      </c>
      <c r="E5" s="85" t="s">
        <v>425</v>
      </c>
      <c r="F5" s="84" t="s">
        <v>250</v>
      </c>
      <c r="G5" s="85" t="s">
        <v>426</v>
      </c>
      <c r="H5" s="84" t="s">
        <v>250</v>
      </c>
      <c r="I5" s="85" t="s">
        <v>426</v>
      </c>
      <c r="J5" s="84" t="s">
        <v>250</v>
      </c>
      <c r="K5" s="140" t="s">
        <v>426</v>
      </c>
      <c r="L5" s="140"/>
      <c r="M5" s="141" t="s">
        <v>427</v>
      </c>
      <c r="N5" s="142" t="s">
        <v>428</v>
      </c>
      <c r="O5" s="143" t="s">
        <v>429</v>
      </c>
    </row>
    <row r="6" spans="1:15" ht="28.5">
      <c r="A6" s="86">
        <v>1</v>
      </c>
      <c r="B6" s="87" t="s">
        <v>430</v>
      </c>
      <c r="C6" s="87">
        <v>331.69499999999999</v>
      </c>
      <c r="D6" s="88">
        <f>+'[9]SOMA MADAM'!E5</f>
        <v>112</v>
      </c>
      <c r="E6" s="89">
        <f t="shared" ref="E6:E25" si="0">+D6*C6/1000</f>
        <v>37.149839999999998</v>
      </c>
      <c r="F6" s="90">
        <f>+'[9]SOMA MADAM'!G5</f>
        <v>401</v>
      </c>
      <c r="G6" s="89">
        <f>+F6*C6/1000</f>
        <v>133.00969499999999</v>
      </c>
      <c r="H6" s="90">
        <f>+'[9]SOMA MADAM'!J5</f>
        <v>506</v>
      </c>
      <c r="I6" s="89">
        <f>+H6*C6/1000</f>
        <v>167.83766999999997</v>
      </c>
      <c r="J6" s="90">
        <f t="shared" ref="J6:J11" si="1">+D6+F6-H6</f>
        <v>7</v>
      </c>
      <c r="K6" s="144">
        <f t="shared" ref="K6:K25" si="2">E6+G6-I6</f>
        <v>2.3218650000000309</v>
      </c>
      <c r="L6" s="144"/>
      <c r="M6" s="130">
        <f t="shared" ref="M6:M25" si="3">F6*O6/1000</f>
        <v>1.0016980000000002</v>
      </c>
      <c r="N6" s="130">
        <f>H6*O6/1000</f>
        <v>1.2639880000000001</v>
      </c>
      <c r="O6" s="145">
        <v>2.4980000000000002</v>
      </c>
    </row>
    <row r="7" spans="1:15" ht="28.5">
      <c r="A7" s="86">
        <v>2</v>
      </c>
      <c r="B7" s="87" t="s">
        <v>431</v>
      </c>
      <c r="C7" s="87">
        <v>437.38400000000001</v>
      </c>
      <c r="D7" s="90">
        <f>+'[9]SOMA MADAM'!E6</f>
        <v>73</v>
      </c>
      <c r="E7" s="89">
        <f t="shared" si="0"/>
        <v>31.929031999999999</v>
      </c>
      <c r="F7" s="90">
        <f>+'[9]SOMA MADAM'!G6</f>
        <v>160</v>
      </c>
      <c r="G7" s="89">
        <f t="shared" ref="G7:G25" si="4">+F7*C7/1000</f>
        <v>69.981440000000006</v>
      </c>
      <c r="H7" s="91">
        <f>+'[9]SOMA MADAM'!J6</f>
        <v>221</v>
      </c>
      <c r="I7" s="89">
        <f t="shared" ref="I7:I25" si="5">+H7*C7/1000</f>
        <v>96.661864000000008</v>
      </c>
      <c r="J7" s="90">
        <f t="shared" si="1"/>
        <v>12</v>
      </c>
      <c r="K7" s="144">
        <f t="shared" si="2"/>
        <v>5.2486079999999902</v>
      </c>
      <c r="L7" s="144"/>
      <c r="M7" s="130">
        <f t="shared" si="3"/>
        <v>0.52479999999999993</v>
      </c>
      <c r="N7" s="130">
        <f t="shared" ref="N7:N25" si="6">H7*O7/1000</f>
        <v>0.72487999999999997</v>
      </c>
      <c r="O7" s="146">
        <v>3.28</v>
      </c>
    </row>
    <row r="8" spans="1:15">
      <c r="A8" s="86">
        <v>3</v>
      </c>
      <c r="B8" s="87" t="s">
        <v>432</v>
      </c>
      <c r="C8" s="87">
        <v>279</v>
      </c>
      <c r="D8" s="90"/>
      <c r="E8" s="89">
        <f t="shared" si="0"/>
        <v>0</v>
      </c>
      <c r="F8" s="90"/>
      <c r="G8" s="89">
        <f t="shared" si="4"/>
        <v>0</v>
      </c>
      <c r="H8" s="88"/>
      <c r="I8" s="89">
        <f t="shared" si="5"/>
        <v>0</v>
      </c>
      <c r="J8" s="90">
        <f t="shared" si="1"/>
        <v>0</v>
      </c>
      <c r="K8" s="144">
        <f t="shared" si="2"/>
        <v>0</v>
      </c>
      <c r="L8" s="144"/>
      <c r="M8" s="130">
        <f t="shared" si="3"/>
        <v>0</v>
      </c>
      <c r="N8" s="130">
        <f t="shared" si="6"/>
        <v>0</v>
      </c>
      <c r="O8" s="145">
        <v>2.093</v>
      </c>
    </row>
    <row r="9" spans="1:15" ht="28.5">
      <c r="A9" s="86">
        <v>4</v>
      </c>
      <c r="B9" s="87" t="s">
        <v>433</v>
      </c>
      <c r="C9" s="92">
        <v>255.15</v>
      </c>
      <c r="D9" s="90">
        <f>+'[9]SOMA MADAM'!E12</f>
        <v>0</v>
      </c>
      <c r="E9" s="89">
        <f t="shared" si="0"/>
        <v>0</v>
      </c>
      <c r="F9" s="90">
        <f>+'[9]SOMA MADAM'!G12</f>
        <v>9</v>
      </c>
      <c r="G9" s="89">
        <f t="shared" si="4"/>
        <v>2.2963499999999999</v>
      </c>
      <c r="H9" s="88">
        <f>+'[9]SOMA MADAM'!J12</f>
        <v>0</v>
      </c>
      <c r="I9" s="89">
        <f t="shared" si="5"/>
        <v>0</v>
      </c>
      <c r="J9" s="90">
        <f t="shared" si="1"/>
        <v>9</v>
      </c>
      <c r="K9" s="144">
        <f t="shared" si="2"/>
        <v>2.2963499999999999</v>
      </c>
      <c r="L9" s="144"/>
      <c r="M9" s="130">
        <f t="shared" si="3"/>
        <v>1.7225999999999998E-2</v>
      </c>
      <c r="N9" s="130">
        <f t="shared" si="6"/>
        <v>0</v>
      </c>
      <c r="O9" s="145">
        <v>1.9139999999999999</v>
      </c>
    </row>
    <row r="10" spans="1:15" ht="28.5">
      <c r="A10" s="86">
        <v>5</v>
      </c>
      <c r="B10" s="87" t="s">
        <v>434</v>
      </c>
      <c r="C10" s="87">
        <v>297.67500000000001</v>
      </c>
      <c r="D10" s="90"/>
      <c r="E10" s="89">
        <f t="shared" si="0"/>
        <v>0</v>
      </c>
      <c r="F10" s="90"/>
      <c r="G10" s="89">
        <f t="shared" si="4"/>
        <v>0</v>
      </c>
      <c r="H10" s="90"/>
      <c r="I10" s="89">
        <f t="shared" si="5"/>
        <v>0</v>
      </c>
      <c r="J10" s="90">
        <f t="shared" si="1"/>
        <v>0</v>
      </c>
      <c r="K10" s="144">
        <f t="shared" si="2"/>
        <v>0</v>
      </c>
      <c r="L10" s="144"/>
      <c r="M10" s="130">
        <f t="shared" si="3"/>
        <v>0</v>
      </c>
      <c r="N10" s="130">
        <f t="shared" si="6"/>
        <v>0</v>
      </c>
      <c r="O10" s="145">
        <v>2.2330000000000001</v>
      </c>
    </row>
    <row r="11" spans="1:15" ht="28.5">
      <c r="A11" s="93">
        <v>6</v>
      </c>
      <c r="B11" s="87" t="s">
        <v>435</v>
      </c>
      <c r="C11" s="87">
        <v>260.43299999999999</v>
      </c>
      <c r="D11" s="90"/>
      <c r="E11" s="89">
        <f t="shared" si="0"/>
        <v>0</v>
      </c>
      <c r="F11" s="90"/>
      <c r="G11" s="89">
        <f t="shared" si="4"/>
        <v>0</v>
      </c>
      <c r="H11" s="88"/>
      <c r="I11" s="89">
        <f t="shared" si="5"/>
        <v>0</v>
      </c>
      <c r="J11" s="90">
        <f t="shared" si="1"/>
        <v>0</v>
      </c>
      <c r="K11" s="144">
        <f t="shared" si="2"/>
        <v>0</v>
      </c>
      <c r="L11" s="144"/>
      <c r="M11" s="130">
        <f t="shared" si="3"/>
        <v>0</v>
      </c>
      <c r="N11" s="130">
        <f t="shared" si="6"/>
        <v>0</v>
      </c>
      <c r="O11" s="145">
        <v>1.9530000000000001</v>
      </c>
    </row>
    <row r="12" spans="1:15">
      <c r="A12" s="94"/>
      <c r="B12" s="3"/>
      <c r="C12" s="3"/>
      <c r="D12" s="3"/>
      <c r="E12" s="3"/>
      <c r="F12" s="3"/>
      <c r="G12" s="3"/>
      <c r="H12" s="3"/>
      <c r="I12" s="3"/>
      <c r="J12" s="90">
        <f>+D33+F33-H33</f>
        <v>0</v>
      </c>
      <c r="K12" s="147">
        <f>E33+G33-I33</f>
        <v>0</v>
      </c>
      <c r="L12" s="147"/>
      <c r="M12" s="148"/>
      <c r="N12" s="148"/>
      <c r="O12" s="145"/>
    </row>
    <row r="13" spans="1:15">
      <c r="A13" s="94"/>
      <c r="B13" s="3"/>
      <c r="C13" s="3"/>
      <c r="D13" s="3"/>
      <c r="E13" s="3"/>
      <c r="F13" s="3"/>
      <c r="G13" s="3"/>
      <c r="H13" s="3"/>
      <c r="I13" s="3"/>
      <c r="J13" s="104"/>
      <c r="K13" s="147">
        <f>E34+G34-I34</f>
        <v>0</v>
      </c>
      <c r="L13" s="147"/>
      <c r="M13" s="148"/>
      <c r="N13" s="148"/>
      <c r="O13" s="145"/>
    </row>
    <row r="14" spans="1:15">
      <c r="A14" s="94"/>
      <c r="B14" s="3"/>
      <c r="C14" s="3"/>
      <c r="D14" s="3"/>
      <c r="E14" s="3"/>
      <c r="F14" s="3"/>
      <c r="G14" s="3"/>
      <c r="H14" s="3"/>
      <c r="I14" s="3"/>
      <c r="J14" s="104"/>
      <c r="K14" s="147"/>
      <c r="L14" s="147"/>
      <c r="M14" s="148"/>
      <c r="N14" s="148"/>
      <c r="O14" s="145"/>
    </row>
    <row r="15" spans="1:15" ht="28.5">
      <c r="A15" s="93">
        <v>7</v>
      </c>
      <c r="B15" s="87" t="s">
        <v>436</v>
      </c>
      <c r="C15" s="87">
        <v>175.792</v>
      </c>
      <c r="D15" s="90">
        <f>+'[9]SOMA MADAM'!E11</f>
        <v>1</v>
      </c>
      <c r="E15" s="89">
        <f t="shared" si="0"/>
        <v>0.175792</v>
      </c>
      <c r="F15" s="90">
        <f>+'[9]SOMA MADAM'!G11</f>
        <v>0</v>
      </c>
      <c r="G15" s="89">
        <f t="shared" si="4"/>
        <v>0</v>
      </c>
      <c r="H15" s="88">
        <f>+'[9]SOMA MADAM'!J11</f>
        <v>1</v>
      </c>
      <c r="I15" s="89">
        <f t="shared" si="5"/>
        <v>0.175792</v>
      </c>
      <c r="J15" s="90">
        <f>+D15+F15-H15</f>
        <v>0</v>
      </c>
      <c r="K15" s="144">
        <f t="shared" si="2"/>
        <v>0</v>
      </c>
      <c r="L15" s="144"/>
      <c r="M15" s="130">
        <f t="shared" si="3"/>
        <v>0</v>
      </c>
      <c r="N15" s="130">
        <f t="shared" si="6"/>
        <v>1.3180000000000002E-3</v>
      </c>
      <c r="O15" s="145">
        <v>1.3180000000000001</v>
      </c>
    </row>
    <row r="16" spans="1:15" ht="28.5">
      <c r="A16" s="86">
        <v>8</v>
      </c>
      <c r="B16" s="87" t="s">
        <v>437</v>
      </c>
      <c r="C16" s="87"/>
      <c r="D16" s="90"/>
      <c r="E16" s="89">
        <f t="shared" si="0"/>
        <v>0</v>
      </c>
      <c r="F16" s="90"/>
      <c r="G16" s="89">
        <f t="shared" si="4"/>
        <v>0</v>
      </c>
      <c r="H16" s="88"/>
      <c r="I16" s="89">
        <f t="shared" si="5"/>
        <v>0</v>
      </c>
      <c r="J16" s="90">
        <f t="shared" ref="J16:J25" si="7">+D16+F16-H16</f>
        <v>0</v>
      </c>
      <c r="K16" s="144">
        <f t="shared" si="2"/>
        <v>0</v>
      </c>
      <c r="L16" s="144"/>
      <c r="M16" s="130">
        <f t="shared" si="3"/>
        <v>0</v>
      </c>
      <c r="N16" s="130">
        <f t="shared" si="6"/>
        <v>0</v>
      </c>
      <c r="O16" s="145">
        <v>2.6160000000000001</v>
      </c>
    </row>
    <row r="17" spans="1:15" ht="28.5">
      <c r="A17" s="93">
        <v>9</v>
      </c>
      <c r="B17" s="87" t="s">
        <v>438</v>
      </c>
      <c r="C17" s="92">
        <v>368.55</v>
      </c>
      <c r="D17" s="90">
        <f>+'[9]SOMA MADAM'!E7</f>
        <v>13</v>
      </c>
      <c r="E17" s="89">
        <f t="shared" si="0"/>
        <v>4.7911500000000009</v>
      </c>
      <c r="F17" s="90">
        <f>+'[9]SOMA MADAM'!G7</f>
        <v>51</v>
      </c>
      <c r="G17" s="89">
        <f t="shared" si="4"/>
        <v>18.796050000000001</v>
      </c>
      <c r="H17" s="90">
        <f>+'[9]SOMA MADAM'!J7</f>
        <v>24</v>
      </c>
      <c r="I17" s="89">
        <f t="shared" si="5"/>
        <v>8.8452000000000002</v>
      </c>
      <c r="J17" s="90">
        <f t="shared" si="7"/>
        <v>40</v>
      </c>
      <c r="K17" s="144">
        <f t="shared" si="2"/>
        <v>14.742000000000003</v>
      </c>
      <c r="L17" s="144"/>
      <c r="M17" s="130">
        <f t="shared" si="3"/>
        <v>0.14096400000000001</v>
      </c>
      <c r="N17" s="130">
        <f t="shared" si="6"/>
        <v>6.6335999999999992E-2</v>
      </c>
      <c r="O17" s="145">
        <v>2.7639999999999998</v>
      </c>
    </row>
    <row r="18" spans="1:15">
      <c r="A18" s="86">
        <v>10</v>
      </c>
      <c r="B18" s="95" t="s">
        <v>377</v>
      </c>
      <c r="C18" s="95">
        <v>229.63</v>
      </c>
      <c r="D18" s="90">
        <f>+'[9]SOMA MADAM'!E16</f>
        <v>5</v>
      </c>
      <c r="E18" s="89">
        <f t="shared" si="0"/>
        <v>1.14815</v>
      </c>
      <c r="F18" s="90">
        <f>+'[9]SOMA MADAM'!G16</f>
        <v>0</v>
      </c>
      <c r="G18" s="89">
        <f t="shared" si="4"/>
        <v>0</v>
      </c>
      <c r="H18" s="90">
        <f>+'[9]SOMA MADAM'!J16</f>
        <v>0</v>
      </c>
      <c r="I18" s="89">
        <f t="shared" si="5"/>
        <v>0</v>
      </c>
      <c r="J18" s="90">
        <f t="shared" si="7"/>
        <v>5</v>
      </c>
      <c r="K18" s="144">
        <f t="shared" si="2"/>
        <v>1.14815</v>
      </c>
      <c r="L18" s="144"/>
      <c r="M18" s="130">
        <f t="shared" si="3"/>
        <v>0</v>
      </c>
      <c r="N18" s="130">
        <f t="shared" si="6"/>
        <v>0</v>
      </c>
      <c r="O18" s="145">
        <v>1.722</v>
      </c>
    </row>
    <row r="19" spans="1:15">
      <c r="A19" s="93">
        <v>11</v>
      </c>
      <c r="B19" s="95" t="s">
        <v>439</v>
      </c>
      <c r="C19" s="96">
        <v>144</v>
      </c>
      <c r="D19" s="90"/>
      <c r="E19" s="89">
        <f t="shared" si="0"/>
        <v>0</v>
      </c>
      <c r="F19" s="90"/>
      <c r="G19" s="89">
        <f t="shared" si="4"/>
        <v>0</v>
      </c>
      <c r="H19" s="88"/>
      <c r="I19" s="89">
        <f t="shared" si="5"/>
        <v>0</v>
      </c>
      <c r="J19" s="90">
        <f t="shared" si="7"/>
        <v>0</v>
      </c>
      <c r="K19" s="144">
        <f t="shared" si="2"/>
        <v>0</v>
      </c>
      <c r="L19" s="144"/>
      <c r="M19" s="130">
        <f t="shared" si="3"/>
        <v>0</v>
      </c>
      <c r="N19" s="130">
        <f t="shared" si="6"/>
        <v>0</v>
      </c>
      <c r="O19" s="145">
        <v>1.08</v>
      </c>
    </row>
    <row r="20" spans="1:15">
      <c r="A20" s="86">
        <v>12</v>
      </c>
      <c r="B20" s="97" t="s">
        <v>440</v>
      </c>
      <c r="C20" s="97"/>
      <c r="D20" s="90"/>
      <c r="E20" s="89">
        <f t="shared" si="0"/>
        <v>0</v>
      </c>
      <c r="F20" s="90"/>
      <c r="G20" s="89">
        <f>+'[9]SOMA MADAM'!I18</f>
        <v>0.35</v>
      </c>
      <c r="H20" s="88"/>
      <c r="I20" s="89">
        <f>+G20</f>
        <v>0.35</v>
      </c>
      <c r="J20" s="90">
        <f t="shared" si="7"/>
        <v>0</v>
      </c>
      <c r="K20" s="144">
        <f t="shared" si="2"/>
        <v>0</v>
      </c>
      <c r="L20" s="144"/>
      <c r="M20" s="130">
        <f t="shared" si="3"/>
        <v>0</v>
      </c>
      <c r="N20" s="130">
        <f t="shared" si="6"/>
        <v>0</v>
      </c>
      <c r="O20" s="145"/>
    </row>
    <row r="21" spans="1:15">
      <c r="A21" s="93">
        <v>13</v>
      </c>
      <c r="B21" s="87" t="s">
        <v>441</v>
      </c>
      <c r="C21" s="87">
        <v>442.39499999999998</v>
      </c>
      <c r="D21" s="90"/>
      <c r="E21" s="89">
        <f t="shared" si="0"/>
        <v>0</v>
      </c>
      <c r="F21" s="90"/>
      <c r="G21" s="89">
        <f t="shared" si="4"/>
        <v>0</v>
      </c>
      <c r="H21" s="88"/>
      <c r="I21" s="89">
        <f t="shared" si="5"/>
        <v>0</v>
      </c>
      <c r="J21" s="90">
        <f t="shared" si="7"/>
        <v>0</v>
      </c>
      <c r="K21" s="144">
        <f t="shared" si="2"/>
        <v>0</v>
      </c>
      <c r="L21" s="144"/>
      <c r="M21" s="130">
        <f t="shared" si="3"/>
        <v>0</v>
      </c>
      <c r="N21" s="130">
        <f t="shared" si="6"/>
        <v>0</v>
      </c>
      <c r="O21" s="145">
        <v>3.3180000000000001</v>
      </c>
    </row>
    <row r="22" spans="1:15">
      <c r="A22" s="86">
        <v>14</v>
      </c>
      <c r="B22" s="95" t="s">
        <v>442</v>
      </c>
      <c r="C22" s="95">
        <v>497.53300000000002</v>
      </c>
      <c r="D22" s="90"/>
      <c r="E22" s="89">
        <f t="shared" si="0"/>
        <v>0</v>
      </c>
      <c r="F22" s="90"/>
      <c r="G22" s="89">
        <f t="shared" si="4"/>
        <v>0</v>
      </c>
      <c r="H22" s="88"/>
      <c r="I22" s="89">
        <f t="shared" si="5"/>
        <v>0</v>
      </c>
      <c r="J22" s="90">
        <f t="shared" si="7"/>
        <v>0</v>
      </c>
      <c r="K22" s="144">
        <f t="shared" si="2"/>
        <v>0</v>
      </c>
      <c r="L22" s="144"/>
      <c r="M22" s="130">
        <f t="shared" si="3"/>
        <v>0</v>
      </c>
      <c r="N22" s="130">
        <f t="shared" si="6"/>
        <v>0</v>
      </c>
      <c r="O22" s="146">
        <v>3.7309999999999999</v>
      </c>
    </row>
    <row r="23" spans="1:15">
      <c r="A23" s="93">
        <v>15</v>
      </c>
      <c r="B23" s="95" t="s">
        <v>443</v>
      </c>
      <c r="C23" s="95">
        <v>342.30900000000003</v>
      </c>
      <c r="D23" s="90"/>
      <c r="E23" s="89">
        <f t="shared" si="0"/>
        <v>0</v>
      </c>
      <c r="F23" s="90"/>
      <c r="G23" s="89"/>
      <c r="H23" s="88"/>
      <c r="I23" s="89">
        <f t="shared" si="5"/>
        <v>0</v>
      </c>
      <c r="J23" s="90">
        <f t="shared" si="7"/>
        <v>0</v>
      </c>
      <c r="K23" s="144">
        <f t="shared" si="2"/>
        <v>0</v>
      </c>
      <c r="L23" s="144"/>
      <c r="M23" s="130">
        <f t="shared" si="3"/>
        <v>0</v>
      </c>
      <c r="N23" s="130">
        <f t="shared" si="6"/>
        <v>0</v>
      </c>
      <c r="O23" s="146">
        <v>2.5670000000000002</v>
      </c>
    </row>
    <row r="24" spans="1:15">
      <c r="A24" s="86">
        <v>16</v>
      </c>
      <c r="B24" s="95" t="s">
        <v>444</v>
      </c>
      <c r="C24" s="95">
        <v>253.22200000000001</v>
      </c>
      <c r="D24" s="90">
        <f>+'[9]SOMA MADAM'!E17</f>
        <v>35</v>
      </c>
      <c r="E24" s="89">
        <f t="shared" si="0"/>
        <v>8.8627700000000011</v>
      </c>
      <c r="F24" s="90">
        <f>+'[9]SOMA MADAM'!G17</f>
        <v>0</v>
      </c>
      <c r="G24" s="89">
        <f t="shared" si="4"/>
        <v>0</v>
      </c>
      <c r="H24" s="90">
        <f>+'[9]SOMA MADAM'!J17</f>
        <v>35</v>
      </c>
      <c r="I24" s="89">
        <f t="shared" si="5"/>
        <v>8.8627700000000011</v>
      </c>
      <c r="J24" s="90">
        <f t="shared" si="7"/>
        <v>0</v>
      </c>
      <c r="K24" s="144">
        <f t="shared" si="2"/>
        <v>0</v>
      </c>
      <c r="L24" s="144"/>
      <c r="M24" s="130">
        <f t="shared" si="3"/>
        <v>0</v>
      </c>
      <c r="N24" s="130">
        <f t="shared" si="6"/>
        <v>6.646500000000001E-2</v>
      </c>
      <c r="O24" s="146">
        <v>1.899</v>
      </c>
    </row>
    <row r="25" spans="1:15">
      <c r="A25" s="93">
        <v>17</v>
      </c>
      <c r="B25" s="95" t="s">
        <v>445</v>
      </c>
      <c r="C25" s="95">
        <v>405.40499999999997</v>
      </c>
      <c r="D25" s="90">
        <f>+'[9]SOMA MADAM'!E9</f>
        <v>28</v>
      </c>
      <c r="E25" s="89">
        <f t="shared" si="0"/>
        <v>11.35134</v>
      </c>
      <c r="F25" s="90">
        <f>+'[9]SOMA MADAM'!G9</f>
        <v>41</v>
      </c>
      <c r="G25" s="89">
        <f t="shared" si="4"/>
        <v>16.621604999999999</v>
      </c>
      <c r="H25" s="88">
        <f>+'[9]SOMA MADAM'!J9</f>
        <v>67</v>
      </c>
      <c r="I25" s="89">
        <f t="shared" si="5"/>
        <v>27.162134999999999</v>
      </c>
      <c r="J25" s="90">
        <f t="shared" si="7"/>
        <v>2</v>
      </c>
      <c r="K25" s="144">
        <f t="shared" si="2"/>
        <v>0.81081000000000003</v>
      </c>
      <c r="L25" s="144"/>
      <c r="M25" s="130">
        <f t="shared" si="3"/>
        <v>0.124681</v>
      </c>
      <c r="N25" s="130">
        <f t="shared" si="6"/>
        <v>0.20374699999999998</v>
      </c>
      <c r="O25" s="146">
        <v>3.0409999999999999</v>
      </c>
    </row>
    <row r="26" spans="1:15">
      <c r="A26" s="86">
        <v>18</v>
      </c>
      <c r="B26" s="95" t="s">
        <v>446</v>
      </c>
      <c r="C26" s="95"/>
      <c r="D26" s="90"/>
      <c r="E26" s="89"/>
      <c r="F26" s="90"/>
      <c r="G26" s="89">
        <v>2.57</v>
      </c>
      <c r="H26" s="88"/>
      <c r="I26" s="89">
        <v>2.57</v>
      </c>
      <c r="J26" s="90"/>
      <c r="K26" s="144"/>
      <c r="L26" s="144"/>
      <c r="M26" s="130"/>
      <c r="N26" s="130"/>
      <c r="O26" s="146"/>
    </row>
    <row r="27" spans="1:15">
      <c r="A27" s="93">
        <v>19</v>
      </c>
      <c r="B27" s="95" t="s">
        <v>447</v>
      </c>
      <c r="C27" s="95"/>
      <c r="D27" s="90"/>
      <c r="E27" s="89"/>
      <c r="F27" s="90"/>
      <c r="G27" s="89">
        <v>6.23</v>
      </c>
      <c r="H27" s="88"/>
      <c r="I27" s="89">
        <v>6.23</v>
      </c>
      <c r="J27" s="90"/>
      <c r="K27" s="144"/>
      <c r="L27" s="144"/>
      <c r="M27" s="130"/>
      <c r="N27" s="130"/>
      <c r="O27" s="146"/>
    </row>
    <row r="28" spans="1:15">
      <c r="A28" s="86">
        <v>20</v>
      </c>
      <c r="B28" s="95" t="s">
        <v>448</v>
      </c>
      <c r="C28" s="98">
        <v>417.59</v>
      </c>
      <c r="D28" s="90"/>
      <c r="E28" s="89"/>
      <c r="F28" s="90">
        <f>+'[9]MONTHLY WISE'!F11</f>
        <v>11</v>
      </c>
      <c r="G28" s="89">
        <f>+F28*C28/1000</f>
        <v>4.5934900000000001</v>
      </c>
      <c r="H28" s="90">
        <f>+'[9]MONTHLY WISE'!H11</f>
        <v>0</v>
      </c>
      <c r="I28" s="89">
        <f>+H28*C28/1000</f>
        <v>0</v>
      </c>
      <c r="J28" s="90">
        <f>+D28+F28-H28</f>
        <v>11</v>
      </c>
      <c r="K28" s="144">
        <f>E28+G28-I28</f>
        <v>4.5934900000000001</v>
      </c>
      <c r="L28" s="144"/>
      <c r="M28" s="130">
        <f>F28*O28/1000</f>
        <v>3.4451999999999997E-2</v>
      </c>
      <c r="N28" s="130">
        <f>H28*O28/1000</f>
        <v>0</v>
      </c>
      <c r="O28" s="146">
        <v>3.1320000000000001</v>
      </c>
    </row>
    <row r="29" spans="1:15">
      <c r="A29" s="86"/>
      <c r="B29" s="99" t="s">
        <v>449</v>
      </c>
      <c r="C29" s="99"/>
      <c r="D29" s="90"/>
      <c r="E29" s="100"/>
      <c r="F29" s="90"/>
      <c r="G29" s="89"/>
      <c r="H29" s="88"/>
      <c r="I29" s="88"/>
      <c r="J29" s="88"/>
      <c r="K29" s="144"/>
      <c r="L29" s="144"/>
      <c r="M29" s="130"/>
      <c r="N29" s="130"/>
      <c r="O29" s="145"/>
    </row>
    <row r="30" spans="1:15">
      <c r="A30" s="86">
        <v>21</v>
      </c>
      <c r="B30" s="101" t="s">
        <v>392</v>
      </c>
      <c r="C30" s="101"/>
      <c r="D30" s="91"/>
      <c r="E30" s="102"/>
      <c r="F30" s="91"/>
      <c r="G30" s="103">
        <f>+'[9]SOMA MADAM'!J44</f>
        <v>262.91500000000002</v>
      </c>
      <c r="H30" s="104"/>
      <c r="I30" s="103">
        <f t="shared" ref="I30:I35" si="8">+G30</f>
        <v>262.91500000000002</v>
      </c>
      <c r="J30" s="88"/>
      <c r="K30" s="144">
        <f>E30+G30-I30</f>
        <v>0</v>
      </c>
      <c r="L30" s="144"/>
      <c r="M30" s="130"/>
      <c r="N30" s="130"/>
      <c r="O30" s="145"/>
    </row>
    <row r="31" spans="1:15">
      <c r="A31" s="86">
        <v>22</v>
      </c>
      <c r="B31" s="95" t="s">
        <v>393</v>
      </c>
      <c r="C31" s="95"/>
      <c r="D31" s="90"/>
      <c r="E31" s="100"/>
      <c r="F31" s="90"/>
      <c r="G31" s="89">
        <f>+'[9]SOMA MADAM'!I41</f>
        <v>3.2210000000000001</v>
      </c>
      <c r="H31" s="88"/>
      <c r="I31" s="103">
        <f t="shared" si="8"/>
        <v>3.2210000000000001</v>
      </c>
      <c r="J31" s="88"/>
      <c r="K31" s="144">
        <f>E31+G31-I31</f>
        <v>0</v>
      </c>
      <c r="L31" s="144"/>
      <c r="M31" s="130"/>
      <c r="N31" s="130"/>
      <c r="O31" s="145"/>
    </row>
    <row r="32" spans="1:15">
      <c r="A32" s="86">
        <v>23</v>
      </c>
      <c r="B32" s="95" t="s">
        <v>394</v>
      </c>
      <c r="C32" s="95"/>
      <c r="D32" s="90"/>
      <c r="E32" s="100"/>
      <c r="F32" s="90"/>
      <c r="G32" s="89">
        <f>+'[9]SOMA MADAM'!I40</f>
        <v>0</v>
      </c>
      <c r="H32" s="88"/>
      <c r="I32" s="103">
        <f t="shared" si="8"/>
        <v>0</v>
      </c>
      <c r="J32" s="88"/>
      <c r="K32" s="144">
        <f>E32+G32-I32</f>
        <v>0</v>
      </c>
      <c r="L32" s="144"/>
      <c r="M32" s="130"/>
      <c r="N32" s="130"/>
      <c r="O32" s="145"/>
    </row>
    <row r="33" spans="1:16" ht="29.25">
      <c r="A33" s="86">
        <v>24</v>
      </c>
      <c r="B33" s="105" t="s">
        <v>450</v>
      </c>
      <c r="C33" s="105"/>
      <c r="D33" s="91"/>
      <c r="E33" s="89"/>
      <c r="F33" s="91"/>
      <c r="G33" s="89">
        <f>+'[9]SOMA MADAM'!I26+'[9]SOMA MADAM'!I29</f>
        <v>33.725999999999999</v>
      </c>
      <c r="H33" s="104"/>
      <c r="I33" s="89">
        <f t="shared" si="8"/>
        <v>33.725999999999999</v>
      </c>
      <c r="J33" s="88"/>
      <c r="K33" s="144"/>
      <c r="L33" s="144"/>
      <c r="M33" s="130"/>
      <c r="N33" s="130"/>
      <c r="O33" s="145"/>
    </row>
    <row r="34" spans="1:16" ht="29.25">
      <c r="A34" s="86">
        <v>25</v>
      </c>
      <c r="B34" s="105" t="s">
        <v>451</v>
      </c>
      <c r="C34" s="105"/>
      <c r="D34" s="91"/>
      <c r="E34" s="89"/>
      <c r="F34" s="91"/>
      <c r="G34" s="89">
        <f>+'[9]SOMA MADAM'!I30</f>
        <v>0</v>
      </c>
      <c r="H34" s="104"/>
      <c r="I34" s="89">
        <f t="shared" si="8"/>
        <v>0</v>
      </c>
      <c r="J34" s="88"/>
      <c r="K34" s="144"/>
      <c r="L34" s="144"/>
      <c r="M34" s="130"/>
      <c r="N34" s="130"/>
      <c r="O34" s="145"/>
    </row>
    <row r="35" spans="1:16" ht="29.25">
      <c r="A35" s="86">
        <v>26</v>
      </c>
      <c r="B35" s="105" t="s">
        <v>452</v>
      </c>
      <c r="C35" s="105"/>
      <c r="D35" s="91"/>
      <c r="E35" s="89"/>
      <c r="F35" s="91"/>
      <c r="G35" s="89">
        <f>+'[9]SOMA MADAM'!I27+6.075</f>
        <v>20.934000000000001</v>
      </c>
      <c r="H35" s="104"/>
      <c r="I35" s="89">
        <f t="shared" si="8"/>
        <v>20.934000000000001</v>
      </c>
      <c r="J35" s="88"/>
      <c r="K35" s="144"/>
      <c r="L35" s="144"/>
      <c r="M35" s="130"/>
      <c r="N35" s="130"/>
      <c r="O35" s="145"/>
    </row>
    <row r="36" spans="1:16">
      <c r="A36" s="86"/>
      <c r="B36" s="95"/>
      <c r="C36" s="95"/>
      <c r="D36" s="90"/>
      <c r="E36" s="100"/>
      <c r="F36" s="90"/>
      <c r="G36" s="89"/>
      <c r="H36" s="88"/>
      <c r="I36" s="88"/>
      <c r="J36" s="88"/>
      <c r="K36" s="144"/>
      <c r="L36" s="144"/>
      <c r="M36" s="130"/>
      <c r="N36" s="130"/>
      <c r="O36" s="145"/>
    </row>
    <row r="37" spans="1:16">
      <c r="A37" s="86"/>
      <c r="B37" s="95"/>
      <c r="C37" s="95"/>
      <c r="D37" s="106">
        <f t="shared" ref="D37:K37" si="9">SUM(D6:D32)</f>
        <v>267</v>
      </c>
      <c r="E37" s="107">
        <f>SUM(E6:E35)</f>
        <v>95.408073999999999</v>
      </c>
      <c r="F37" s="106">
        <f t="shared" si="9"/>
        <v>673</v>
      </c>
      <c r="G37" s="107">
        <f>SUM(G6:G35)</f>
        <v>575.24462999999992</v>
      </c>
      <c r="H37" s="106">
        <f t="shared" si="9"/>
        <v>854</v>
      </c>
      <c r="I37" s="107">
        <f>SUM(I6:I35)</f>
        <v>639.49143100000003</v>
      </c>
      <c r="J37" s="106">
        <f t="shared" si="9"/>
        <v>86</v>
      </c>
      <c r="K37" s="107">
        <f t="shared" si="9"/>
        <v>31.161273000000023</v>
      </c>
      <c r="L37" s="107">
        <f>SUM(L6:L35)</f>
        <v>0</v>
      </c>
      <c r="M37" s="107">
        <f>SUM(M6:M35)</f>
        <v>1.8438210000000002</v>
      </c>
      <c r="N37" s="107">
        <f>SUM(N6:N35)</f>
        <v>2.3267340000000001</v>
      </c>
      <c r="O37" s="149"/>
    </row>
    <row r="38" spans="1:16">
      <c r="A38" s="108"/>
      <c r="B38" s="109"/>
      <c r="C38" s="109"/>
      <c r="D38" s="110"/>
      <c r="E38" s="110"/>
      <c r="F38" s="110"/>
      <c r="G38" s="111"/>
      <c r="H38" s="111"/>
      <c r="I38" s="111"/>
      <c r="J38" s="111"/>
      <c r="K38" s="150"/>
      <c r="L38" s="111"/>
      <c r="M38" s="126"/>
      <c r="N38" s="126"/>
      <c r="O38" s="138"/>
    </row>
    <row r="39" spans="1:16">
      <c r="A39" s="108"/>
      <c r="B39" s="109"/>
      <c r="C39" s="109"/>
      <c r="D39" s="110"/>
      <c r="E39" s="110"/>
      <c r="F39" s="110"/>
      <c r="G39" s="111"/>
      <c r="H39" s="111"/>
      <c r="I39" s="111"/>
      <c r="J39" s="111"/>
      <c r="K39" s="150"/>
      <c r="L39" s="111"/>
      <c r="M39" s="126"/>
      <c r="N39" s="126"/>
      <c r="O39" s="138"/>
    </row>
    <row r="40" spans="1:16">
      <c r="A40" s="1154" t="s">
        <v>419</v>
      </c>
      <c r="B40" s="83" t="s">
        <v>301</v>
      </c>
      <c r="C40" s="83"/>
      <c r="D40" s="1155" t="s">
        <v>420</v>
      </c>
      <c r="E40" s="1155"/>
      <c r="F40" s="1155" t="s">
        <v>359</v>
      </c>
      <c r="G40" s="1155"/>
      <c r="H40" s="1155" t="s">
        <v>453</v>
      </c>
      <c r="I40" s="1155"/>
      <c r="J40" s="1155" t="s">
        <v>422</v>
      </c>
      <c r="K40" s="1159"/>
      <c r="L40" s="139"/>
      <c r="M40" s="126"/>
      <c r="N40" s="126"/>
      <c r="O40" s="138"/>
      <c r="P40" s="151"/>
    </row>
    <row r="41" spans="1:16" ht="30">
      <c r="A41" s="1154"/>
      <c r="B41" s="83" t="s">
        <v>454</v>
      </c>
      <c r="C41" s="83"/>
      <c r="D41" s="84" t="s">
        <v>250</v>
      </c>
      <c r="E41" s="85" t="s">
        <v>426</v>
      </c>
      <c r="F41" s="84" t="s">
        <v>250</v>
      </c>
      <c r="G41" s="85" t="s">
        <v>426</v>
      </c>
      <c r="H41" s="84" t="s">
        <v>250</v>
      </c>
      <c r="I41" s="85" t="s">
        <v>426</v>
      </c>
      <c r="J41" s="84" t="s">
        <v>250</v>
      </c>
      <c r="K41" s="152" t="s">
        <v>426</v>
      </c>
      <c r="L41" s="153"/>
      <c r="M41" s="126"/>
      <c r="N41" s="126"/>
      <c r="O41" s="138"/>
    </row>
    <row r="42" spans="1:16" ht="31.5" customHeight="1">
      <c r="A42" s="86">
        <v>1</v>
      </c>
      <c r="B42" s="112" t="s">
        <v>455</v>
      </c>
      <c r="C42" s="112">
        <v>290</v>
      </c>
      <c r="D42" s="113">
        <f>+'[10]SOMA MADAM'!E32</f>
        <v>0</v>
      </c>
      <c r="E42" s="114">
        <f>+D42*C42/1000</f>
        <v>0</v>
      </c>
      <c r="F42" s="113">
        <f>+'[10]SOMA MADAM'!G32</f>
        <v>0</v>
      </c>
      <c r="G42" s="89">
        <f>+F42*C42/1000</f>
        <v>0</v>
      </c>
      <c r="H42" s="104">
        <f>+'[10]SOMA MADAM'!J32</f>
        <v>0</v>
      </c>
      <c r="I42" s="89">
        <f>+H42*C42/1000</f>
        <v>0</v>
      </c>
      <c r="J42" s="113">
        <f>D42+F42-H42</f>
        <v>0</v>
      </c>
      <c r="K42" s="144">
        <f>E42+G42-I42</f>
        <v>0</v>
      </c>
      <c r="L42" s="144"/>
      <c r="M42" s="130">
        <f>F42*O42/1000</f>
        <v>0</v>
      </c>
      <c r="N42" s="130">
        <f>H42*O42/1000</f>
        <v>0</v>
      </c>
      <c r="O42" s="145">
        <v>2.1749999999999998</v>
      </c>
    </row>
    <row r="43" spans="1:16" ht="28.5" customHeight="1">
      <c r="A43" s="86">
        <v>2</v>
      </c>
      <c r="B43" s="112" t="s">
        <v>399</v>
      </c>
      <c r="C43" s="112">
        <v>290</v>
      </c>
      <c r="D43" s="113">
        <f>+'[9]SOMA MADAM'!E36</f>
        <v>416</v>
      </c>
      <c r="E43" s="114">
        <f>+D43*C43/1000</f>
        <v>120.64</v>
      </c>
      <c r="F43" s="113">
        <f>+'[9]SOMA MADAM'!G36</f>
        <v>1108</v>
      </c>
      <c r="G43" s="89">
        <f>+F43*C43/1000</f>
        <v>321.32</v>
      </c>
      <c r="H43" s="90">
        <f>+'[9]SOMA MADAM'!J36</f>
        <v>1096</v>
      </c>
      <c r="I43" s="89">
        <f>+H43*C43/1000</f>
        <v>317.83999999999997</v>
      </c>
      <c r="J43" s="113">
        <f>D43+F43-H43</f>
        <v>428</v>
      </c>
      <c r="K43" s="144">
        <f>E43+G43-I43</f>
        <v>124.12</v>
      </c>
      <c r="L43" s="144"/>
      <c r="M43" s="130">
        <f>F43*O43/1000</f>
        <v>2.4098999999999995</v>
      </c>
      <c r="N43" s="130">
        <f>H43*O43/1000</f>
        <v>2.3837999999999999</v>
      </c>
      <c r="O43" s="145">
        <v>2.1749999999999998</v>
      </c>
      <c r="P43" s="151"/>
    </row>
    <row r="44" spans="1:16">
      <c r="A44" s="86"/>
      <c r="B44" s="95"/>
      <c r="C44" s="95"/>
      <c r="D44" s="106">
        <f t="shared" ref="D44:N44" si="10">SUM(D42:D43)</f>
        <v>416</v>
      </c>
      <c r="E44" s="107">
        <f t="shared" si="10"/>
        <v>120.64</v>
      </c>
      <c r="F44" s="106">
        <f t="shared" si="10"/>
        <v>1108</v>
      </c>
      <c r="G44" s="107">
        <f t="shared" si="10"/>
        <v>321.32</v>
      </c>
      <c r="H44" s="106">
        <f t="shared" si="10"/>
        <v>1096</v>
      </c>
      <c r="I44" s="107">
        <f t="shared" si="10"/>
        <v>317.83999999999997</v>
      </c>
      <c r="J44" s="106">
        <f t="shared" si="10"/>
        <v>428</v>
      </c>
      <c r="K44" s="154">
        <f t="shared" si="10"/>
        <v>124.12</v>
      </c>
      <c r="L44" s="154"/>
      <c r="M44" s="107">
        <f t="shared" si="10"/>
        <v>2.4098999999999995</v>
      </c>
      <c r="N44" s="107">
        <f t="shared" si="10"/>
        <v>2.3837999999999999</v>
      </c>
      <c r="O44" s="149"/>
    </row>
    <row r="45" spans="1:16">
      <c r="A45" s="115"/>
      <c r="B45" s="109"/>
      <c r="C45" s="109"/>
      <c r="D45" s="116"/>
      <c r="E45" s="116"/>
      <c r="F45" s="116"/>
      <c r="G45" s="117"/>
      <c r="H45" s="118"/>
      <c r="I45" s="118"/>
      <c r="J45" s="118"/>
      <c r="K45" s="155"/>
      <c r="L45" s="118"/>
      <c r="M45" s="126"/>
      <c r="N45" s="126"/>
      <c r="O45" s="138"/>
    </row>
    <row r="46" spans="1:16" ht="15.75">
      <c r="A46" s="115"/>
      <c r="B46" s="99" t="s">
        <v>456</v>
      </c>
      <c r="C46" s="99"/>
      <c r="D46" s="119">
        <f>+D44+D37</f>
        <v>683</v>
      </c>
      <c r="E46" s="120">
        <f t="shared" ref="E46:K46" si="11">+E44+E37</f>
        <v>216.04807399999999</v>
      </c>
      <c r="F46" s="119">
        <f t="shared" si="11"/>
        <v>1781</v>
      </c>
      <c r="G46" s="120">
        <f t="shared" si="11"/>
        <v>896.56462999999985</v>
      </c>
      <c r="H46" s="119">
        <f t="shared" si="11"/>
        <v>1950</v>
      </c>
      <c r="I46" s="120">
        <f t="shared" si="11"/>
        <v>957.33143100000007</v>
      </c>
      <c r="J46" s="119">
        <f t="shared" si="11"/>
        <v>514</v>
      </c>
      <c r="K46" s="120">
        <f t="shared" si="11"/>
        <v>155.28127300000003</v>
      </c>
      <c r="L46" s="156"/>
      <c r="M46" s="126"/>
      <c r="N46" s="126"/>
      <c r="O46" s="138"/>
    </row>
    <row r="47" spans="1:16">
      <c r="A47" s="121"/>
      <c r="B47" s="122"/>
      <c r="C47" s="122"/>
      <c r="D47" s="123"/>
      <c r="E47" s="123"/>
      <c r="F47" s="123"/>
      <c r="G47" s="123"/>
      <c r="H47" s="123"/>
      <c r="I47" s="123"/>
      <c r="J47" s="123"/>
      <c r="K47" s="157"/>
      <c r="L47" s="118"/>
      <c r="M47" s="126"/>
      <c r="N47" s="126"/>
      <c r="O47" s="138"/>
    </row>
    <row r="48" spans="1:16">
      <c r="A48" s="124"/>
      <c r="B48" s="125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38"/>
    </row>
    <row r="49" spans="1:15">
      <c r="A49" s="127" t="s">
        <v>20</v>
      </c>
      <c r="B49" s="128" t="s">
        <v>287</v>
      </c>
      <c r="C49" s="126"/>
      <c r="D49" s="931" t="s">
        <v>290</v>
      </c>
      <c r="E49" s="931"/>
      <c r="F49" s="130">
        <v>41.5</v>
      </c>
      <c r="G49" s="126"/>
      <c r="H49" s="931" t="s">
        <v>295</v>
      </c>
      <c r="I49" s="931"/>
      <c r="J49" s="931"/>
      <c r="K49" s="126"/>
      <c r="L49" s="126"/>
      <c r="M49" s="126"/>
      <c r="N49" s="126"/>
      <c r="O49" s="138"/>
    </row>
    <row r="50" spans="1:15">
      <c r="A50" s="127"/>
      <c r="B50" s="129"/>
      <c r="C50" s="126"/>
      <c r="D50" s="931" t="s">
        <v>291</v>
      </c>
      <c r="E50" s="931"/>
      <c r="F50" s="130">
        <v>21.32</v>
      </c>
      <c r="G50" s="126"/>
      <c r="H50" s="3" t="s">
        <v>20</v>
      </c>
      <c r="I50" s="3" t="s">
        <v>21</v>
      </c>
      <c r="J50" s="3" t="s">
        <v>84</v>
      </c>
      <c r="K50" s="126"/>
      <c r="L50" s="126"/>
      <c r="M50" s="126"/>
      <c r="N50" s="126"/>
      <c r="O50" s="138"/>
    </row>
    <row r="51" spans="1:15">
      <c r="A51" s="127"/>
      <c r="B51" s="129"/>
      <c r="C51" s="126"/>
      <c r="D51" s="931" t="s">
        <v>10</v>
      </c>
      <c r="E51" s="931"/>
      <c r="F51" s="130">
        <f>SUM(F49:F50)</f>
        <v>62.82</v>
      </c>
      <c r="G51" s="126"/>
      <c r="H51" s="3"/>
      <c r="I51" s="3"/>
      <c r="J51" s="3"/>
      <c r="K51" s="126"/>
      <c r="L51" s="126"/>
      <c r="M51" s="126"/>
      <c r="N51" s="126"/>
      <c r="O51" s="138"/>
    </row>
    <row r="52" spans="1:15">
      <c r="A52" s="127"/>
      <c r="B52" s="129"/>
      <c r="C52" s="126"/>
      <c r="D52" s="126"/>
      <c r="E52" s="126"/>
      <c r="F52" s="126"/>
      <c r="G52" s="126"/>
      <c r="H52" s="3"/>
      <c r="I52" s="3"/>
      <c r="J52" s="3"/>
      <c r="K52" s="126"/>
      <c r="L52" s="126"/>
      <c r="M52" s="126"/>
      <c r="N52" s="126"/>
      <c r="O52" s="138"/>
    </row>
    <row r="53" spans="1:15">
      <c r="A53" s="127"/>
      <c r="B53" s="129"/>
      <c r="C53" s="126"/>
      <c r="D53" s="126"/>
      <c r="E53" s="126"/>
      <c r="F53" s="126"/>
      <c r="G53" s="126"/>
      <c r="H53" s="3"/>
      <c r="I53" s="3"/>
      <c r="J53" s="3"/>
      <c r="K53" s="126"/>
      <c r="L53" s="126"/>
      <c r="M53" s="126"/>
      <c r="N53" s="126"/>
      <c r="O53" s="138"/>
    </row>
    <row r="54" spans="1:15">
      <c r="A54" s="127"/>
      <c r="B54" s="129"/>
      <c r="C54" s="126"/>
      <c r="D54" s="126"/>
      <c r="E54" s="126"/>
      <c r="F54" s="126"/>
      <c r="G54" s="126"/>
      <c r="H54" s="3"/>
      <c r="I54" s="3"/>
      <c r="J54" s="3"/>
      <c r="K54" s="126"/>
      <c r="L54" s="126"/>
      <c r="M54" s="126"/>
      <c r="N54" s="126"/>
      <c r="O54" s="138"/>
    </row>
    <row r="55" spans="1:15">
      <c r="A55" s="124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38"/>
    </row>
    <row r="56" spans="1:15">
      <c r="A56" s="124"/>
      <c r="B56" s="1112" t="s">
        <v>457</v>
      </c>
      <c r="C56" s="1114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38"/>
    </row>
    <row r="57" spans="1:15">
      <c r="A57" s="131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58"/>
    </row>
    <row r="58" spans="1:15" ht="15.75">
      <c r="A58" s="1156" t="s">
        <v>458</v>
      </c>
      <c r="B58" s="1157"/>
      <c r="C58" s="1157"/>
      <c r="D58" s="1157"/>
      <c r="E58" s="1157"/>
      <c r="F58" s="1157"/>
      <c r="G58" s="1157"/>
      <c r="H58" s="1157"/>
      <c r="I58" s="1157"/>
      <c r="J58" s="1157"/>
      <c r="K58" s="1158"/>
      <c r="L58" s="133"/>
      <c r="M58" s="135"/>
      <c r="N58" s="135"/>
      <c r="O58" s="136"/>
    </row>
    <row r="59" spans="1:15">
      <c r="A59" s="134" t="s">
        <v>419</v>
      </c>
      <c r="B59" s="83" t="s">
        <v>301</v>
      </c>
      <c r="C59" s="83"/>
      <c r="D59" s="1155" t="s">
        <v>420</v>
      </c>
      <c r="E59" s="1155"/>
      <c r="F59" s="1155" t="s">
        <v>359</v>
      </c>
      <c r="G59" s="1155"/>
      <c r="H59" s="1155" t="s">
        <v>421</v>
      </c>
      <c r="I59" s="1155"/>
      <c r="J59" s="1155" t="s">
        <v>422</v>
      </c>
      <c r="K59" s="1159"/>
      <c r="L59" s="139" t="s">
        <v>423</v>
      </c>
      <c r="M59" s="126"/>
      <c r="N59" s="126"/>
      <c r="O59" s="138"/>
    </row>
    <row r="60" spans="1:15" ht="45">
      <c r="A60" s="134"/>
      <c r="B60" s="83" t="s">
        <v>424</v>
      </c>
      <c r="C60" s="83" t="s">
        <v>18</v>
      </c>
      <c r="D60" s="84" t="s">
        <v>250</v>
      </c>
      <c r="E60" s="85" t="s">
        <v>425</v>
      </c>
      <c r="F60" s="84" t="s">
        <v>250</v>
      </c>
      <c r="G60" s="85" t="s">
        <v>426</v>
      </c>
      <c r="H60" s="84" t="s">
        <v>250</v>
      </c>
      <c r="I60" s="85" t="s">
        <v>426</v>
      </c>
      <c r="J60" s="84" t="s">
        <v>250</v>
      </c>
      <c r="K60" s="140" t="s">
        <v>426</v>
      </c>
      <c r="L60" s="140"/>
      <c r="M60" s="142" t="s">
        <v>427</v>
      </c>
      <c r="N60" s="142" t="s">
        <v>428</v>
      </c>
      <c r="O60" s="143" t="s">
        <v>429</v>
      </c>
    </row>
    <row r="61" spans="1:15" ht="28.5">
      <c r="A61" s="86">
        <v>1</v>
      </c>
      <c r="B61" s="87" t="s">
        <v>430</v>
      </c>
      <c r="C61" s="87">
        <v>331.69499999999999</v>
      </c>
      <c r="D61" s="88">
        <v>7</v>
      </c>
      <c r="E61" s="89">
        <v>2.3218649999999998</v>
      </c>
      <c r="F61" s="90">
        <v>85</v>
      </c>
      <c r="G61" s="89">
        <v>28.194075000000002</v>
      </c>
      <c r="H61" s="90">
        <v>92</v>
      </c>
      <c r="I61" s="89">
        <v>30.515940000000001</v>
      </c>
      <c r="J61" s="90">
        <v>0</v>
      </c>
      <c r="K61" s="144">
        <v>0</v>
      </c>
      <c r="L61" s="144"/>
      <c r="M61" s="130">
        <v>0.21232999999999999</v>
      </c>
      <c r="N61" s="130">
        <v>0.22981599999999999</v>
      </c>
      <c r="O61" s="145">
        <v>2.4980000000000002</v>
      </c>
    </row>
    <row r="62" spans="1:15" ht="28.5">
      <c r="A62" s="86">
        <v>2</v>
      </c>
      <c r="B62" s="87" t="s">
        <v>431</v>
      </c>
      <c r="C62" s="87">
        <v>437.38400000000001</v>
      </c>
      <c r="D62" s="90">
        <v>12</v>
      </c>
      <c r="E62" s="89">
        <v>5.2486079999999999</v>
      </c>
      <c r="F62" s="90">
        <v>72</v>
      </c>
      <c r="G62" s="89">
        <v>33.241647999999998</v>
      </c>
      <c r="H62" s="91">
        <v>84</v>
      </c>
      <c r="I62" s="89">
        <v>38.490256000000002</v>
      </c>
      <c r="J62" s="90">
        <v>0</v>
      </c>
      <c r="K62" s="144">
        <v>0</v>
      </c>
      <c r="L62" s="144"/>
      <c r="M62" s="130">
        <v>0.23616000000000001</v>
      </c>
      <c r="N62" s="130">
        <v>0.27551999999999999</v>
      </c>
      <c r="O62" s="146">
        <v>3.28</v>
      </c>
    </row>
    <row r="63" spans="1:15">
      <c r="A63" s="86">
        <v>3</v>
      </c>
      <c r="B63" s="87" t="s">
        <v>262</v>
      </c>
      <c r="C63" s="87">
        <v>417.59</v>
      </c>
      <c r="D63" s="90">
        <v>11</v>
      </c>
      <c r="E63" s="89">
        <v>4.5934900000000001</v>
      </c>
      <c r="F63" s="90">
        <v>77</v>
      </c>
      <c r="G63" s="89">
        <v>32.154429999999998</v>
      </c>
      <c r="H63" s="90">
        <v>74</v>
      </c>
      <c r="I63" s="89">
        <v>30.90166</v>
      </c>
      <c r="J63" s="90">
        <v>14</v>
      </c>
      <c r="K63" s="144">
        <v>5.84626</v>
      </c>
      <c r="L63" s="144"/>
      <c r="M63" s="130">
        <v>0.24116399999999999</v>
      </c>
      <c r="N63" s="130">
        <v>0.231768</v>
      </c>
      <c r="O63" s="145">
        <v>3.1320000000000001</v>
      </c>
    </row>
    <row r="64" spans="1:15" ht="28.5">
      <c r="A64" s="86">
        <v>4</v>
      </c>
      <c r="B64" s="87" t="s">
        <v>433</v>
      </c>
      <c r="C64" s="92">
        <v>255.15</v>
      </c>
      <c r="D64" s="90">
        <v>9</v>
      </c>
      <c r="E64" s="89">
        <v>2.2963499999999999</v>
      </c>
      <c r="F64" s="90">
        <v>0</v>
      </c>
      <c r="G64" s="89">
        <v>0</v>
      </c>
      <c r="H64" s="88">
        <v>0</v>
      </c>
      <c r="I64" s="89">
        <v>0</v>
      </c>
      <c r="J64" s="90">
        <v>9</v>
      </c>
      <c r="K64" s="144">
        <v>2.2963499999999999</v>
      </c>
      <c r="L64" s="144"/>
      <c r="M64" s="130">
        <v>0</v>
      </c>
      <c r="N64" s="130">
        <v>0</v>
      </c>
      <c r="O64" s="145">
        <v>1.9139999999999999</v>
      </c>
    </row>
    <row r="65" spans="1:15" ht="28.5">
      <c r="A65" s="86">
        <v>5</v>
      </c>
      <c r="B65" s="87" t="s">
        <v>434</v>
      </c>
      <c r="C65" s="87">
        <v>297.67500000000001</v>
      </c>
      <c r="D65" s="90"/>
      <c r="E65" s="89">
        <v>0</v>
      </c>
      <c r="F65" s="90"/>
      <c r="G65" s="89">
        <v>0</v>
      </c>
      <c r="H65" s="90"/>
      <c r="I65" s="89">
        <v>0</v>
      </c>
      <c r="J65" s="90">
        <v>0</v>
      </c>
      <c r="K65" s="144">
        <v>0</v>
      </c>
      <c r="L65" s="144"/>
      <c r="M65" s="130">
        <v>0</v>
      </c>
      <c r="N65" s="130">
        <v>0</v>
      </c>
      <c r="O65" s="145">
        <v>2.2330000000000001</v>
      </c>
    </row>
    <row r="66" spans="1:15" ht="28.5">
      <c r="A66" s="86">
        <v>6</v>
      </c>
      <c r="B66" s="159" t="s">
        <v>435</v>
      </c>
      <c r="C66" s="159">
        <v>260.43299999999999</v>
      </c>
      <c r="D66" s="90"/>
      <c r="E66" s="89">
        <v>0</v>
      </c>
      <c r="F66" s="90"/>
      <c r="G66" s="89">
        <v>0</v>
      </c>
      <c r="H66" s="88"/>
      <c r="I66" s="89">
        <v>0</v>
      </c>
      <c r="J66" s="90">
        <v>0</v>
      </c>
      <c r="K66" s="144">
        <v>0</v>
      </c>
      <c r="L66" s="144"/>
      <c r="M66" s="130">
        <v>0</v>
      </c>
      <c r="N66" s="130">
        <v>0</v>
      </c>
      <c r="O66" s="145">
        <v>1.9530000000000001</v>
      </c>
    </row>
    <row r="67" spans="1:15">
      <c r="A67" s="86"/>
      <c r="B67" s="105"/>
      <c r="C67" s="105"/>
      <c r="D67" s="91"/>
      <c r="E67" s="89"/>
      <c r="F67" s="91"/>
      <c r="G67" s="89"/>
      <c r="H67" s="104"/>
      <c r="I67" s="89"/>
      <c r="J67" s="90"/>
      <c r="K67" s="147"/>
      <c r="L67" s="147"/>
      <c r="M67" s="148"/>
      <c r="N67" s="148"/>
      <c r="O67" s="145"/>
    </row>
    <row r="68" spans="1:15">
      <c r="A68" s="86"/>
      <c r="B68" s="105"/>
      <c r="C68" s="105"/>
      <c r="D68" s="91"/>
      <c r="E68" s="89"/>
      <c r="F68" s="91"/>
      <c r="G68" s="89"/>
      <c r="H68" s="104"/>
      <c r="I68" s="89"/>
      <c r="J68" s="104"/>
      <c r="K68" s="147"/>
      <c r="L68" s="147"/>
      <c r="M68" s="148"/>
      <c r="N68" s="148"/>
      <c r="O68" s="145"/>
    </row>
    <row r="69" spans="1:15">
      <c r="A69" s="86"/>
      <c r="B69" s="105"/>
      <c r="C69" s="105"/>
      <c r="D69" s="91"/>
      <c r="E69" s="89"/>
      <c r="F69" s="91"/>
      <c r="G69" s="89"/>
      <c r="H69" s="104"/>
      <c r="I69" s="89"/>
      <c r="J69" s="104"/>
      <c r="K69" s="147"/>
      <c r="L69" s="147"/>
      <c r="M69" s="148"/>
      <c r="N69" s="148"/>
      <c r="O69" s="145"/>
    </row>
    <row r="70" spans="1:15" ht="28.5">
      <c r="A70" s="86">
        <v>7</v>
      </c>
      <c r="B70" s="87" t="s">
        <v>436</v>
      </c>
      <c r="C70" s="87">
        <v>175.792</v>
      </c>
      <c r="D70" s="90">
        <v>0</v>
      </c>
      <c r="E70" s="89">
        <v>0</v>
      </c>
      <c r="F70" s="90">
        <v>0</v>
      </c>
      <c r="G70" s="89">
        <v>0</v>
      </c>
      <c r="H70" s="88">
        <v>0</v>
      </c>
      <c r="I70" s="89">
        <v>0</v>
      </c>
      <c r="J70" s="90">
        <v>0</v>
      </c>
      <c r="K70" s="144">
        <v>0</v>
      </c>
      <c r="L70" s="144"/>
      <c r="M70" s="130">
        <v>0</v>
      </c>
      <c r="N70" s="130">
        <v>0</v>
      </c>
      <c r="O70" s="145">
        <v>1.3180000000000001</v>
      </c>
    </row>
    <row r="71" spans="1:15" ht="28.5">
      <c r="A71" s="86">
        <v>8</v>
      </c>
      <c r="B71" s="87" t="s">
        <v>437</v>
      </c>
      <c r="C71" s="87"/>
      <c r="D71" s="90"/>
      <c r="E71" s="89">
        <v>0</v>
      </c>
      <c r="F71" s="90"/>
      <c r="G71" s="89">
        <v>0</v>
      </c>
      <c r="H71" s="88"/>
      <c r="I71" s="89">
        <v>0</v>
      </c>
      <c r="J71" s="90">
        <v>0</v>
      </c>
      <c r="K71" s="144">
        <v>0</v>
      </c>
      <c r="L71" s="144"/>
      <c r="M71" s="130">
        <v>0</v>
      </c>
      <c r="N71" s="130">
        <v>0</v>
      </c>
      <c r="O71" s="145">
        <v>2.6160000000000001</v>
      </c>
    </row>
    <row r="72" spans="1:15" ht="28.5">
      <c r="A72" s="86">
        <v>9</v>
      </c>
      <c r="B72" s="87" t="s">
        <v>438</v>
      </c>
      <c r="C72" s="92">
        <v>368.55</v>
      </c>
      <c r="D72" s="90">
        <v>40</v>
      </c>
      <c r="E72" s="89">
        <v>14.742000000000001</v>
      </c>
      <c r="F72" s="90">
        <v>0</v>
      </c>
      <c r="G72" s="89">
        <v>0.14799999999999999</v>
      </c>
      <c r="H72" s="90">
        <v>40</v>
      </c>
      <c r="I72" s="89">
        <v>14.89</v>
      </c>
      <c r="J72" s="90">
        <v>0</v>
      </c>
      <c r="K72" s="144">
        <v>0</v>
      </c>
      <c r="L72" s="144"/>
      <c r="M72" s="130">
        <v>0</v>
      </c>
      <c r="N72" s="130">
        <v>0.11056000000000001</v>
      </c>
      <c r="O72" s="145">
        <v>2.7639999999999998</v>
      </c>
    </row>
    <row r="73" spans="1:15">
      <c r="A73" s="86">
        <v>10</v>
      </c>
      <c r="B73" s="95" t="s">
        <v>377</v>
      </c>
      <c r="C73" s="95">
        <v>229.63</v>
      </c>
      <c r="D73" s="90">
        <v>5</v>
      </c>
      <c r="E73" s="89">
        <v>1.14815</v>
      </c>
      <c r="F73" s="90">
        <v>0</v>
      </c>
      <c r="G73" s="89">
        <v>0</v>
      </c>
      <c r="H73" s="90">
        <v>0</v>
      </c>
      <c r="I73" s="89">
        <v>0</v>
      </c>
      <c r="J73" s="90">
        <v>5</v>
      </c>
      <c r="K73" s="144">
        <v>1.14815</v>
      </c>
      <c r="L73" s="144"/>
      <c r="M73" s="130">
        <v>0</v>
      </c>
      <c r="N73" s="130">
        <v>0</v>
      </c>
      <c r="O73" s="145">
        <v>1.722</v>
      </c>
    </row>
    <row r="74" spans="1:15">
      <c r="A74" s="86">
        <v>11</v>
      </c>
      <c r="B74" s="95" t="s">
        <v>439</v>
      </c>
      <c r="C74" s="96">
        <v>144</v>
      </c>
      <c r="D74" s="90"/>
      <c r="E74" s="89">
        <v>0</v>
      </c>
      <c r="F74" s="90"/>
      <c r="G74" s="89">
        <v>0</v>
      </c>
      <c r="H74" s="88"/>
      <c r="I74" s="89">
        <v>0</v>
      </c>
      <c r="J74" s="90">
        <v>0</v>
      </c>
      <c r="K74" s="144">
        <v>0</v>
      </c>
      <c r="L74" s="144"/>
      <c r="M74" s="130">
        <v>0</v>
      </c>
      <c r="N74" s="130">
        <v>0</v>
      </c>
      <c r="O74" s="145">
        <v>1.08</v>
      </c>
    </row>
    <row r="75" spans="1:15">
      <c r="A75" s="86">
        <v>12</v>
      </c>
      <c r="B75" s="97" t="s">
        <v>440</v>
      </c>
      <c r="C75" s="97"/>
      <c r="D75" s="90"/>
      <c r="E75" s="89">
        <v>0</v>
      </c>
      <c r="F75" s="90"/>
      <c r="G75" s="89">
        <v>0</v>
      </c>
      <c r="H75" s="88"/>
      <c r="I75" s="89">
        <v>0</v>
      </c>
      <c r="J75" s="90">
        <v>0</v>
      </c>
      <c r="K75" s="144">
        <v>0</v>
      </c>
      <c r="L75" s="144"/>
      <c r="M75" s="130">
        <v>0</v>
      </c>
      <c r="N75" s="130">
        <v>0</v>
      </c>
      <c r="O75" s="145"/>
    </row>
    <row r="76" spans="1:15">
      <c r="A76" s="86">
        <v>13</v>
      </c>
      <c r="B76" s="87" t="s">
        <v>441</v>
      </c>
      <c r="C76" s="87">
        <v>442.39499999999998</v>
      </c>
      <c r="D76" s="90"/>
      <c r="E76" s="89">
        <v>0</v>
      </c>
      <c r="F76" s="90"/>
      <c r="G76" s="89">
        <v>0</v>
      </c>
      <c r="H76" s="88"/>
      <c r="I76" s="89">
        <v>0</v>
      </c>
      <c r="J76" s="90">
        <v>0</v>
      </c>
      <c r="K76" s="144">
        <v>0</v>
      </c>
      <c r="L76" s="144"/>
      <c r="M76" s="130">
        <v>0</v>
      </c>
      <c r="N76" s="130">
        <v>0</v>
      </c>
      <c r="O76" s="145">
        <v>3.3180000000000001</v>
      </c>
    </row>
    <row r="77" spans="1:15">
      <c r="A77" s="86">
        <v>14</v>
      </c>
      <c r="B77" s="95" t="s">
        <v>442</v>
      </c>
      <c r="C77" s="95">
        <v>497.53300000000002</v>
      </c>
      <c r="D77" s="90"/>
      <c r="E77" s="89">
        <v>0</v>
      </c>
      <c r="F77" s="90"/>
      <c r="G77" s="89">
        <v>0</v>
      </c>
      <c r="H77" s="88"/>
      <c r="I77" s="89">
        <v>0</v>
      </c>
      <c r="J77" s="90">
        <v>0</v>
      </c>
      <c r="K77" s="144">
        <v>0</v>
      </c>
      <c r="L77" s="144"/>
      <c r="M77" s="130">
        <v>0</v>
      </c>
      <c r="N77" s="130">
        <v>0</v>
      </c>
      <c r="O77" s="146">
        <v>3.7309999999999999</v>
      </c>
    </row>
    <row r="78" spans="1:15">
      <c r="A78" s="86">
        <v>15</v>
      </c>
      <c r="B78" s="95" t="s">
        <v>443</v>
      </c>
      <c r="C78" s="95">
        <v>342.30900000000003</v>
      </c>
      <c r="D78" s="90"/>
      <c r="E78" s="89">
        <v>0</v>
      </c>
      <c r="F78" s="90"/>
      <c r="G78" s="89"/>
      <c r="H78" s="88"/>
      <c r="I78" s="89">
        <v>0</v>
      </c>
      <c r="J78" s="90">
        <v>0</v>
      </c>
      <c r="K78" s="144">
        <v>0</v>
      </c>
      <c r="L78" s="144"/>
      <c r="M78" s="130">
        <v>0</v>
      </c>
      <c r="N78" s="130">
        <v>0</v>
      </c>
      <c r="O78" s="146">
        <v>2.5670000000000002</v>
      </c>
    </row>
    <row r="79" spans="1:15">
      <c r="A79" s="86">
        <v>16</v>
      </c>
      <c r="B79" s="95" t="s">
        <v>444</v>
      </c>
      <c r="C79" s="95">
        <v>253.22200000000001</v>
      </c>
      <c r="D79" s="90">
        <v>0</v>
      </c>
      <c r="E79" s="89">
        <v>0</v>
      </c>
      <c r="F79" s="90">
        <v>0</v>
      </c>
      <c r="G79" s="89">
        <v>0.222</v>
      </c>
      <c r="H79" s="90">
        <v>0</v>
      </c>
      <c r="I79" s="89">
        <v>0.222</v>
      </c>
      <c r="J79" s="90">
        <v>0</v>
      </c>
      <c r="K79" s="144">
        <v>0</v>
      </c>
      <c r="L79" s="144"/>
      <c r="M79" s="130">
        <v>0</v>
      </c>
      <c r="N79" s="130">
        <v>0</v>
      </c>
      <c r="O79" s="146">
        <v>1.899</v>
      </c>
    </row>
    <row r="80" spans="1:15">
      <c r="A80" s="86">
        <v>17</v>
      </c>
      <c r="B80" s="95" t="s">
        <v>445</v>
      </c>
      <c r="C80" s="95">
        <v>405.40499999999997</v>
      </c>
      <c r="D80" s="90">
        <v>2</v>
      </c>
      <c r="E80" s="89">
        <v>0.81081000000000003</v>
      </c>
      <c r="F80" s="90">
        <v>0</v>
      </c>
      <c r="G80" s="89">
        <v>0</v>
      </c>
      <c r="H80" s="88">
        <v>0</v>
      </c>
      <c r="I80" s="89">
        <v>0</v>
      </c>
      <c r="J80" s="90">
        <v>2</v>
      </c>
      <c r="K80" s="144">
        <v>0.81081000000000003</v>
      </c>
      <c r="L80" s="144"/>
      <c r="M80" s="130">
        <v>0</v>
      </c>
      <c r="N80" s="130">
        <v>0</v>
      </c>
      <c r="O80" s="146">
        <v>3.0409999999999999</v>
      </c>
    </row>
    <row r="81" spans="1:16">
      <c r="A81" s="86"/>
      <c r="B81" s="99" t="s">
        <v>449</v>
      </c>
      <c r="C81" s="99"/>
      <c r="D81" s="90"/>
      <c r="E81" s="100"/>
      <c r="F81" s="90"/>
      <c r="G81" s="89"/>
      <c r="H81" s="88"/>
      <c r="I81" s="88"/>
      <c r="J81" s="88"/>
      <c r="K81" s="144"/>
      <c r="L81" s="144"/>
      <c r="M81" s="130"/>
      <c r="N81" s="130"/>
      <c r="O81" s="145"/>
    </row>
    <row r="82" spans="1:16">
      <c r="A82" s="86">
        <v>18</v>
      </c>
      <c r="B82" s="101" t="s">
        <v>392</v>
      </c>
      <c r="C82" s="101"/>
      <c r="D82" s="91"/>
      <c r="E82" s="102"/>
      <c r="F82" s="91"/>
      <c r="G82" s="103">
        <v>191.279</v>
      </c>
      <c r="H82" s="104"/>
      <c r="I82" s="103">
        <v>191.279</v>
      </c>
      <c r="J82" s="88"/>
      <c r="K82" s="144">
        <v>0</v>
      </c>
      <c r="L82" s="144"/>
      <c r="M82" s="130"/>
      <c r="N82" s="130"/>
      <c r="O82" s="145"/>
    </row>
    <row r="83" spans="1:16">
      <c r="A83" s="86">
        <v>19</v>
      </c>
      <c r="B83" s="95" t="s">
        <v>393</v>
      </c>
      <c r="C83" s="95"/>
      <c r="D83" s="90"/>
      <c r="E83" s="100"/>
      <c r="F83" s="90"/>
      <c r="G83" s="89">
        <v>0</v>
      </c>
      <c r="H83" s="88"/>
      <c r="I83" s="103">
        <v>0</v>
      </c>
      <c r="J83" s="88"/>
      <c r="K83" s="144">
        <v>0</v>
      </c>
      <c r="L83" s="144"/>
      <c r="M83" s="130"/>
      <c r="N83" s="130"/>
      <c r="O83" s="145"/>
    </row>
    <row r="84" spans="1:16">
      <c r="A84" s="86">
        <v>20</v>
      </c>
      <c r="B84" s="95" t="s">
        <v>394</v>
      </c>
      <c r="C84" s="95"/>
      <c r="D84" s="90"/>
      <c r="E84" s="100"/>
      <c r="F84" s="90"/>
      <c r="G84" s="89">
        <v>0</v>
      </c>
      <c r="H84" s="88"/>
      <c r="I84" s="103">
        <v>0</v>
      </c>
      <c r="J84" s="88"/>
      <c r="K84" s="144">
        <v>0</v>
      </c>
      <c r="L84" s="144"/>
      <c r="M84" s="130"/>
      <c r="N84" s="130"/>
      <c r="O84" s="145"/>
    </row>
    <row r="85" spans="1:16" ht="29.25">
      <c r="A85" s="86">
        <v>21</v>
      </c>
      <c r="B85" s="105" t="s">
        <v>410</v>
      </c>
      <c r="C85" s="95"/>
      <c r="D85" s="90"/>
      <c r="E85" s="100"/>
      <c r="F85" s="90"/>
      <c r="G85" s="89"/>
      <c r="H85" s="88"/>
      <c r="I85" s="103"/>
      <c r="J85" s="88"/>
      <c r="K85" s="144"/>
      <c r="L85" s="144"/>
      <c r="M85" s="130"/>
      <c r="N85" s="130"/>
      <c r="O85" s="145"/>
    </row>
    <row r="86" spans="1:16" ht="29.25">
      <c r="A86" s="86">
        <v>22</v>
      </c>
      <c r="B86" s="105" t="s">
        <v>397</v>
      </c>
      <c r="C86" s="95"/>
      <c r="D86" s="90"/>
      <c r="E86" s="100"/>
      <c r="F86" s="90"/>
      <c r="G86" s="160"/>
      <c r="H86" s="88"/>
      <c r="I86" s="160"/>
      <c r="J86" s="88"/>
      <c r="K86" s="144"/>
      <c r="L86" s="144"/>
      <c r="M86" s="130"/>
      <c r="N86" s="130"/>
      <c r="O86" s="145"/>
    </row>
    <row r="87" spans="1:16" ht="29.25">
      <c r="A87" s="86">
        <v>23</v>
      </c>
      <c r="B87" s="105" t="s">
        <v>398</v>
      </c>
      <c r="C87" s="95"/>
      <c r="D87" s="90"/>
      <c r="E87" s="100"/>
      <c r="F87" s="90"/>
      <c r="G87" s="89"/>
      <c r="H87" s="88"/>
      <c r="I87" s="88"/>
      <c r="J87" s="88"/>
      <c r="K87" s="144"/>
      <c r="L87" s="144"/>
      <c r="M87" s="130"/>
      <c r="N87" s="130"/>
      <c r="O87" s="145"/>
    </row>
    <row r="88" spans="1:16">
      <c r="A88" s="86"/>
      <c r="B88" s="95"/>
      <c r="C88" s="95"/>
      <c r="D88" s="106">
        <v>86</v>
      </c>
      <c r="E88" s="107">
        <v>31.161273000000001</v>
      </c>
      <c r="F88" s="106">
        <v>234</v>
      </c>
      <c r="G88" s="107">
        <v>285.23915299999999</v>
      </c>
      <c r="H88" s="106">
        <v>290</v>
      </c>
      <c r="I88" s="107">
        <v>306.298856</v>
      </c>
      <c r="J88" s="106">
        <v>30</v>
      </c>
      <c r="K88" s="107">
        <v>10.101570000000001</v>
      </c>
      <c r="L88" s="107">
        <v>0</v>
      </c>
      <c r="M88" s="107">
        <v>0.68965399999999999</v>
      </c>
      <c r="N88" s="107">
        <v>0.84766399999999997</v>
      </c>
      <c r="O88" s="149"/>
    </row>
    <row r="89" spans="1:16">
      <c r="A89" s="108"/>
      <c r="B89" s="109"/>
      <c r="C89" s="109"/>
      <c r="D89" s="110"/>
      <c r="E89" s="110"/>
      <c r="F89" s="110"/>
      <c r="G89" s="111"/>
      <c r="H89" s="111"/>
      <c r="I89" s="111"/>
      <c r="J89" s="111"/>
      <c r="K89" s="150"/>
      <c r="L89" s="111"/>
      <c r="M89" s="126"/>
      <c r="N89" s="126"/>
      <c r="O89" s="138"/>
    </row>
    <row r="90" spans="1:16">
      <c r="A90" s="108"/>
      <c r="B90" s="109"/>
      <c r="C90" s="109"/>
      <c r="D90" s="110"/>
      <c r="E90" s="110"/>
      <c r="F90" s="110"/>
      <c r="G90" s="111"/>
      <c r="H90" s="111"/>
      <c r="I90" s="111"/>
      <c r="J90" s="111"/>
      <c r="K90" s="150"/>
      <c r="L90" s="111"/>
      <c r="M90" s="126"/>
      <c r="N90" s="126"/>
      <c r="O90" s="138"/>
    </row>
    <row r="91" spans="1:16">
      <c r="A91" s="134" t="s">
        <v>419</v>
      </c>
      <c r="B91" s="83" t="s">
        <v>301</v>
      </c>
      <c r="C91" s="83"/>
      <c r="D91" s="1155" t="s">
        <v>420</v>
      </c>
      <c r="E91" s="1155"/>
      <c r="F91" s="1155" t="s">
        <v>359</v>
      </c>
      <c r="G91" s="1155"/>
      <c r="H91" s="1155" t="s">
        <v>453</v>
      </c>
      <c r="I91" s="1155"/>
      <c r="J91" s="1155" t="s">
        <v>422</v>
      </c>
      <c r="K91" s="1159"/>
      <c r="L91" s="139"/>
      <c r="M91" s="126"/>
      <c r="N91" s="126"/>
      <c r="O91" s="138"/>
      <c r="P91" s="151"/>
    </row>
    <row r="92" spans="1:16" ht="30">
      <c r="A92" s="134"/>
      <c r="B92" s="83" t="s">
        <v>454</v>
      </c>
      <c r="C92" s="83" t="s">
        <v>18</v>
      </c>
      <c r="D92" s="84" t="s">
        <v>250</v>
      </c>
      <c r="E92" s="85" t="s">
        <v>426</v>
      </c>
      <c r="F92" s="84" t="s">
        <v>250</v>
      </c>
      <c r="G92" s="85" t="s">
        <v>426</v>
      </c>
      <c r="H92" s="84" t="s">
        <v>250</v>
      </c>
      <c r="I92" s="85" t="s">
        <v>426</v>
      </c>
      <c r="J92" s="84" t="s">
        <v>250</v>
      </c>
      <c r="K92" s="152" t="s">
        <v>426</v>
      </c>
      <c r="L92" s="153"/>
      <c r="M92" s="126"/>
      <c r="N92" s="126"/>
      <c r="O92" s="138"/>
    </row>
    <row r="93" spans="1:16" ht="31.5" customHeight="1">
      <c r="A93" s="86">
        <v>1</v>
      </c>
      <c r="B93" s="112" t="s">
        <v>455</v>
      </c>
      <c r="C93" s="161">
        <v>290</v>
      </c>
      <c r="D93" s="113">
        <v>0</v>
      </c>
      <c r="E93" s="114">
        <v>0</v>
      </c>
      <c r="F93" s="113">
        <v>0</v>
      </c>
      <c r="G93" s="89">
        <v>0</v>
      </c>
      <c r="H93" s="104">
        <v>0</v>
      </c>
      <c r="I93" s="89">
        <v>0</v>
      </c>
      <c r="J93" s="113">
        <v>0</v>
      </c>
      <c r="K93" s="144">
        <v>0</v>
      </c>
      <c r="L93" s="144"/>
      <c r="M93" s="130">
        <v>0</v>
      </c>
      <c r="N93" s="130">
        <v>0</v>
      </c>
      <c r="O93" s="145">
        <v>2.1749999999999998</v>
      </c>
    </row>
    <row r="94" spans="1:16" ht="28.5" customHeight="1">
      <c r="A94" s="86">
        <v>2</v>
      </c>
      <c r="B94" s="112" t="s">
        <v>399</v>
      </c>
      <c r="C94" s="161">
        <v>290</v>
      </c>
      <c r="D94" s="113">
        <v>428</v>
      </c>
      <c r="E94" s="114">
        <v>124.12</v>
      </c>
      <c r="F94" s="113">
        <v>493</v>
      </c>
      <c r="G94" s="89">
        <v>142.97</v>
      </c>
      <c r="H94" s="90">
        <v>632</v>
      </c>
      <c r="I94" s="89">
        <v>183.28</v>
      </c>
      <c r="J94" s="113">
        <v>289</v>
      </c>
      <c r="K94" s="144">
        <v>83.81</v>
      </c>
      <c r="L94" s="144"/>
      <c r="M94" s="130">
        <v>1.0722750000000001</v>
      </c>
      <c r="N94" s="130">
        <v>1.3746</v>
      </c>
      <c r="O94" s="145">
        <v>2.1749999999999998</v>
      </c>
      <c r="P94" s="151"/>
    </row>
    <row r="95" spans="1:16">
      <c r="A95" s="86"/>
      <c r="B95" s="95"/>
      <c r="C95" s="95"/>
      <c r="D95" s="106">
        <v>428</v>
      </c>
      <c r="E95" s="107">
        <v>124.12</v>
      </c>
      <c r="F95" s="106">
        <v>493</v>
      </c>
      <c r="G95" s="107">
        <v>142.97</v>
      </c>
      <c r="H95" s="106">
        <v>632</v>
      </c>
      <c r="I95" s="107">
        <v>183.28</v>
      </c>
      <c r="J95" s="106">
        <v>289</v>
      </c>
      <c r="K95" s="154">
        <v>83.81</v>
      </c>
      <c r="L95" s="154"/>
      <c r="M95" s="107">
        <v>1.0722750000000001</v>
      </c>
      <c r="N95" s="107">
        <v>1.3746</v>
      </c>
      <c r="O95" s="149"/>
    </row>
    <row r="96" spans="1:16">
      <c r="A96" s="115"/>
      <c r="B96" s="109"/>
      <c r="C96" s="109"/>
      <c r="D96" s="116"/>
      <c r="E96" s="116"/>
      <c r="F96" s="116"/>
      <c r="G96" s="117"/>
      <c r="H96" s="118"/>
      <c r="I96" s="118"/>
      <c r="J96" s="118"/>
      <c r="K96" s="155"/>
      <c r="L96" s="118"/>
      <c r="M96" s="126"/>
      <c r="N96" s="126"/>
      <c r="O96" s="138"/>
    </row>
    <row r="97" spans="1:15" ht="15.75">
      <c r="A97" s="115"/>
      <c r="B97" s="99" t="s">
        <v>456</v>
      </c>
      <c r="C97" s="99"/>
      <c r="D97" s="119">
        <v>514</v>
      </c>
      <c r="E97" s="120">
        <v>155.281273</v>
      </c>
      <c r="F97" s="119">
        <v>727</v>
      </c>
      <c r="G97" s="120">
        <v>428.20915300000001</v>
      </c>
      <c r="H97" s="119">
        <v>922</v>
      </c>
      <c r="I97" s="120">
        <v>489.57885599999997</v>
      </c>
      <c r="J97" s="119">
        <v>319</v>
      </c>
      <c r="K97" s="120">
        <v>93.911569999999998</v>
      </c>
      <c r="L97" s="156"/>
      <c r="M97" s="126"/>
      <c r="N97" s="126"/>
      <c r="O97" s="138"/>
    </row>
    <row r="98" spans="1:15">
      <c r="A98" s="121"/>
      <c r="B98" s="122"/>
      <c r="C98" s="122"/>
      <c r="D98" s="123"/>
      <c r="E98" s="123"/>
      <c r="F98" s="123"/>
      <c r="G98" s="123"/>
      <c r="H98" s="123"/>
      <c r="I98" s="123"/>
      <c r="J98" s="123"/>
      <c r="K98" s="157"/>
      <c r="L98" s="118"/>
      <c r="M98" s="126"/>
      <c r="N98" s="126"/>
      <c r="O98" s="138"/>
    </row>
    <row r="99" spans="1:15">
      <c r="A99" s="124"/>
      <c r="B99" s="125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38"/>
    </row>
    <row r="100" spans="1:15">
      <c r="A100" s="162" t="s">
        <v>20</v>
      </c>
      <c r="B100" s="101" t="s">
        <v>287</v>
      </c>
      <c r="C100" s="126"/>
      <c r="D100" s="931" t="s">
        <v>290</v>
      </c>
      <c r="E100" s="931"/>
      <c r="F100" s="8">
        <v>35.19</v>
      </c>
      <c r="G100" s="126"/>
      <c r="H100" s="928" t="s">
        <v>295</v>
      </c>
      <c r="I100" s="929"/>
      <c r="J100" s="930"/>
      <c r="K100" s="126"/>
      <c r="L100" s="126"/>
      <c r="M100" s="126"/>
      <c r="N100" s="126"/>
      <c r="O100" s="138"/>
    </row>
    <row r="101" spans="1:15">
      <c r="A101" s="162"/>
      <c r="B101" s="3"/>
      <c r="C101" s="126"/>
      <c r="D101" s="931" t="s">
        <v>291</v>
      </c>
      <c r="E101" s="931"/>
      <c r="F101" s="3"/>
      <c r="G101" s="126"/>
      <c r="H101" s="3" t="s">
        <v>20</v>
      </c>
      <c r="I101" s="3" t="s">
        <v>21</v>
      </c>
      <c r="J101" s="3" t="s">
        <v>84</v>
      </c>
      <c r="K101" s="126"/>
      <c r="L101" s="126"/>
      <c r="M101" s="126"/>
      <c r="N101" s="126"/>
      <c r="O101" s="138"/>
    </row>
    <row r="102" spans="1:15">
      <c r="A102" s="162"/>
      <c r="B102" s="3"/>
      <c r="C102" s="126"/>
      <c r="D102" s="931" t="s">
        <v>10</v>
      </c>
      <c r="E102" s="931"/>
      <c r="F102" s="8">
        <f>SUM(F100:F101)</f>
        <v>35.19</v>
      </c>
      <c r="G102" s="126"/>
      <c r="H102" s="3"/>
      <c r="I102" s="3"/>
      <c r="J102" s="3"/>
      <c r="K102" s="126"/>
      <c r="L102" s="126"/>
      <c r="M102" s="126"/>
      <c r="N102" s="126"/>
      <c r="O102" s="138"/>
    </row>
    <row r="103" spans="1:15">
      <c r="A103" s="162"/>
      <c r="B103" s="3"/>
      <c r="C103" s="126"/>
      <c r="D103" s="126"/>
      <c r="E103" s="126"/>
      <c r="F103" s="126"/>
      <c r="G103" s="126"/>
      <c r="H103" s="3"/>
      <c r="I103" s="3"/>
      <c r="J103" s="3"/>
      <c r="K103" s="126"/>
      <c r="L103" s="126"/>
      <c r="M103" s="126"/>
      <c r="N103" s="126"/>
      <c r="O103" s="138"/>
    </row>
    <row r="104" spans="1:15">
      <c r="A104" s="162"/>
      <c r="B104" s="3"/>
      <c r="C104" s="126"/>
      <c r="D104" s="126"/>
      <c r="E104" s="126"/>
      <c r="F104" s="126"/>
      <c r="G104" s="126"/>
      <c r="H104" s="3"/>
      <c r="I104" s="3"/>
      <c r="J104" s="3"/>
      <c r="K104" s="126"/>
      <c r="L104" s="126"/>
      <c r="M104" s="126"/>
      <c r="N104" s="126"/>
      <c r="O104" s="138"/>
    </row>
    <row r="105" spans="1:15">
      <c r="A105" s="164"/>
      <c r="B105" s="165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58"/>
    </row>
  </sheetData>
  <sheetProtection password="CC51" sheet="1" objects="1" scenarios="1"/>
  <mergeCells count="30">
    <mergeCell ref="J40:K40"/>
    <mergeCell ref="D49:E49"/>
    <mergeCell ref="H49:J49"/>
    <mergeCell ref="A1:K1"/>
    <mergeCell ref="A3:K3"/>
    <mergeCell ref="D4:E4"/>
    <mergeCell ref="F4:G4"/>
    <mergeCell ref="H4:I4"/>
    <mergeCell ref="J4:K4"/>
    <mergeCell ref="F91:G91"/>
    <mergeCell ref="H91:I91"/>
    <mergeCell ref="J91:K91"/>
    <mergeCell ref="D100:E100"/>
    <mergeCell ref="H100:J100"/>
    <mergeCell ref="D101:E101"/>
    <mergeCell ref="D102:E102"/>
    <mergeCell ref="A4:A5"/>
    <mergeCell ref="A40:A41"/>
    <mergeCell ref="D91:E91"/>
    <mergeCell ref="D50:E50"/>
    <mergeCell ref="D51:E51"/>
    <mergeCell ref="B56:C56"/>
    <mergeCell ref="A58:K58"/>
    <mergeCell ref="D59:E59"/>
    <mergeCell ref="F59:G59"/>
    <mergeCell ref="H59:I59"/>
    <mergeCell ref="J59:K59"/>
    <mergeCell ref="D40:E40"/>
    <mergeCell ref="F40:G40"/>
    <mergeCell ref="H40:I40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34"/>
  <sheetViews>
    <sheetView zoomScale="80" zoomScaleNormal="80" workbookViewId="0">
      <selection activeCell="L22" sqref="L22"/>
    </sheetView>
  </sheetViews>
  <sheetFormatPr defaultColWidth="9.140625" defaultRowHeight="15"/>
  <cols>
    <col min="1" max="1" width="55.7109375" style="73" customWidth="1"/>
    <col min="2" max="2" width="9.7109375" style="74" customWidth="1"/>
    <col min="3" max="3" width="10.7109375" style="74" customWidth="1"/>
    <col min="4" max="4" width="9.7109375" style="74" customWidth="1"/>
    <col min="5" max="5" width="10.5703125" style="74" customWidth="1"/>
    <col min="6" max="6" width="8" style="74" customWidth="1"/>
    <col min="7" max="7" width="11" style="74" customWidth="1"/>
    <col min="8" max="8" width="20.5703125" style="74" customWidth="1"/>
    <col min="9" max="9" width="9" style="74" customWidth="1"/>
    <col min="10" max="10" width="14.7109375" style="74" customWidth="1"/>
    <col min="11" max="11" width="7.5703125" style="74" customWidth="1"/>
    <col min="12" max="12" width="25.85546875" style="74" customWidth="1"/>
    <col min="13" max="13" width="24.5703125" style="74" customWidth="1"/>
    <col min="14" max="15" width="25.7109375" style="74" customWidth="1"/>
    <col min="16" max="16" width="19.7109375" style="74" customWidth="1"/>
    <col min="17" max="16384" width="9.140625" style="74"/>
  </cols>
  <sheetData>
    <row r="1" spans="1:6">
      <c r="A1" s="75" t="s">
        <v>55</v>
      </c>
      <c r="B1" s="76" t="s">
        <v>459</v>
      </c>
    </row>
    <row r="3" spans="1:6" ht="60">
      <c r="A3" s="75" t="s">
        <v>460</v>
      </c>
      <c r="B3" s="76" t="s">
        <v>461</v>
      </c>
      <c r="C3" s="76" t="s">
        <v>462</v>
      </c>
      <c r="D3" s="76" t="s">
        <v>463</v>
      </c>
      <c r="E3" s="76" t="s">
        <v>464</v>
      </c>
      <c r="F3" s="76" t="s">
        <v>465</v>
      </c>
    </row>
    <row r="4" spans="1:6">
      <c r="A4" s="75" t="s">
        <v>441</v>
      </c>
      <c r="B4" s="77">
        <v>0</v>
      </c>
      <c r="C4" s="77">
        <v>0</v>
      </c>
      <c r="D4" s="77">
        <v>0</v>
      </c>
      <c r="E4" s="77">
        <v>0</v>
      </c>
      <c r="F4" s="77">
        <v>6.6360000000000001</v>
      </c>
    </row>
    <row r="5" spans="1:6">
      <c r="A5" s="75" t="s">
        <v>440</v>
      </c>
      <c r="B5" s="77">
        <v>0</v>
      </c>
      <c r="C5" s="77">
        <v>0.35</v>
      </c>
      <c r="D5" s="77">
        <v>0.35</v>
      </c>
      <c r="E5" s="77">
        <v>0</v>
      </c>
      <c r="F5" s="77">
        <v>0</v>
      </c>
    </row>
    <row r="6" spans="1:6">
      <c r="A6" s="75" t="s">
        <v>436</v>
      </c>
      <c r="B6" s="77">
        <v>0.175792</v>
      </c>
      <c r="C6" s="77">
        <v>0</v>
      </c>
      <c r="D6" s="77">
        <v>0.175792</v>
      </c>
      <c r="E6" s="77">
        <v>0</v>
      </c>
      <c r="F6" s="77">
        <v>2.6360000000000001</v>
      </c>
    </row>
    <row r="7" spans="1:6">
      <c r="A7" s="75" t="s">
        <v>399</v>
      </c>
      <c r="B7" s="77">
        <v>244.76</v>
      </c>
      <c r="C7" s="77">
        <v>464.29</v>
      </c>
      <c r="D7" s="77">
        <v>501.12</v>
      </c>
      <c r="E7" s="77">
        <v>103.965</v>
      </c>
      <c r="F7" s="77">
        <v>4.3499999999999996</v>
      </c>
    </row>
    <row r="8" spans="1:6">
      <c r="A8" s="75" t="s">
        <v>455</v>
      </c>
      <c r="B8" s="77">
        <v>0</v>
      </c>
      <c r="C8" s="77">
        <v>0</v>
      </c>
      <c r="D8" s="77">
        <v>0</v>
      </c>
      <c r="E8" s="77">
        <v>0</v>
      </c>
      <c r="F8" s="77">
        <v>4.3499999999999996</v>
      </c>
    </row>
    <row r="9" spans="1:6">
      <c r="A9" s="75" t="s">
        <v>448</v>
      </c>
      <c r="B9" s="77">
        <v>0</v>
      </c>
      <c r="C9" s="77">
        <v>4.5934900000000001</v>
      </c>
      <c r="D9" s="77">
        <v>0</v>
      </c>
      <c r="E9" s="77">
        <v>4.5934900000000001</v>
      </c>
      <c r="F9" s="77">
        <v>3.1320000000000001</v>
      </c>
    </row>
    <row r="10" spans="1:6">
      <c r="A10" s="75" t="s">
        <v>262</v>
      </c>
      <c r="B10" s="77">
        <v>4.5934900000000001</v>
      </c>
      <c r="C10" s="77">
        <v>32.154429999999998</v>
      </c>
      <c r="D10" s="77">
        <v>30.90166</v>
      </c>
      <c r="E10" s="77">
        <v>5.84626</v>
      </c>
      <c r="F10" s="77">
        <v>3.1320000000000001</v>
      </c>
    </row>
    <row r="11" spans="1:6">
      <c r="A11" s="75" t="s">
        <v>434</v>
      </c>
      <c r="B11" s="77">
        <v>0</v>
      </c>
      <c r="C11" s="77">
        <v>0</v>
      </c>
      <c r="D11" s="77">
        <v>0</v>
      </c>
      <c r="E11" s="77">
        <v>0</v>
      </c>
      <c r="F11" s="77">
        <v>4.4660000000000002</v>
      </c>
    </row>
    <row r="12" spans="1:6">
      <c r="A12" s="75" t="s">
        <v>377</v>
      </c>
      <c r="B12" s="77">
        <v>2.2963</v>
      </c>
      <c r="C12" s="77">
        <v>0</v>
      </c>
      <c r="D12" s="77">
        <v>0</v>
      </c>
      <c r="E12" s="77">
        <v>1.14815</v>
      </c>
      <c r="F12" s="77">
        <v>3.444</v>
      </c>
    </row>
    <row r="13" spans="1:6">
      <c r="A13" s="75" t="s">
        <v>444</v>
      </c>
      <c r="B13" s="77">
        <v>8.8627699999999994</v>
      </c>
      <c r="C13" s="77">
        <v>0.222</v>
      </c>
      <c r="D13" s="77">
        <v>9.0847700000000007</v>
      </c>
      <c r="E13" s="77">
        <v>0</v>
      </c>
      <c r="F13" s="77">
        <v>3.798</v>
      </c>
    </row>
    <row r="14" spans="1:6">
      <c r="A14" s="75" t="s">
        <v>445</v>
      </c>
      <c r="B14" s="77">
        <v>12.16215</v>
      </c>
      <c r="C14" s="77">
        <v>16.621604999999999</v>
      </c>
      <c r="D14" s="77">
        <v>27.162134999999999</v>
      </c>
      <c r="E14" s="77">
        <v>0.81081000000000003</v>
      </c>
      <c r="F14" s="77">
        <v>6.0819999999999999</v>
      </c>
    </row>
    <row r="15" spans="1:6">
      <c r="A15" s="75" t="s">
        <v>443</v>
      </c>
      <c r="B15" s="77">
        <v>0</v>
      </c>
      <c r="C15" s="77">
        <v>0</v>
      </c>
      <c r="D15" s="77">
        <v>0</v>
      </c>
      <c r="E15" s="77">
        <v>0</v>
      </c>
      <c r="F15" s="77">
        <v>5.1340000000000003</v>
      </c>
    </row>
    <row r="16" spans="1:6">
      <c r="A16" s="75" t="s">
        <v>438</v>
      </c>
      <c r="B16" s="77">
        <v>19.533149999999999</v>
      </c>
      <c r="C16" s="77">
        <v>18.944050000000001</v>
      </c>
      <c r="D16" s="77">
        <v>23.735199999999999</v>
      </c>
      <c r="E16" s="77">
        <v>7.3710000000000004</v>
      </c>
      <c r="F16" s="77">
        <v>5.5279999999999996</v>
      </c>
    </row>
    <row r="17" spans="1:6">
      <c r="A17" s="75" t="s">
        <v>450</v>
      </c>
      <c r="B17" s="77">
        <v>0</v>
      </c>
      <c r="C17" s="77">
        <v>33.725999999999999</v>
      </c>
      <c r="D17" s="77">
        <v>33.725999999999999</v>
      </c>
      <c r="E17" s="77">
        <v>0</v>
      </c>
      <c r="F17" s="77">
        <v>0</v>
      </c>
    </row>
    <row r="18" spans="1:6">
      <c r="A18" s="75" t="s">
        <v>451</v>
      </c>
      <c r="B18" s="77">
        <v>0</v>
      </c>
      <c r="C18" s="77">
        <v>0</v>
      </c>
      <c r="D18" s="77">
        <v>0</v>
      </c>
      <c r="E18" s="77">
        <v>0</v>
      </c>
      <c r="F18" s="77">
        <v>0</v>
      </c>
    </row>
    <row r="19" spans="1:6">
      <c r="A19" s="75" t="s">
        <v>437</v>
      </c>
      <c r="B19" s="77">
        <v>0</v>
      </c>
      <c r="C19" s="77">
        <v>0</v>
      </c>
      <c r="D19" s="77">
        <v>0</v>
      </c>
      <c r="E19" s="77">
        <v>0</v>
      </c>
      <c r="F19" s="77">
        <v>5.2320000000000002</v>
      </c>
    </row>
    <row r="20" spans="1:6">
      <c r="A20" s="75" t="s">
        <v>435</v>
      </c>
      <c r="B20" s="77">
        <v>0</v>
      </c>
      <c r="C20" s="77">
        <v>0</v>
      </c>
      <c r="D20" s="77">
        <v>0</v>
      </c>
      <c r="E20" s="77">
        <v>0</v>
      </c>
      <c r="F20" s="77">
        <v>3.9060000000000001</v>
      </c>
    </row>
    <row r="21" spans="1:6">
      <c r="A21" s="75" t="s">
        <v>439</v>
      </c>
      <c r="B21" s="77">
        <v>0</v>
      </c>
      <c r="C21" s="77">
        <v>0</v>
      </c>
      <c r="D21" s="77">
        <v>0</v>
      </c>
      <c r="E21" s="77">
        <v>0</v>
      </c>
      <c r="F21" s="77">
        <v>2.16</v>
      </c>
    </row>
    <row r="22" spans="1:6">
      <c r="A22" s="75" t="s">
        <v>433</v>
      </c>
      <c r="B22" s="77">
        <v>2.2963499999999999</v>
      </c>
      <c r="C22" s="77">
        <v>2.2963499999999999</v>
      </c>
      <c r="D22" s="77">
        <v>0</v>
      </c>
      <c r="E22" s="77">
        <v>2.2963499999999999</v>
      </c>
      <c r="F22" s="77">
        <v>3.8279999999999998</v>
      </c>
    </row>
    <row r="23" spans="1:6">
      <c r="A23" s="75" t="s">
        <v>431</v>
      </c>
      <c r="B23" s="77">
        <v>37.177639999999997</v>
      </c>
      <c r="C23" s="77">
        <v>103.223088</v>
      </c>
      <c r="D23" s="77">
        <v>135.15212</v>
      </c>
      <c r="E23" s="77">
        <v>2.6243039999999902</v>
      </c>
      <c r="F23" s="77">
        <v>6.56</v>
      </c>
    </row>
    <row r="24" spans="1:6">
      <c r="A24" s="75" t="s">
        <v>430</v>
      </c>
      <c r="B24" s="77">
        <v>39.471705</v>
      </c>
      <c r="C24" s="77">
        <v>161.20376999999999</v>
      </c>
      <c r="D24" s="77">
        <v>198.35361</v>
      </c>
      <c r="E24" s="77">
        <v>1.1609325000000199</v>
      </c>
      <c r="F24" s="77">
        <v>4.9960000000000004</v>
      </c>
    </row>
    <row r="25" spans="1:6">
      <c r="A25" s="75" t="s">
        <v>432</v>
      </c>
      <c r="B25" s="77">
        <v>0</v>
      </c>
      <c r="C25" s="77">
        <v>0</v>
      </c>
      <c r="D25" s="77">
        <v>0</v>
      </c>
      <c r="E25" s="77">
        <v>0</v>
      </c>
      <c r="F25" s="77">
        <v>2.093</v>
      </c>
    </row>
    <row r="26" spans="1:6">
      <c r="A26" s="75" t="s">
        <v>394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</row>
    <row r="27" spans="1:6">
      <c r="A27" s="75" t="s">
        <v>393</v>
      </c>
      <c r="B27" s="77">
        <v>0</v>
      </c>
      <c r="C27" s="77">
        <v>3.2210000000000001</v>
      </c>
      <c r="D27" s="77">
        <v>3.2210000000000001</v>
      </c>
      <c r="E27" s="77">
        <v>0</v>
      </c>
      <c r="F27" s="77">
        <v>0</v>
      </c>
    </row>
    <row r="28" spans="1:6">
      <c r="A28" s="75" t="s">
        <v>398</v>
      </c>
      <c r="B28" s="77">
        <v>0</v>
      </c>
      <c r="C28" s="77">
        <v>0</v>
      </c>
      <c r="D28" s="77">
        <v>0</v>
      </c>
      <c r="E28" s="77">
        <v>0</v>
      </c>
      <c r="F28" s="77">
        <v>0</v>
      </c>
    </row>
    <row r="29" spans="1:6">
      <c r="A29" s="75" t="s">
        <v>452</v>
      </c>
      <c r="B29" s="77">
        <v>0</v>
      </c>
      <c r="C29" s="77">
        <v>20.934000000000001</v>
      </c>
      <c r="D29" s="77">
        <v>20.934000000000001</v>
      </c>
      <c r="E29" s="77">
        <v>0</v>
      </c>
      <c r="F29" s="77">
        <v>0</v>
      </c>
    </row>
    <row r="30" spans="1:6">
      <c r="A30" s="75" t="s">
        <v>447</v>
      </c>
      <c r="B30" s="77">
        <v>0</v>
      </c>
      <c r="C30" s="77">
        <v>6.23</v>
      </c>
      <c r="D30" s="77">
        <v>6.23</v>
      </c>
      <c r="E30" s="77">
        <v>0</v>
      </c>
      <c r="F30" s="77">
        <v>0</v>
      </c>
    </row>
    <row r="31" spans="1:6">
      <c r="A31" s="75" t="s">
        <v>442</v>
      </c>
      <c r="B31" s="77">
        <v>0</v>
      </c>
      <c r="C31" s="77">
        <v>0</v>
      </c>
      <c r="D31" s="77">
        <v>0</v>
      </c>
      <c r="E31" s="77">
        <v>0</v>
      </c>
      <c r="F31" s="77">
        <v>7.4619999999999997</v>
      </c>
    </row>
    <row r="32" spans="1:6">
      <c r="A32" s="75" t="s">
        <v>392</v>
      </c>
      <c r="B32" s="77">
        <v>0</v>
      </c>
      <c r="C32" s="77">
        <v>454.19400000000002</v>
      </c>
      <c r="D32" s="77">
        <v>454.19400000000002</v>
      </c>
      <c r="E32" s="77">
        <v>0</v>
      </c>
      <c r="F32" s="77">
        <v>0</v>
      </c>
    </row>
    <row r="33" spans="1:6">
      <c r="A33" s="75" t="s">
        <v>446</v>
      </c>
      <c r="B33" s="77">
        <v>0</v>
      </c>
      <c r="C33" s="77">
        <v>2.57</v>
      </c>
      <c r="D33" s="77">
        <v>2.57</v>
      </c>
      <c r="E33" s="77">
        <v>0</v>
      </c>
      <c r="F33" s="77">
        <v>0</v>
      </c>
    </row>
    <row r="34" spans="1:6">
      <c r="A34" s="75" t="s">
        <v>466</v>
      </c>
      <c r="B34" s="77">
        <v>371.32934699999998</v>
      </c>
      <c r="C34" s="77">
        <v>1324.7737830000001</v>
      </c>
      <c r="D34" s="77">
        <v>1446.9102869999999</v>
      </c>
      <c r="E34" s="77">
        <v>4.7017517547169803</v>
      </c>
      <c r="F34" s="77">
        <v>88.924999999999997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55"/>
  <sheetViews>
    <sheetView zoomScale="80" zoomScaleNormal="80" workbookViewId="0">
      <selection activeCell="S14" sqref="S14"/>
    </sheetView>
  </sheetViews>
  <sheetFormatPr defaultColWidth="9.140625" defaultRowHeight="12.75"/>
  <cols>
    <col min="1" max="1" width="5.85546875" style="14" customWidth="1"/>
    <col min="2" max="2" width="28.42578125" style="15" customWidth="1"/>
    <col min="3" max="16384" width="9.140625" style="14"/>
  </cols>
  <sheetData>
    <row r="1" spans="1:15" ht="30">
      <c r="A1" s="16"/>
      <c r="B1" s="17"/>
      <c r="C1" s="17"/>
      <c r="D1" s="17" t="s">
        <v>420</v>
      </c>
      <c r="E1" s="17"/>
      <c r="F1" s="17" t="s">
        <v>359</v>
      </c>
      <c r="G1" s="17"/>
      <c r="H1" s="17" t="s">
        <v>421</v>
      </c>
      <c r="I1" s="17"/>
      <c r="J1" s="17" t="s">
        <v>422</v>
      </c>
      <c r="K1" s="17"/>
      <c r="L1" s="17"/>
      <c r="M1" s="17"/>
      <c r="N1" s="17"/>
      <c r="O1" s="17"/>
    </row>
    <row r="2" spans="1:15" ht="60">
      <c r="A2" s="18" t="s">
        <v>467</v>
      </c>
      <c r="B2" s="17" t="s">
        <v>301</v>
      </c>
      <c r="C2" s="17" t="s">
        <v>84</v>
      </c>
      <c r="D2" s="17" t="s">
        <v>250</v>
      </c>
      <c r="E2" s="17" t="s">
        <v>468</v>
      </c>
      <c r="F2" s="17" t="s">
        <v>250</v>
      </c>
      <c r="G2" s="17" t="s">
        <v>469</v>
      </c>
      <c r="H2" s="17" t="s">
        <v>250</v>
      </c>
      <c r="I2" s="17" t="s">
        <v>470</v>
      </c>
      <c r="J2" s="17" t="s">
        <v>250</v>
      </c>
      <c r="K2" s="17" t="s">
        <v>471</v>
      </c>
      <c r="L2" s="17" t="s">
        <v>427</v>
      </c>
      <c r="M2" s="17" t="s">
        <v>428</v>
      </c>
      <c r="N2" s="17" t="s">
        <v>429</v>
      </c>
      <c r="O2" s="17" t="s">
        <v>55</v>
      </c>
    </row>
    <row r="3" spans="1:15" ht="24">
      <c r="A3" s="19">
        <v>1</v>
      </c>
      <c r="B3" s="20" t="s">
        <v>430</v>
      </c>
      <c r="C3" s="21">
        <v>331.69499999999999</v>
      </c>
      <c r="D3" s="21">
        <v>112</v>
      </c>
      <c r="E3" s="22">
        <v>37.149839999999998</v>
      </c>
      <c r="F3" s="23">
        <v>401</v>
      </c>
      <c r="G3" s="22">
        <v>133.00969499999999</v>
      </c>
      <c r="H3" s="23">
        <v>506</v>
      </c>
      <c r="I3" s="22">
        <v>167.83767</v>
      </c>
      <c r="J3" s="23">
        <v>7</v>
      </c>
      <c r="K3" s="63">
        <v>2.32186500000003</v>
      </c>
      <c r="L3" s="64">
        <v>1.001698</v>
      </c>
      <c r="M3" s="64">
        <v>1.2639879999999999</v>
      </c>
      <c r="N3" s="65">
        <v>2.4980000000000002</v>
      </c>
      <c r="O3" s="66">
        <v>44287</v>
      </c>
    </row>
    <row r="4" spans="1:15" ht="24">
      <c r="A4" s="19">
        <v>2</v>
      </c>
      <c r="B4" s="24" t="s">
        <v>431</v>
      </c>
      <c r="C4" s="25">
        <v>437.38400000000001</v>
      </c>
      <c r="D4" s="26">
        <v>73</v>
      </c>
      <c r="E4" s="27">
        <v>31.929031999999999</v>
      </c>
      <c r="F4" s="26">
        <v>160</v>
      </c>
      <c r="G4" s="27">
        <v>69.981440000000006</v>
      </c>
      <c r="H4" s="28">
        <v>221</v>
      </c>
      <c r="I4" s="27">
        <v>96.661863999999994</v>
      </c>
      <c r="J4" s="26">
        <v>12</v>
      </c>
      <c r="K4" s="67">
        <v>5.2486079999999902</v>
      </c>
      <c r="L4" s="68">
        <v>0.52480000000000004</v>
      </c>
      <c r="M4" s="68">
        <v>0.72487999999999997</v>
      </c>
      <c r="N4" s="68">
        <v>3.28</v>
      </c>
      <c r="O4" s="66">
        <v>44287</v>
      </c>
    </row>
    <row r="5" spans="1:15">
      <c r="A5" s="19">
        <v>3</v>
      </c>
      <c r="B5" s="24" t="s">
        <v>432</v>
      </c>
      <c r="C5" s="25">
        <v>279</v>
      </c>
      <c r="D5" s="26">
        <v>0</v>
      </c>
      <c r="E5" s="27">
        <v>0</v>
      </c>
      <c r="F5" s="26">
        <v>0</v>
      </c>
      <c r="G5" s="27">
        <v>0</v>
      </c>
      <c r="H5" s="25">
        <v>0</v>
      </c>
      <c r="I5" s="27">
        <v>0</v>
      </c>
      <c r="J5" s="26">
        <v>0</v>
      </c>
      <c r="K5" s="67">
        <v>0</v>
      </c>
      <c r="L5" s="68">
        <v>0</v>
      </c>
      <c r="M5" s="68">
        <v>0</v>
      </c>
      <c r="N5" s="69">
        <v>2.093</v>
      </c>
      <c r="O5" s="66">
        <v>44287</v>
      </c>
    </row>
    <row r="6" spans="1:15" ht="24">
      <c r="A6" s="19">
        <v>4</v>
      </c>
      <c r="B6" s="24" t="s">
        <v>433</v>
      </c>
      <c r="C6" s="27">
        <v>255.15</v>
      </c>
      <c r="D6" s="26">
        <v>0</v>
      </c>
      <c r="E6" s="27">
        <v>0</v>
      </c>
      <c r="F6" s="26">
        <v>9</v>
      </c>
      <c r="G6" s="27">
        <v>2.2963499999999999</v>
      </c>
      <c r="H6" s="25">
        <v>0</v>
      </c>
      <c r="I6" s="27">
        <v>0</v>
      </c>
      <c r="J6" s="26">
        <v>9</v>
      </c>
      <c r="K6" s="67">
        <v>2.2963499999999999</v>
      </c>
      <c r="L6" s="68">
        <v>1.7226000000000002E-2</v>
      </c>
      <c r="M6" s="68">
        <v>0</v>
      </c>
      <c r="N6" s="69">
        <v>1.9139999999999999</v>
      </c>
      <c r="O6" s="66">
        <v>44287</v>
      </c>
    </row>
    <row r="7" spans="1:15" ht="24">
      <c r="A7" s="19">
        <v>5</v>
      </c>
      <c r="B7" s="24" t="s">
        <v>434</v>
      </c>
      <c r="C7" s="25">
        <v>297.67500000000001</v>
      </c>
      <c r="D7" s="26">
        <v>0</v>
      </c>
      <c r="E7" s="27">
        <v>0</v>
      </c>
      <c r="F7" s="26">
        <v>0</v>
      </c>
      <c r="G7" s="27">
        <v>0</v>
      </c>
      <c r="H7" s="26">
        <v>0</v>
      </c>
      <c r="I7" s="27">
        <v>0</v>
      </c>
      <c r="J7" s="26">
        <v>0</v>
      </c>
      <c r="K7" s="67">
        <v>0</v>
      </c>
      <c r="L7" s="68">
        <v>0</v>
      </c>
      <c r="M7" s="68">
        <v>0</v>
      </c>
      <c r="N7" s="69">
        <v>2.2330000000000001</v>
      </c>
      <c r="O7" s="66">
        <v>44287</v>
      </c>
    </row>
    <row r="8" spans="1:15" ht="24">
      <c r="A8" s="19">
        <v>6</v>
      </c>
      <c r="B8" s="24" t="s">
        <v>435</v>
      </c>
      <c r="C8" s="25">
        <v>260.43299999999999</v>
      </c>
      <c r="D8" s="26">
        <v>0</v>
      </c>
      <c r="E8" s="27">
        <v>0</v>
      </c>
      <c r="F8" s="26">
        <v>0</v>
      </c>
      <c r="G8" s="27">
        <v>0</v>
      </c>
      <c r="H8" s="25">
        <v>0</v>
      </c>
      <c r="I8" s="27">
        <v>0</v>
      </c>
      <c r="J8" s="26">
        <v>0</v>
      </c>
      <c r="K8" s="67">
        <v>0</v>
      </c>
      <c r="L8" s="68">
        <v>0</v>
      </c>
      <c r="M8" s="68">
        <v>0</v>
      </c>
      <c r="N8" s="69">
        <v>1.9530000000000001</v>
      </c>
      <c r="O8" s="66">
        <v>44287</v>
      </c>
    </row>
    <row r="9" spans="1:15" ht="24">
      <c r="A9" s="19">
        <v>7</v>
      </c>
      <c r="B9" s="24" t="s">
        <v>436</v>
      </c>
      <c r="C9" s="25">
        <v>175.792</v>
      </c>
      <c r="D9" s="26">
        <v>1</v>
      </c>
      <c r="E9" s="27">
        <v>0.175792</v>
      </c>
      <c r="F9" s="26">
        <v>0</v>
      </c>
      <c r="G9" s="27">
        <v>0</v>
      </c>
      <c r="H9" s="25">
        <v>1</v>
      </c>
      <c r="I9" s="27">
        <v>0.175792</v>
      </c>
      <c r="J9" s="26">
        <v>0</v>
      </c>
      <c r="K9" s="67">
        <v>0</v>
      </c>
      <c r="L9" s="68">
        <v>0</v>
      </c>
      <c r="M9" s="68">
        <v>1.3179999999999999E-3</v>
      </c>
      <c r="N9" s="69">
        <v>1.3180000000000001</v>
      </c>
      <c r="O9" s="66">
        <v>44287</v>
      </c>
    </row>
    <row r="10" spans="1:15" ht="24">
      <c r="A10" s="19">
        <v>8</v>
      </c>
      <c r="B10" s="24" t="s">
        <v>437</v>
      </c>
      <c r="C10" s="25">
        <v>0</v>
      </c>
      <c r="D10" s="26">
        <v>0</v>
      </c>
      <c r="E10" s="27">
        <v>0</v>
      </c>
      <c r="F10" s="26">
        <v>0</v>
      </c>
      <c r="G10" s="27">
        <v>0</v>
      </c>
      <c r="H10" s="25">
        <v>0</v>
      </c>
      <c r="I10" s="27">
        <v>0</v>
      </c>
      <c r="J10" s="26">
        <v>0</v>
      </c>
      <c r="K10" s="67">
        <v>0</v>
      </c>
      <c r="L10" s="68">
        <v>0</v>
      </c>
      <c r="M10" s="68">
        <v>0</v>
      </c>
      <c r="N10" s="69">
        <v>2.6160000000000001</v>
      </c>
      <c r="O10" s="66">
        <v>44287</v>
      </c>
    </row>
    <row r="11" spans="1:15" ht="24">
      <c r="A11" s="19">
        <v>9</v>
      </c>
      <c r="B11" s="24" t="s">
        <v>438</v>
      </c>
      <c r="C11" s="27">
        <v>368.55</v>
      </c>
      <c r="D11" s="26">
        <v>13</v>
      </c>
      <c r="E11" s="27">
        <v>4.79115</v>
      </c>
      <c r="F11" s="26">
        <v>51</v>
      </c>
      <c r="G11" s="27">
        <v>18.796050000000001</v>
      </c>
      <c r="H11" s="26">
        <v>24</v>
      </c>
      <c r="I11" s="27">
        <v>8.8452000000000002</v>
      </c>
      <c r="J11" s="26">
        <v>40</v>
      </c>
      <c r="K11" s="67">
        <v>14.742000000000001</v>
      </c>
      <c r="L11" s="68">
        <v>0.14096400000000001</v>
      </c>
      <c r="M11" s="68">
        <v>6.6336000000000006E-2</v>
      </c>
      <c r="N11" s="69">
        <v>2.7639999999999998</v>
      </c>
      <c r="O11" s="66">
        <v>44287</v>
      </c>
    </row>
    <row r="12" spans="1:15">
      <c r="A12" s="19">
        <v>10</v>
      </c>
      <c r="B12" s="24" t="s">
        <v>377</v>
      </c>
      <c r="C12" s="25">
        <v>229.63</v>
      </c>
      <c r="D12" s="26">
        <v>5</v>
      </c>
      <c r="E12" s="27">
        <v>1.14815</v>
      </c>
      <c r="F12" s="26">
        <v>0</v>
      </c>
      <c r="G12" s="27">
        <v>0</v>
      </c>
      <c r="H12" s="26">
        <v>0</v>
      </c>
      <c r="I12" s="27">
        <v>0</v>
      </c>
      <c r="J12" s="26">
        <v>5</v>
      </c>
      <c r="K12" s="67">
        <v>1.14815</v>
      </c>
      <c r="L12" s="68">
        <v>0</v>
      </c>
      <c r="M12" s="68">
        <v>0</v>
      </c>
      <c r="N12" s="69">
        <v>1.722</v>
      </c>
      <c r="O12" s="66">
        <v>44287</v>
      </c>
    </row>
    <row r="13" spans="1:15" ht="24">
      <c r="A13" s="19">
        <v>11</v>
      </c>
      <c r="B13" s="24" t="s">
        <v>439</v>
      </c>
      <c r="C13" s="25">
        <v>144</v>
      </c>
      <c r="D13" s="26">
        <v>0</v>
      </c>
      <c r="E13" s="27">
        <v>0</v>
      </c>
      <c r="F13" s="26">
        <v>0</v>
      </c>
      <c r="G13" s="27">
        <v>0</v>
      </c>
      <c r="H13" s="25">
        <v>0</v>
      </c>
      <c r="I13" s="27">
        <v>0</v>
      </c>
      <c r="J13" s="26">
        <v>0</v>
      </c>
      <c r="K13" s="67">
        <v>0</v>
      </c>
      <c r="L13" s="68">
        <v>0</v>
      </c>
      <c r="M13" s="68">
        <v>0</v>
      </c>
      <c r="N13" s="69">
        <v>1.08</v>
      </c>
      <c r="O13" s="66">
        <v>44287</v>
      </c>
    </row>
    <row r="14" spans="1:15">
      <c r="A14" s="19">
        <v>12</v>
      </c>
      <c r="B14" s="29" t="s">
        <v>440</v>
      </c>
      <c r="C14" s="30">
        <v>0</v>
      </c>
      <c r="D14" s="26">
        <v>0</v>
      </c>
      <c r="E14" s="27">
        <v>0</v>
      </c>
      <c r="F14" s="26">
        <v>0</v>
      </c>
      <c r="G14" s="27">
        <v>0.35</v>
      </c>
      <c r="H14" s="25">
        <v>0</v>
      </c>
      <c r="I14" s="27">
        <v>0.35</v>
      </c>
      <c r="J14" s="26">
        <v>0</v>
      </c>
      <c r="K14" s="67">
        <v>0</v>
      </c>
      <c r="L14" s="68">
        <v>0</v>
      </c>
      <c r="M14" s="68">
        <v>0</v>
      </c>
      <c r="N14" s="69">
        <v>0</v>
      </c>
      <c r="O14" s="66">
        <v>44287</v>
      </c>
    </row>
    <row r="15" spans="1:15">
      <c r="A15" s="19">
        <v>13</v>
      </c>
      <c r="B15" s="24" t="s">
        <v>441</v>
      </c>
      <c r="C15" s="25">
        <v>442.39499999999998</v>
      </c>
      <c r="D15" s="26">
        <v>0</v>
      </c>
      <c r="E15" s="27">
        <v>0</v>
      </c>
      <c r="F15" s="26">
        <v>0</v>
      </c>
      <c r="G15" s="27">
        <v>0</v>
      </c>
      <c r="H15" s="25">
        <v>0</v>
      </c>
      <c r="I15" s="27">
        <v>0</v>
      </c>
      <c r="J15" s="26">
        <v>0</v>
      </c>
      <c r="K15" s="67">
        <v>0</v>
      </c>
      <c r="L15" s="68">
        <v>0</v>
      </c>
      <c r="M15" s="68">
        <v>0</v>
      </c>
      <c r="N15" s="69">
        <v>3.3180000000000001</v>
      </c>
      <c r="O15" s="66">
        <v>44287</v>
      </c>
    </row>
    <row r="16" spans="1:15" ht="24">
      <c r="A16" s="19">
        <v>14</v>
      </c>
      <c r="B16" s="24" t="s">
        <v>442</v>
      </c>
      <c r="C16" s="25">
        <v>497.53300000000002</v>
      </c>
      <c r="D16" s="26">
        <v>0</v>
      </c>
      <c r="E16" s="27">
        <v>0</v>
      </c>
      <c r="F16" s="26">
        <v>0</v>
      </c>
      <c r="G16" s="27">
        <v>0</v>
      </c>
      <c r="H16" s="25">
        <v>0</v>
      </c>
      <c r="I16" s="27">
        <v>0</v>
      </c>
      <c r="J16" s="26">
        <v>0</v>
      </c>
      <c r="K16" s="67">
        <v>0</v>
      </c>
      <c r="L16" s="68">
        <v>0</v>
      </c>
      <c r="M16" s="68">
        <v>0</v>
      </c>
      <c r="N16" s="68">
        <v>3.7309999999999999</v>
      </c>
      <c r="O16" s="66">
        <v>44287</v>
      </c>
    </row>
    <row r="17" spans="1:15">
      <c r="A17" s="19">
        <v>15</v>
      </c>
      <c r="B17" s="24" t="s">
        <v>443</v>
      </c>
      <c r="C17" s="25">
        <v>342.30900000000003</v>
      </c>
      <c r="D17" s="26">
        <v>0</v>
      </c>
      <c r="E17" s="27">
        <v>0</v>
      </c>
      <c r="F17" s="26">
        <v>0</v>
      </c>
      <c r="G17" s="27">
        <v>0</v>
      </c>
      <c r="H17" s="25">
        <v>0</v>
      </c>
      <c r="I17" s="27">
        <v>0</v>
      </c>
      <c r="J17" s="26">
        <v>0</v>
      </c>
      <c r="K17" s="67">
        <v>0</v>
      </c>
      <c r="L17" s="68">
        <v>0</v>
      </c>
      <c r="M17" s="68">
        <v>0</v>
      </c>
      <c r="N17" s="68">
        <v>2.5670000000000002</v>
      </c>
      <c r="O17" s="66">
        <v>44287</v>
      </c>
    </row>
    <row r="18" spans="1:15" ht="24">
      <c r="A18" s="19">
        <v>16</v>
      </c>
      <c r="B18" s="24" t="s">
        <v>444</v>
      </c>
      <c r="C18" s="25">
        <v>253.22200000000001</v>
      </c>
      <c r="D18" s="26">
        <v>35</v>
      </c>
      <c r="E18" s="27">
        <v>8.8627699999999994</v>
      </c>
      <c r="F18" s="26">
        <v>0</v>
      </c>
      <c r="G18" s="27">
        <v>0</v>
      </c>
      <c r="H18" s="26">
        <v>35</v>
      </c>
      <c r="I18" s="27">
        <v>8.8627699999999994</v>
      </c>
      <c r="J18" s="26">
        <v>0</v>
      </c>
      <c r="K18" s="67">
        <v>0</v>
      </c>
      <c r="L18" s="68">
        <v>0</v>
      </c>
      <c r="M18" s="68">
        <v>6.6464999999999996E-2</v>
      </c>
      <c r="N18" s="68">
        <v>1.899</v>
      </c>
      <c r="O18" s="66">
        <v>44287</v>
      </c>
    </row>
    <row r="19" spans="1:15">
      <c r="A19" s="19">
        <v>17</v>
      </c>
      <c r="B19" s="24" t="s">
        <v>445</v>
      </c>
      <c r="C19" s="25">
        <v>405.40499999999997</v>
      </c>
      <c r="D19" s="26">
        <v>28</v>
      </c>
      <c r="E19" s="27">
        <v>11.35134</v>
      </c>
      <c r="F19" s="26">
        <v>41</v>
      </c>
      <c r="G19" s="27">
        <v>16.621604999999999</v>
      </c>
      <c r="H19" s="25">
        <v>67</v>
      </c>
      <c r="I19" s="27">
        <v>27.162134999999999</v>
      </c>
      <c r="J19" s="26">
        <v>2</v>
      </c>
      <c r="K19" s="67">
        <v>0.81081000000000003</v>
      </c>
      <c r="L19" s="68">
        <v>0.124681</v>
      </c>
      <c r="M19" s="68">
        <v>0.20374700000000001</v>
      </c>
      <c r="N19" s="68">
        <v>3.0409999999999999</v>
      </c>
      <c r="O19" s="66">
        <v>44287</v>
      </c>
    </row>
    <row r="20" spans="1:15" ht="24">
      <c r="A20" s="19">
        <v>18</v>
      </c>
      <c r="B20" s="24" t="s">
        <v>446</v>
      </c>
      <c r="C20" s="25">
        <v>0</v>
      </c>
      <c r="D20" s="26">
        <v>0</v>
      </c>
      <c r="E20" s="27">
        <v>0</v>
      </c>
      <c r="F20" s="26">
        <v>0</v>
      </c>
      <c r="G20" s="27">
        <v>2.57</v>
      </c>
      <c r="H20" s="25">
        <v>0</v>
      </c>
      <c r="I20" s="27">
        <v>2.57</v>
      </c>
      <c r="J20" s="26">
        <v>0</v>
      </c>
      <c r="K20" s="67">
        <v>0</v>
      </c>
      <c r="L20" s="68">
        <v>0</v>
      </c>
      <c r="M20" s="68">
        <v>0</v>
      </c>
      <c r="N20" s="68">
        <v>0</v>
      </c>
      <c r="O20" s="66">
        <v>44287</v>
      </c>
    </row>
    <row r="21" spans="1:15">
      <c r="A21" s="19">
        <v>19</v>
      </c>
      <c r="B21" s="24" t="s">
        <v>447</v>
      </c>
      <c r="C21" s="25">
        <v>0</v>
      </c>
      <c r="D21" s="26">
        <v>0</v>
      </c>
      <c r="E21" s="27">
        <v>0</v>
      </c>
      <c r="F21" s="26">
        <v>0</v>
      </c>
      <c r="G21" s="27">
        <v>6.23</v>
      </c>
      <c r="H21" s="25">
        <v>0</v>
      </c>
      <c r="I21" s="27">
        <v>6.23</v>
      </c>
      <c r="J21" s="26">
        <v>0</v>
      </c>
      <c r="K21" s="67">
        <v>0</v>
      </c>
      <c r="L21" s="68">
        <v>0</v>
      </c>
      <c r="M21" s="68">
        <v>0</v>
      </c>
      <c r="N21" s="68">
        <v>0</v>
      </c>
      <c r="O21" s="66">
        <v>44287</v>
      </c>
    </row>
    <row r="22" spans="1:15">
      <c r="A22" s="19">
        <v>20</v>
      </c>
      <c r="B22" s="24" t="s">
        <v>448</v>
      </c>
      <c r="C22" s="27">
        <v>417.59</v>
      </c>
      <c r="D22" s="26">
        <v>0</v>
      </c>
      <c r="E22" s="27">
        <v>0</v>
      </c>
      <c r="F22" s="26">
        <v>11</v>
      </c>
      <c r="G22" s="27">
        <v>4.5934900000000001</v>
      </c>
      <c r="H22" s="26">
        <v>0</v>
      </c>
      <c r="I22" s="27">
        <v>0</v>
      </c>
      <c r="J22" s="26">
        <v>11</v>
      </c>
      <c r="K22" s="67">
        <v>4.5934900000000001</v>
      </c>
      <c r="L22" s="68">
        <v>3.4452000000000003E-2</v>
      </c>
      <c r="M22" s="68">
        <v>0</v>
      </c>
      <c r="N22" s="68">
        <v>3.1320000000000001</v>
      </c>
      <c r="O22" s="66">
        <v>44287</v>
      </c>
    </row>
    <row r="23" spans="1:15">
      <c r="A23" s="19">
        <v>21</v>
      </c>
      <c r="B23" s="31" t="s">
        <v>392</v>
      </c>
      <c r="C23" s="32">
        <v>0</v>
      </c>
      <c r="D23" s="28">
        <v>0</v>
      </c>
      <c r="E23" s="33">
        <v>0</v>
      </c>
      <c r="F23" s="28">
        <v>0</v>
      </c>
      <c r="G23" s="34">
        <v>262.91500000000002</v>
      </c>
      <c r="H23" s="32">
        <v>0</v>
      </c>
      <c r="I23" s="34">
        <v>262.91500000000002</v>
      </c>
      <c r="J23" s="25">
        <v>0</v>
      </c>
      <c r="K23" s="67">
        <v>0</v>
      </c>
      <c r="L23" s="68">
        <v>0</v>
      </c>
      <c r="M23" s="68">
        <v>0</v>
      </c>
      <c r="N23" s="69">
        <v>0</v>
      </c>
      <c r="O23" s="66">
        <v>44287</v>
      </c>
    </row>
    <row r="24" spans="1:15">
      <c r="A24" s="19">
        <v>22</v>
      </c>
      <c r="B24" s="24" t="s">
        <v>393</v>
      </c>
      <c r="C24" s="25">
        <v>0</v>
      </c>
      <c r="D24" s="26">
        <v>0</v>
      </c>
      <c r="E24" s="35">
        <v>0</v>
      </c>
      <c r="F24" s="26">
        <v>0</v>
      </c>
      <c r="G24" s="27">
        <v>3.2210000000000001</v>
      </c>
      <c r="H24" s="25">
        <v>0</v>
      </c>
      <c r="I24" s="34">
        <v>3.2210000000000001</v>
      </c>
      <c r="J24" s="25">
        <v>0</v>
      </c>
      <c r="K24" s="67">
        <v>0</v>
      </c>
      <c r="L24" s="68">
        <v>0</v>
      </c>
      <c r="M24" s="68">
        <v>0</v>
      </c>
      <c r="N24" s="69">
        <v>0</v>
      </c>
      <c r="O24" s="66">
        <v>44287</v>
      </c>
    </row>
    <row r="25" spans="1:15">
      <c r="A25" s="19">
        <v>23</v>
      </c>
      <c r="B25" s="24" t="s">
        <v>394</v>
      </c>
      <c r="C25" s="25">
        <v>0</v>
      </c>
      <c r="D25" s="26">
        <v>0</v>
      </c>
      <c r="E25" s="35">
        <v>0</v>
      </c>
      <c r="F25" s="26">
        <v>0</v>
      </c>
      <c r="G25" s="27">
        <v>0</v>
      </c>
      <c r="H25" s="25">
        <v>0</v>
      </c>
      <c r="I25" s="34">
        <v>0</v>
      </c>
      <c r="J25" s="25">
        <v>0</v>
      </c>
      <c r="K25" s="67">
        <v>0</v>
      </c>
      <c r="L25" s="68">
        <v>0</v>
      </c>
      <c r="M25" s="68">
        <v>0</v>
      </c>
      <c r="N25" s="69">
        <v>0</v>
      </c>
      <c r="O25" s="66">
        <v>44287</v>
      </c>
    </row>
    <row r="26" spans="1:15" ht="24">
      <c r="A26" s="19">
        <v>24</v>
      </c>
      <c r="B26" s="31" t="s">
        <v>450</v>
      </c>
      <c r="C26" s="32">
        <v>0</v>
      </c>
      <c r="D26" s="28">
        <v>0</v>
      </c>
      <c r="E26" s="27">
        <v>0</v>
      </c>
      <c r="F26" s="28">
        <v>0</v>
      </c>
      <c r="G26" s="27">
        <v>33.725999999999999</v>
      </c>
      <c r="H26" s="32">
        <v>0</v>
      </c>
      <c r="I26" s="27">
        <v>33.725999999999999</v>
      </c>
      <c r="J26" s="25">
        <v>0</v>
      </c>
      <c r="K26" s="67">
        <v>0</v>
      </c>
      <c r="L26" s="68">
        <v>0</v>
      </c>
      <c r="M26" s="68">
        <v>0</v>
      </c>
      <c r="N26" s="69">
        <v>0</v>
      </c>
      <c r="O26" s="66">
        <v>44287</v>
      </c>
    </row>
    <row r="27" spans="1:15" ht="24">
      <c r="A27" s="19">
        <v>25</v>
      </c>
      <c r="B27" s="31" t="s">
        <v>451</v>
      </c>
      <c r="C27" s="32">
        <v>0</v>
      </c>
      <c r="D27" s="28">
        <v>0</v>
      </c>
      <c r="E27" s="27">
        <v>0</v>
      </c>
      <c r="F27" s="28">
        <v>0</v>
      </c>
      <c r="G27" s="27">
        <v>0</v>
      </c>
      <c r="H27" s="32">
        <v>0</v>
      </c>
      <c r="I27" s="27">
        <v>0</v>
      </c>
      <c r="J27" s="25">
        <v>0</v>
      </c>
      <c r="K27" s="67">
        <v>0</v>
      </c>
      <c r="L27" s="68">
        <v>0</v>
      </c>
      <c r="M27" s="68">
        <v>0</v>
      </c>
      <c r="N27" s="69">
        <v>0</v>
      </c>
      <c r="O27" s="66">
        <v>44287</v>
      </c>
    </row>
    <row r="28" spans="1:15" ht="24">
      <c r="A28" s="19">
        <v>26</v>
      </c>
      <c r="B28" s="31" t="s">
        <v>452</v>
      </c>
      <c r="C28" s="32">
        <v>0</v>
      </c>
      <c r="D28" s="28">
        <v>0</v>
      </c>
      <c r="E28" s="27">
        <v>0</v>
      </c>
      <c r="F28" s="28">
        <v>0</v>
      </c>
      <c r="G28" s="27">
        <v>20.934000000000001</v>
      </c>
      <c r="H28" s="32">
        <v>0</v>
      </c>
      <c r="I28" s="27">
        <v>20.934000000000001</v>
      </c>
      <c r="J28" s="25">
        <v>0</v>
      </c>
      <c r="K28" s="67">
        <v>0</v>
      </c>
      <c r="L28" s="68">
        <v>0</v>
      </c>
      <c r="M28" s="68">
        <v>0</v>
      </c>
      <c r="N28" s="69">
        <v>0</v>
      </c>
      <c r="O28" s="66">
        <v>44287</v>
      </c>
    </row>
    <row r="29" spans="1:15" ht="24">
      <c r="A29" s="19">
        <v>27</v>
      </c>
      <c r="B29" s="24" t="s">
        <v>455</v>
      </c>
      <c r="C29" s="25">
        <v>290</v>
      </c>
      <c r="D29" s="36">
        <v>0</v>
      </c>
      <c r="E29" s="37">
        <v>0</v>
      </c>
      <c r="F29" s="36">
        <v>0</v>
      </c>
      <c r="G29" s="27">
        <v>0</v>
      </c>
      <c r="H29" s="32">
        <v>0</v>
      </c>
      <c r="I29" s="27">
        <v>0</v>
      </c>
      <c r="J29" s="36">
        <v>0</v>
      </c>
      <c r="K29" s="67">
        <v>0</v>
      </c>
      <c r="L29" s="68">
        <v>0</v>
      </c>
      <c r="M29" s="68">
        <v>0</v>
      </c>
      <c r="N29" s="69">
        <v>2.1749999999999998</v>
      </c>
      <c r="O29" s="66">
        <v>44287</v>
      </c>
    </row>
    <row r="30" spans="1:15" ht="24">
      <c r="A30" s="19">
        <v>28</v>
      </c>
      <c r="B30" s="24" t="s">
        <v>399</v>
      </c>
      <c r="C30" s="25">
        <v>290</v>
      </c>
      <c r="D30" s="36">
        <v>416</v>
      </c>
      <c r="E30" s="37">
        <v>120.64</v>
      </c>
      <c r="F30" s="36">
        <v>1108</v>
      </c>
      <c r="G30" s="27">
        <v>321.32</v>
      </c>
      <c r="H30" s="26">
        <v>1096</v>
      </c>
      <c r="I30" s="27">
        <v>317.83999999999997</v>
      </c>
      <c r="J30" s="36">
        <v>428</v>
      </c>
      <c r="K30" s="67">
        <v>124.12</v>
      </c>
      <c r="L30" s="68">
        <v>2.4098999999999999</v>
      </c>
      <c r="M30" s="68">
        <v>2.3837999999999999</v>
      </c>
      <c r="N30" s="69">
        <v>2.1749999999999998</v>
      </c>
      <c r="O30" s="66">
        <v>44287</v>
      </c>
    </row>
    <row r="31" spans="1:15" ht="24">
      <c r="A31" s="19">
        <v>29</v>
      </c>
      <c r="B31" s="38" t="s">
        <v>430</v>
      </c>
      <c r="C31" s="39">
        <v>331.69499999999999</v>
      </c>
      <c r="D31" s="40">
        <v>7</v>
      </c>
      <c r="E31" s="41">
        <v>2.3218649999999998</v>
      </c>
      <c r="F31" s="42">
        <v>85</v>
      </c>
      <c r="G31" s="41">
        <v>28.194075000000002</v>
      </c>
      <c r="H31" s="42">
        <v>92</v>
      </c>
      <c r="I31" s="41">
        <v>30.515940000000001</v>
      </c>
      <c r="J31" s="42">
        <v>0</v>
      </c>
      <c r="K31" s="70">
        <v>0</v>
      </c>
      <c r="L31" s="71">
        <v>0.21232999999999999</v>
      </c>
      <c r="M31" s="71">
        <v>0.22981599999999999</v>
      </c>
      <c r="N31" s="72">
        <v>2.4980000000000002</v>
      </c>
      <c r="O31" s="66">
        <v>44317</v>
      </c>
    </row>
    <row r="32" spans="1:15" ht="24">
      <c r="A32" s="19">
        <v>30</v>
      </c>
      <c r="B32" s="38" t="s">
        <v>431</v>
      </c>
      <c r="C32" s="39">
        <v>437.38400000000001</v>
      </c>
      <c r="D32" s="42">
        <v>12</v>
      </c>
      <c r="E32" s="41">
        <v>5.2486079999999999</v>
      </c>
      <c r="F32" s="42">
        <v>72</v>
      </c>
      <c r="G32" s="41">
        <v>33.241647999999998</v>
      </c>
      <c r="H32" s="43">
        <v>84</v>
      </c>
      <c r="I32" s="41">
        <v>38.490256000000002</v>
      </c>
      <c r="J32" s="42">
        <v>0</v>
      </c>
      <c r="K32" s="70">
        <v>0</v>
      </c>
      <c r="L32" s="71">
        <v>0.23616000000000001</v>
      </c>
      <c r="M32" s="71">
        <v>0.27551999999999999</v>
      </c>
      <c r="N32" s="71">
        <v>3.28</v>
      </c>
      <c r="O32" s="66">
        <v>44317</v>
      </c>
    </row>
    <row r="33" spans="1:15">
      <c r="A33" s="19">
        <v>31</v>
      </c>
      <c r="B33" s="38" t="s">
        <v>262</v>
      </c>
      <c r="C33" s="39">
        <v>417.59</v>
      </c>
      <c r="D33" s="42">
        <v>11</v>
      </c>
      <c r="E33" s="41">
        <v>4.5934900000000001</v>
      </c>
      <c r="F33" s="42">
        <v>77</v>
      </c>
      <c r="G33" s="41">
        <v>32.154429999999998</v>
      </c>
      <c r="H33" s="42">
        <v>74</v>
      </c>
      <c r="I33" s="41">
        <v>30.90166</v>
      </c>
      <c r="J33" s="42">
        <v>14</v>
      </c>
      <c r="K33" s="70">
        <v>5.84626</v>
      </c>
      <c r="L33" s="71">
        <v>0.24116399999999999</v>
      </c>
      <c r="M33" s="71">
        <v>0.231768</v>
      </c>
      <c r="N33" s="72">
        <v>3.1320000000000001</v>
      </c>
      <c r="O33" s="66">
        <v>44317</v>
      </c>
    </row>
    <row r="34" spans="1:15" ht="24">
      <c r="A34" s="19">
        <v>32</v>
      </c>
      <c r="B34" s="38" t="s">
        <v>433</v>
      </c>
      <c r="C34" s="44">
        <v>255.15</v>
      </c>
      <c r="D34" s="42">
        <v>9</v>
      </c>
      <c r="E34" s="41">
        <v>2.2963499999999999</v>
      </c>
      <c r="F34" s="42">
        <v>0</v>
      </c>
      <c r="G34" s="41">
        <v>0</v>
      </c>
      <c r="H34" s="40">
        <v>0</v>
      </c>
      <c r="I34" s="41">
        <v>0</v>
      </c>
      <c r="J34" s="42">
        <v>9</v>
      </c>
      <c r="K34" s="70">
        <v>2.2963499999999999</v>
      </c>
      <c r="L34" s="71">
        <v>0</v>
      </c>
      <c r="M34" s="71">
        <v>0</v>
      </c>
      <c r="N34" s="72">
        <v>1.9139999999999999</v>
      </c>
      <c r="O34" s="66">
        <v>44317</v>
      </c>
    </row>
    <row r="35" spans="1:15" ht="24">
      <c r="A35" s="19">
        <v>33</v>
      </c>
      <c r="B35" s="38" t="s">
        <v>434</v>
      </c>
      <c r="C35" s="39">
        <v>297.67500000000001</v>
      </c>
      <c r="D35" s="42">
        <v>0</v>
      </c>
      <c r="E35" s="41">
        <v>0</v>
      </c>
      <c r="F35" s="42">
        <v>0</v>
      </c>
      <c r="G35" s="41">
        <v>0</v>
      </c>
      <c r="H35" s="42">
        <v>0</v>
      </c>
      <c r="I35" s="41">
        <v>0</v>
      </c>
      <c r="J35" s="42">
        <v>0</v>
      </c>
      <c r="K35" s="70">
        <v>0</v>
      </c>
      <c r="L35" s="71">
        <v>0</v>
      </c>
      <c r="M35" s="71">
        <v>0</v>
      </c>
      <c r="N35" s="72">
        <v>2.2330000000000001</v>
      </c>
      <c r="O35" s="66">
        <v>44317</v>
      </c>
    </row>
    <row r="36" spans="1:15" ht="24">
      <c r="A36" s="19">
        <v>34</v>
      </c>
      <c r="B36" s="45" t="s">
        <v>435</v>
      </c>
      <c r="C36" s="46">
        <v>260.43299999999999</v>
      </c>
      <c r="D36" s="42">
        <v>0</v>
      </c>
      <c r="E36" s="41">
        <v>0</v>
      </c>
      <c r="F36" s="42">
        <v>0</v>
      </c>
      <c r="G36" s="41">
        <v>0</v>
      </c>
      <c r="H36" s="40">
        <v>0</v>
      </c>
      <c r="I36" s="41">
        <v>0</v>
      </c>
      <c r="J36" s="42">
        <v>0</v>
      </c>
      <c r="K36" s="70">
        <v>0</v>
      </c>
      <c r="L36" s="71">
        <v>0</v>
      </c>
      <c r="M36" s="71">
        <v>0</v>
      </c>
      <c r="N36" s="72">
        <v>1.9530000000000001</v>
      </c>
      <c r="O36" s="66">
        <v>44317</v>
      </c>
    </row>
    <row r="37" spans="1:15" ht="24">
      <c r="A37" s="19">
        <v>35</v>
      </c>
      <c r="B37" s="38" t="s">
        <v>436</v>
      </c>
      <c r="C37" s="39">
        <v>175.792</v>
      </c>
      <c r="D37" s="42">
        <v>0</v>
      </c>
      <c r="E37" s="41">
        <v>0</v>
      </c>
      <c r="F37" s="42">
        <v>0</v>
      </c>
      <c r="G37" s="41">
        <v>0</v>
      </c>
      <c r="H37" s="40">
        <v>0</v>
      </c>
      <c r="I37" s="41">
        <v>0</v>
      </c>
      <c r="J37" s="42">
        <v>0</v>
      </c>
      <c r="K37" s="70">
        <v>0</v>
      </c>
      <c r="L37" s="71">
        <v>0</v>
      </c>
      <c r="M37" s="71">
        <v>0</v>
      </c>
      <c r="N37" s="72">
        <v>1.3180000000000001</v>
      </c>
      <c r="O37" s="66">
        <v>44317</v>
      </c>
    </row>
    <row r="38" spans="1:15" ht="24">
      <c r="A38" s="19">
        <v>36</v>
      </c>
      <c r="B38" s="38" t="s">
        <v>437</v>
      </c>
      <c r="C38" s="39">
        <v>0</v>
      </c>
      <c r="D38" s="42">
        <v>0</v>
      </c>
      <c r="E38" s="41">
        <v>0</v>
      </c>
      <c r="F38" s="42">
        <v>0</v>
      </c>
      <c r="G38" s="41">
        <v>0</v>
      </c>
      <c r="H38" s="40">
        <v>0</v>
      </c>
      <c r="I38" s="41">
        <v>0</v>
      </c>
      <c r="J38" s="42">
        <v>0</v>
      </c>
      <c r="K38" s="70">
        <v>0</v>
      </c>
      <c r="L38" s="71">
        <v>0</v>
      </c>
      <c r="M38" s="71">
        <v>0</v>
      </c>
      <c r="N38" s="72">
        <v>2.6160000000000001</v>
      </c>
      <c r="O38" s="66">
        <v>44317</v>
      </c>
    </row>
    <row r="39" spans="1:15" ht="24">
      <c r="A39" s="19">
        <v>37</v>
      </c>
      <c r="B39" s="38" t="s">
        <v>438</v>
      </c>
      <c r="C39" s="44">
        <v>368.55</v>
      </c>
      <c r="D39" s="42">
        <v>40</v>
      </c>
      <c r="E39" s="41">
        <v>14.742000000000001</v>
      </c>
      <c r="F39" s="42">
        <v>0</v>
      </c>
      <c r="G39" s="41">
        <v>0.14799999999999999</v>
      </c>
      <c r="H39" s="42">
        <v>40</v>
      </c>
      <c r="I39" s="41">
        <v>14.89</v>
      </c>
      <c r="J39" s="42">
        <v>0</v>
      </c>
      <c r="K39" s="70">
        <v>0</v>
      </c>
      <c r="L39" s="71">
        <v>0</v>
      </c>
      <c r="M39" s="71">
        <v>0.11056000000000001</v>
      </c>
      <c r="N39" s="72">
        <v>2.7639999999999998</v>
      </c>
      <c r="O39" s="66">
        <v>44317</v>
      </c>
    </row>
    <row r="40" spans="1:15">
      <c r="A40" s="19">
        <v>38</v>
      </c>
      <c r="B40" s="47" t="s">
        <v>377</v>
      </c>
      <c r="C40" s="48">
        <v>229.63</v>
      </c>
      <c r="D40" s="42">
        <v>5</v>
      </c>
      <c r="E40" s="41">
        <v>1.14815</v>
      </c>
      <c r="F40" s="42">
        <v>0</v>
      </c>
      <c r="G40" s="41">
        <v>0</v>
      </c>
      <c r="H40" s="42">
        <v>0</v>
      </c>
      <c r="I40" s="41">
        <v>0</v>
      </c>
      <c r="J40" s="42">
        <v>5</v>
      </c>
      <c r="K40" s="70">
        <v>1.14815</v>
      </c>
      <c r="L40" s="71">
        <v>0</v>
      </c>
      <c r="M40" s="71">
        <v>0</v>
      </c>
      <c r="N40" s="72">
        <v>1.722</v>
      </c>
      <c r="O40" s="66">
        <v>44317</v>
      </c>
    </row>
    <row r="41" spans="1:15">
      <c r="A41" s="19">
        <v>39</v>
      </c>
      <c r="B41" s="47" t="s">
        <v>439</v>
      </c>
      <c r="C41" s="49">
        <v>144</v>
      </c>
      <c r="D41" s="42">
        <v>0</v>
      </c>
      <c r="E41" s="41">
        <v>0</v>
      </c>
      <c r="F41" s="42">
        <v>0</v>
      </c>
      <c r="G41" s="41">
        <v>0</v>
      </c>
      <c r="H41" s="40">
        <v>0</v>
      </c>
      <c r="I41" s="41">
        <v>0</v>
      </c>
      <c r="J41" s="42">
        <v>0</v>
      </c>
      <c r="K41" s="70">
        <v>0</v>
      </c>
      <c r="L41" s="71">
        <v>0</v>
      </c>
      <c r="M41" s="71">
        <v>0</v>
      </c>
      <c r="N41" s="72">
        <v>1.08</v>
      </c>
      <c r="O41" s="66">
        <v>44317</v>
      </c>
    </row>
    <row r="42" spans="1:15">
      <c r="A42" s="19">
        <v>40</v>
      </c>
      <c r="B42" s="50" t="s">
        <v>440</v>
      </c>
      <c r="C42" s="51">
        <v>0</v>
      </c>
      <c r="D42" s="42">
        <v>0</v>
      </c>
      <c r="E42" s="41">
        <v>0</v>
      </c>
      <c r="F42" s="42">
        <v>0</v>
      </c>
      <c r="G42" s="41">
        <v>0</v>
      </c>
      <c r="H42" s="40">
        <v>0</v>
      </c>
      <c r="I42" s="41">
        <v>0</v>
      </c>
      <c r="J42" s="42">
        <v>0</v>
      </c>
      <c r="K42" s="70">
        <v>0</v>
      </c>
      <c r="L42" s="71">
        <v>0</v>
      </c>
      <c r="M42" s="71">
        <v>0</v>
      </c>
      <c r="N42" s="72">
        <v>0</v>
      </c>
      <c r="O42" s="66">
        <v>44317</v>
      </c>
    </row>
    <row r="43" spans="1:15">
      <c r="A43" s="19">
        <v>41</v>
      </c>
      <c r="B43" s="38" t="s">
        <v>441</v>
      </c>
      <c r="C43" s="39">
        <v>442.39499999999998</v>
      </c>
      <c r="D43" s="42">
        <v>0</v>
      </c>
      <c r="E43" s="41">
        <v>0</v>
      </c>
      <c r="F43" s="42">
        <v>0</v>
      </c>
      <c r="G43" s="41">
        <v>0</v>
      </c>
      <c r="H43" s="40">
        <v>0</v>
      </c>
      <c r="I43" s="41">
        <v>0</v>
      </c>
      <c r="J43" s="42">
        <v>0</v>
      </c>
      <c r="K43" s="70">
        <v>0</v>
      </c>
      <c r="L43" s="71">
        <v>0</v>
      </c>
      <c r="M43" s="71">
        <v>0</v>
      </c>
      <c r="N43" s="72">
        <v>3.3180000000000001</v>
      </c>
      <c r="O43" s="66">
        <v>44317</v>
      </c>
    </row>
    <row r="44" spans="1:15">
      <c r="A44" s="19">
        <v>42</v>
      </c>
      <c r="B44" s="47" t="s">
        <v>442</v>
      </c>
      <c r="C44" s="48">
        <v>497.53300000000002</v>
      </c>
      <c r="D44" s="42">
        <v>0</v>
      </c>
      <c r="E44" s="41">
        <v>0</v>
      </c>
      <c r="F44" s="42">
        <v>0</v>
      </c>
      <c r="G44" s="41">
        <v>0</v>
      </c>
      <c r="H44" s="40">
        <v>0</v>
      </c>
      <c r="I44" s="41">
        <v>0</v>
      </c>
      <c r="J44" s="42">
        <v>0</v>
      </c>
      <c r="K44" s="70">
        <v>0</v>
      </c>
      <c r="L44" s="71">
        <v>0</v>
      </c>
      <c r="M44" s="71">
        <v>0</v>
      </c>
      <c r="N44" s="71">
        <v>3.7309999999999999</v>
      </c>
      <c r="O44" s="66">
        <v>44317</v>
      </c>
    </row>
    <row r="45" spans="1:15">
      <c r="A45" s="19">
        <v>43</v>
      </c>
      <c r="B45" s="47" t="s">
        <v>443</v>
      </c>
      <c r="C45" s="48">
        <v>342.30900000000003</v>
      </c>
      <c r="D45" s="42">
        <v>0</v>
      </c>
      <c r="E45" s="41">
        <v>0</v>
      </c>
      <c r="F45" s="42">
        <v>0</v>
      </c>
      <c r="G45" s="41">
        <v>0</v>
      </c>
      <c r="H45" s="40">
        <v>0</v>
      </c>
      <c r="I45" s="41">
        <v>0</v>
      </c>
      <c r="J45" s="42">
        <v>0</v>
      </c>
      <c r="K45" s="70">
        <v>0</v>
      </c>
      <c r="L45" s="71">
        <v>0</v>
      </c>
      <c r="M45" s="71">
        <v>0</v>
      </c>
      <c r="N45" s="71">
        <v>2.5670000000000002</v>
      </c>
      <c r="O45" s="66">
        <v>44317</v>
      </c>
    </row>
    <row r="46" spans="1:15">
      <c r="A46" s="19">
        <v>44</v>
      </c>
      <c r="B46" s="47" t="s">
        <v>444</v>
      </c>
      <c r="C46" s="48">
        <v>253.22200000000001</v>
      </c>
      <c r="D46" s="42">
        <v>0</v>
      </c>
      <c r="E46" s="41">
        <v>0</v>
      </c>
      <c r="F46" s="42">
        <v>0</v>
      </c>
      <c r="G46" s="41">
        <v>0.222</v>
      </c>
      <c r="H46" s="42">
        <v>0</v>
      </c>
      <c r="I46" s="41">
        <v>0.222</v>
      </c>
      <c r="J46" s="42">
        <v>0</v>
      </c>
      <c r="K46" s="70">
        <v>0</v>
      </c>
      <c r="L46" s="71">
        <v>0</v>
      </c>
      <c r="M46" s="71">
        <v>0</v>
      </c>
      <c r="N46" s="71">
        <v>1.899</v>
      </c>
      <c r="O46" s="66">
        <v>44317</v>
      </c>
    </row>
    <row r="47" spans="1:15">
      <c r="A47" s="19">
        <v>45</v>
      </c>
      <c r="B47" s="47" t="s">
        <v>445</v>
      </c>
      <c r="C47" s="48">
        <v>405.40499999999997</v>
      </c>
      <c r="D47" s="42">
        <v>2</v>
      </c>
      <c r="E47" s="41">
        <v>0.81081000000000003</v>
      </c>
      <c r="F47" s="42">
        <v>0</v>
      </c>
      <c r="G47" s="41">
        <v>0</v>
      </c>
      <c r="H47" s="40">
        <v>0</v>
      </c>
      <c r="I47" s="41">
        <v>0</v>
      </c>
      <c r="J47" s="42">
        <v>2</v>
      </c>
      <c r="K47" s="70">
        <v>0.81081000000000003</v>
      </c>
      <c r="L47" s="71">
        <v>0</v>
      </c>
      <c r="M47" s="71">
        <v>0</v>
      </c>
      <c r="N47" s="71">
        <v>3.0409999999999999</v>
      </c>
      <c r="O47" s="66">
        <v>44317</v>
      </c>
    </row>
    <row r="48" spans="1:15">
      <c r="A48" s="19">
        <v>46</v>
      </c>
      <c r="B48" s="52" t="s">
        <v>392</v>
      </c>
      <c r="C48" s="53">
        <v>0</v>
      </c>
      <c r="D48" s="43">
        <v>0</v>
      </c>
      <c r="E48" s="54">
        <v>0</v>
      </c>
      <c r="F48" s="43">
        <v>0</v>
      </c>
      <c r="G48" s="55">
        <v>191.279</v>
      </c>
      <c r="H48" s="56">
        <v>0</v>
      </c>
      <c r="I48" s="55">
        <v>191.279</v>
      </c>
      <c r="J48" s="40">
        <v>0</v>
      </c>
      <c r="K48" s="70">
        <v>0</v>
      </c>
      <c r="L48" s="71">
        <v>0</v>
      </c>
      <c r="M48" s="71">
        <v>0</v>
      </c>
      <c r="N48" s="72">
        <v>0</v>
      </c>
      <c r="O48" s="66">
        <v>44317</v>
      </c>
    </row>
    <row r="49" spans="1:15">
      <c r="A49" s="19">
        <v>47</v>
      </c>
      <c r="B49" s="47" t="s">
        <v>393</v>
      </c>
      <c r="C49" s="48">
        <v>0</v>
      </c>
      <c r="D49" s="42">
        <v>0</v>
      </c>
      <c r="E49" s="57">
        <v>0</v>
      </c>
      <c r="F49" s="42">
        <v>0</v>
      </c>
      <c r="G49" s="41">
        <v>0</v>
      </c>
      <c r="H49" s="40">
        <v>0</v>
      </c>
      <c r="I49" s="55">
        <v>0</v>
      </c>
      <c r="J49" s="40">
        <v>0</v>
      </c>
      <c r="K49" s="70">
        <v>0</v>
      </c>
      <c r="L49" s="71">
        <v>0</v>
      </c>
      <c r="M49" s="71">
        <v>0</v>
      </c>
      <c r="N49" s="72">
        <v>0</v>
      </c>
      <c r="O49" s="66">
        <v>44317</v>
      </c>
    </row>
    <row r="50" spans="1:15">
      <c r="A50" s="19">
        <v>48</v>
      </c>
      <c r="B50" s="47" t="s">
        <v>394</v>
      </c>
      <c r="C50" s="48">
        <v>0</v>
      </c>
      <c r="D50" s="42">
        <v>0</v>
      </c>
      <c r="E50" s="57">
        <v>0</v>
      </c>
      <c r="F50" s="42">
        <v>0</v>
      </c>
      <c r="G50" s="41">
        <v>0</v>
      </c>
      <c r="H50" s="40">
        <v>0</v>
      </c>
      <c r="I50" s="55">
        <v>0</v>
      </c>
      <c r="J50" s="40">
        <v>0</v>
      </c>
      <c r="K50" s="70">
        <v>0</v>
      </c>
      <c r="L50" s="71">
        <v>0</v>
      </c>
      <c r="M50" s="71">
        <v>0</v>
      </c>
      <c r="N50" s="72">
        <v>0</v>
      </c>
      <c r="O50" s="66">
        <v>44317</v>
      </c>
    </row>
    <row r="51" spans="1:15" ht="24">
      <c r="A51" s="19">
        <v>49</v>
      </c>
      <c r="B51" s="58" t="s">
        <v>410</v>
      </c>
      <c r="C51" s="48">
        <v>0</v>
      </c>
      <c r="D51" s="42">
        <v>0</v>
      </c>
      <c r="E51" s="57">
        <v>0</v>
      </c>
      <c r="F51" s="42">
        <v>0</v>
      </c>
      <c r="G51" s="41">
        <v>0</v>
      </c>
      <c r="H51" s="40">
        <v>0</v>
      </c>
      <c r="I51" s="55">
        <v>0</v>
      </c>
      <c r="J51" s="40">
        <v>0</v>
      </c>
      <c r="K51" s="70">
        <v>0</v>
      </c>
      <c r="L51" s="71">
        <v>0</v>
      </c>
      <c r="M51" s="71">
        <v>0</v>
      </c>
      <c r="N51" s="72">
        <v>0</v>
      </c>
      <c r="O51" s="66">
        <v>44317</v>
      </c>
    </row>
    <row r="52" spans="1:15" ht="24">
      <c r="A52" s="19">
        <v>50</v>
      </c>
      <c r="B52" s="58" t="s">
        <v>397</v>
      </c>
      <c r="C52" s="48">
        <v>0</v>
      </c>
      <c r="D52" s="42">
        <v>0</v>
      </c>
      <c r="E52" s="57">
        <v>0</v>
      </c>
      <c r="F52" s="42">
        <v>0</v>
      </c>
      <c r="G52" s="41">
        <v>0</v>
      </c>
      <c r="H52" s="40">
        <v>0</v>
      </c>
      <c r="I52" s="55">
        <v>0</v>
      </c>
      <c r="J52" s="40">
        <v>0</v>
      </c>
      <c r="K52" s="70">
        <v>0</v>
      </c>
      <c r="L52" s="71">
        <v>0</v>
      </c>
      <c r="M52" s="71">
        <v>0</v>
      </c>
      <c r="N52" s="72">
        <v>0</v>
      </c>
      <c r="O52" s="66">
        <v>44317</v>
      </c>
    </row>
    <row r="53" spans="1:15" ht="24">
      <c r="A53" s="19">
        <v>51</v>
      </c>
      <c r="B53" s="58" t="s">
        <v>398</v>
      </c>
      <c r="C53" s="48">
        <v>0</v>
      </c>
      <c r="D53" s="42">
        <v>0</v>
      </c>
      <c r="E53" s="57">
        <v>0</v>
      </c>
      <c r="F53" s="42">
        <v>0</v>
      </c>
      <c r="G53" s="41">
        <v>0</v>
      </c>
      <c r="H53" s="40">
        <v>0</v>
      </c>
      <c r="I53" s="55">
        <v>0</v>
      </c>
      <c r="J53" s="40">
        <v>0</v>
      </c>
      <c r="K53" s="70">
        <v>0</v>
      </c>
      <c r="L53" s="71">
        <v>0</v>
      </c>
      <c r="M53" s="71">
        <v>0</v>
      </c>
      <c r="N53" s="72">
        <v>0</v>
      </c>
      <c r="O53" s="66">
        <v>44317</v>
      </c>
    </row>
    <row r="54" spans="1:15" ht="24">
      <c r="A54" s="19">
        <v>52</v>
      </c>
      <c r="B54" s="59" t="s">
        <v>455</v>
      </c>
      <c r="C54" s="60">
        <v>290</v>
      </c>
      <c r="D54" s="61">
        <v>0</v>
      </c>
      <c r="E54" s="62">
        <v>0</v>
      </c>
      <c r="F54" s="61">
        <v>0</v>
      </c>
      <c r="G54" s="41">
        <v>0</v>
      </c>
      <c r="H54" s="56">
        <v>0</v>
      </c>
      <c r="I54" s="41">
        <v>0</v>
      </c>
      <c r="J54" s="61">
        <v>0</v>
      </c>
      <c r="K54" s="70">
        <v>0</v>
      </c>
      <c r="L54" s="71">
        <v>0</v>
      </c>
      <c r="M54" s="71">
        <v>0</v>
      </c>
      <c r="N54" s="72">
        <v>2.1749999999999998</v>
      </c>
      <c r="O54" s="66">
        <v>44317</v>
      </c>
    </row>
    <row r="55" spans="1:15" ht="24">
      <c r="A55" s="19">
        <v>53</v>
      </c>
      <c r="B55" s="59" t="s">
        <v>399</v>
      </c>
      <c r="C55" s="60">
        <v>290</v>
      </c>
      <c r="D55" s="61">
        <v>428</v>
      </c>
      <c r="E55" s="62">
        <v>124.12</v>
      </c>
      <c r="F55" s="61">
        <v>493</v>
      </c>
      <c r="G55" s="41">
        <v>142.97</v>
      </c>
      <c r="H55" s="42">
        <v>632</v>
      </c>
      <c r="I55" s="41">
        <v>183.28</v>
      </c>
      <c r="J55" s="61">
        <v>289</v>
      </c>
      <c r="K55" s="70">
        <v>83.81</v>
      </c>
      <c r="L55" s="71">
        <v>1.0722750000000001</v>
      </c>
      <c r="M55" s="71">
        <v>1.3746</v>
      </c>
      <c r="N55" s="72">
        <v>2.1749999999999998</v>
      </c>
      <c r="O55" s="66">
        <v>44317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C23"/>
  <sheetViews>
    <sheetView workbookViewId="0">
      <selection activeCell="N21" sqref="N21"/>
    </sheetView>
  </sheetViews>
  <sheetFormatPr defaultColWidth="9" defaultRowHeight="15"/>
  <cols>
    <col min="2" max="2" width="32.85546875" customWidth="1"/>
    <col min="3" max="3" width="20.42578125" customWidth="1"/>
  </cols>
  <sheetData>
    <row r="1" spans="2:3">
      <c r="B1" s="1166" t="s">
        <v>472</v>
      </c>
      <c r="C1" s="1166"/>
    </row>
    <row r="2" spans="2:3">
      <c r="B2" s="3" t="s">
        <v>83</v>
      </c>
      <c r="C2" s="3" t="s">
        <v>473</v>
      </c>
    </row>
    <row r="3" spans="2:3">
      <c r="B3" s="3" t="s">
        <v>474</v>
      </c>
      <c r="C3" s="8">
        <f>+'EXCISE SALES DETAILS'!AT18/'EXCISE SALES DETAILS'!AV18</f>
        <v>7.7887685956850222E-6</v>
      </c>
    </row>
    <row r="4" spans="2:3">
      <c r="B4" s="3" t="s">
        <v>475</v>
      </c>
      <c r="C4" s="8" t="e">
        <f>+'EXCISE SALES DETAILS'!AT29/'EXCISE SALES DETAILS'!AV29</f>
        <v>#DIV/0!</v>
      </c>
    </row>
    <row r="5" spans="2:3">
      <c r="B5" s="3" t="s">
        <v>130</v>
      </c>
      <c r="C5" s="3">
        <f>+'EXCISE SALES DETAILS'!AT40/'EXCISE SALES DETAILS'!AV40</f>
        <v>7.6698512966233574E-6</v>
      </c>
    </row>
    <row r="6" spans="2:3">
      <c r="B6" s="3" t="s">
        <v>476</v>
      </c>
      <c r="C6" s="3" t="e">
        <f>+'EXCISE SALES DETAILS'!AT45/'EXCISE SALES DETAILS'!AV45</f>
        <v>#DIV/0!</v>
      </c>
    </row>
    <row r="7" spans="2:3">
      <c r="B7" s="3" t="s">
        <v>477</v>
      </c>
      <c r="C7" s="9">
        <f>+'EXCISE SALES DETAILS'!AT56/'EXCISE SALES DETAILS'!AV56</f>
        <v>7.6157402118698927E-6</v>
      </c>
    </row>
    <row r="8" spans="2:3">
      <c r="B8" s="3" t="s">
        <v>478</v>
      </c>
      <c r="C8" s="3" t="e">
        <f>+'EXCISE SALES DETAILS'!AT62/'EXCISE SALES DETAILS'!AV62</f>
        <v>#DIV/0!</v>
      </c>
    </row>
    <row r="9" spans="2:3">
      <c r="B9" s="3" t="s">
        <v>143</v>
      </c>
      <c r="C9" s="3">
        <f>+'EXCISE SALES DETAILS'!AT71/'EXCISE SALES DETAILS'!AV71</f>
        <v>7.6157401907176327E-6</v>
      </c>
    </row>
    <row r="10" spans="2:3">
      <c r="B10" s="3" t="s">
        <v>479</v>
      </c>
      <c r="C10" s="9" t="e">
        <f>+'EXCISE SALES DETAILS'!AT77/'EXCISE SALES DETAILS'!AV77</f>
        <v>#DIV/0!</v>
      </c>
    </row>
    <row r="11" spans="2:3">
      <c r="B11" s="3" t="s">
        <v>480</v>
      </c>
      <c r="C11" s="3" t="e">
        <f>+'EXCISE SALES DETAILS'!AT86/'EXCISE SALES DETAILS'!AV86</f>
        <v>#DIV/0!</v>
      </c>
    </row>
    <row r="12" spans="2:3">
      <c r="B12" s="3" t="s">
        <v>481</v>
      </c>
      <c r="C12" s="3" t="e">
        <f>+'EXCISE SALES DETAILS'!AT92/'EXCISE SALES DETAILS'!AV92</f>
        <v>#DIV/0!</v>
      </c>
    </row>
    <row r="13" spans="2:3">
      <c r="B13" s="10"/>
      <c r="C13" s="3"/>
    </row>
    <row r="14" spans="2:3">
      <c r="B14" s="10"/>
      <c r="C14" s="3"/>
    </row>
    <row r="15" spans="2:3">
      <c r="B15" s="10" t="s">
        <v>370</v>
      </c>
      <c r="C15" s="3">
        <f>+'EXCISE SALES DETAILS'!H32/'EXCISE SALES DETAILS'!M32</f>
        <v>7.1676379528566063E-6</v>
      </c>
    </row>
    <row r="16" spans="2:3">
      <c r="B16" s="10" t="s">
        <v>371</v>
      </c>
      <c r="C16" s="3">
        <f>+'EXCISE SALES DETAILS'!H52/'EXCISE SALES DETAILS'!M52</f>
        <v>6.7036105642554095E-6</v>
      </c>
    </row>
    <row r="17" spans="2:3" ht="15.75">
      <c r="B17" s="11" t="s">
        <v>482</v>
      </c>
      <c r="C17" s="3" t="e">
        <f>+'EXCISE SALES DETAILS'!H57/'EXCISE SALES DETAILS'!M57</f>
        <v>#DIV/0!</v>
      </c>
    </row>
    <row r="18" spans="2:3" ht="15.75">
      <c r="B18" s="11" t="s">
        <v>376</v>
      </c>
      <c r="C18" s="3">
        <f>+'EXCISE SALES DETAILS'!H70/'EXCISE SALES DETAILS'!M70</f>
        <v>6.6802591214537357E-6</v>
      </c>
    </row>
    <row r="19" spans="2:3" ht="15.75">
      <c r="B19" s="11" t="s">
        <v>379</v>
      </c>
      <c r="C19" s="3" t="e">
        <f>+'EXCISE SALES DETAILS'!H75/'EXCISE SALES DETAILS'!M75</f>
        <v>#DIV/0!</v>
      </c>
    </row>
    <row r="20" spans="2:3" ht="15.75">
      <c r="B20" s="12" t="s">
        <v>483</v>
      </c>
      <c r="C20" s="3" t="e">
        <f>+'EXCISE SALES DETAILS'!H81/'EXCISE SALES DETAILS'!M81</f>
        <v>#DIV/0!</v>
      </c>
    </row>
    <row r="21" spans="2:3" ht="15.75">
      <c r="B21" s="11" t="s">
        <v>484</v>
      </c>
      <c r="C21" s="3">
        <f>+'EXCISE SALES DETAILS'!H63*'EXCISE SALES DETAILS'!M63</f>
        <v>0</v>
      </c>
    </row>
    <row r="22" spans="2:3">
      <c r="B22" s="13" t="s">
        <v>485</v>
      </c>
      <c r="C22" s="3">
        <f>+'EXCISE SALES DETAILS'!AB94/'EXCISE SALES DETAILS'!AC94</f>
        <v>7.6059136319689941E-6</v>
      </c>
    </row>
    <row r="23" spans="2:3">
      <c r="B23" s="13"/>
      <c r="C23" s="3"/>
    </row>
  </sheetData>
  <mergeCells count="1">
    <mergeCell ref="B1:C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75DC-1046-481E-A36D-9C3623EA5A7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2:I19"/>
  <sheetViews>
    <sheetView workbookViewId="0">
      <selection activeCell="B2" sqref="B2:H19"/>
    </sheetView>
  </sheetViews>
  <sheetFormatPr defaultColWidth="9" defaultRowHeight="15"/>
  <cols>
    <col min="3" max="3" width="18.5703125" customWidth="1"/>
    <col min="4" max="5" width="11.28515625" customWidth="1"/>
    <col min="6" max="6" width="5.5703125" customWidth="1"/>
    <col min="7" max="8" width="20.28515625" customWidth="1"/>
  </cols>
  <sheetData>
    <row r="2" spans="2:9" ht="26.25">
      <c r="B2" s="858"/>
      <c r="C2" s="1167" t="s">
        <v>486</v>
      </c>
      <c r="D2" s="1168"/>
      <c r="E2" s="1168"/>
      <c r="F2" s="1168"/>
      <c r="G2" s="1168"/>
      <c r="H2" s="1169"/>
    </row>
    <row r="3" spans="2:9" ht="18.75">
      <c r="B3" s="859" t="s">
        <v>467</v>
      </c>
      <c r="C3" s="860" t="s">
        <v>487</v>
      </c>
      <c r="D3" s="860" t="s">
        <v>20</v>
      </c>
      <c r="E3" s="860" t="s">
        <v>84</v>
      </c>
      <c r="F3" s="860" t="s">
        <v>111</v>
      </c>
      <c r="G3" s="861" t="s">
        <v>488</v>
      </c>
      <c r="H3" s="862" t="s">
        <v>489</v>
      </c>
    </row>
    <row r="4" spans="2:9" ht="18.75">
      <c r="B4" s="859">
        <v>1</v>
      </c>
      <c r="C4" s="860" t="s">
        <v>490</v>
      </c>
      <c r="D4" s="867" t="s">
        <v>538</v>
      </c>
      <c r="E4" s="868">
        <v>6.96</v>
      </c>
      <c r="F4" s="867">
        <v>300</v>
      </c>
      <c r="G4" s="869"/>
      <c r="H4" s="864">
        <f t="shared" ref="H4:H8" si="0">+E4*F4+G4</f>
        <v>2088</v>
      </c>
    </row>
    <row r="5" spans="2:9" ht="18.75">
      <c r="B5" s="859">
        <v>2</v>
      </c>
      <c r="C5" s="860"/>
      <c r="D5" s="867"/>
      <c r="E5" s="868"/>
      <c r="F5" s="867"/>
      <c r="G5" s="869"/>
      <c r="H5" s="864">
        <f t="shared" si="0"/>
        <v>0</v>
      </c>
      <c r="I5" s="865"/>
    </row>
    <row r="6" spans="2:9" ht="18.75">
      <c r="B6" s="859">
        <v>3</v>
      </c>
      <c r="C6" s="860"/>
      <c r="D6" s="867"/>
      <c r="E6" s="868"/>
      <c r="F6" s="867">
        <v>300</v>
      </c>
      <c r="G6" s="869"/>
      <c r="H6" s="864">
        <f t="shared" si="0"/>
        <v>0</v>
      </c>
      <c r="I6" s="866"/>
    </row>
    <row r="7" spans="2:9" ht="18.75">
      <c r="B7" s="859">
        <v>4</v>
      </c>
      <c r="C7" s="860"/>
      <c r="D7" s="867"/>
      <c r="E7" s="868"/>
      <c r="F7" s="867">
        <v>200</v>
      </c>
      <c r="G7" s="869"/>
      <c r="H7" s="864">
        <f t="shared" si="0"/>
        <v>0</v>
      </c>
      <c r="I7" s="7"/>
    </row>
    <row r="8" spans="2:9" ht="18.75">
      <c r="B8" s="859">
        <v>5</v>
      </c>
      <c r="C8" s="860"/>
      <c r="D8" s="867"/>
      <c r="E8" s="868"/>
      <c r="F8" s="867">
        <v>200</v>
      </c>
      <c r="G8" s="869"/>
      <c r="H8" s="864">
        <f t="shared" si="0"/>
        <v>0</v>
      </c>
    </row>
    <row r="9" spans="2:9" ht="18.75">
      <c r="B9" s="859">
        <v>6</v>
      </c>
      <c r="C9" s="860"/>
      <c r="D9" s="867"/>
      <c r="E9" s="868"/>
      <c r="F9" s="867"/>
      <c r="G9" s="869"/>
      <c r="H9" s="864"/>
    </row>
    <row r="10" spans="2:9" ht="18.75">
      <c r="B10" s="859">
        <v>7</v>
      </c>
      <c r="C10" s="860"/>
      <c r="D10" s="867"/>
      <c r="E10" s="868"/>
      <c r="F10" s="867"/>
      <c r="G10" s="869"/>
      <c r="H10" s="864"/>
    </row>
    <row r="11" spans="2:9" ht="18.75">
      <c r="B11" s="859">
        <v>8</v>
      </c>
      <c r="C11" s="867"/>
      <c r="D11" s="860"/>
      <c r="E11" s="868"/>
      <c r="F11" s="867"/>
      <c r="G11" s="869"/>
      <c r="H11" s="864"/>
    </row>
    <row r="12" spans="2:9" ht="18.75">
      <c r="B12" s="859">
        <v>9</v>
      </c>
      <c r="C12" s="860"/>
      <c r="D12" s="860"/>
      <c r="E12" s="868"/>
      <c r="F12" s="867"/>
      <c r="G12" s="3"/>
      <c r="H12" s="862"/>
    </row>
    <row r="13" spans="2:9" ht="18.75">
      <c r="B13" s="859">
        <v>10</v>
      </c>
      <c r="C13" s="860"/>
      <c r="D13" s="863"/>
      <c r="E13" s="863"/>
      <c r="F13" s="860"/>
      <c r="G13" s="861"/>
      <c r="H13" s="864">
        <f>+E13*F13+G13</f>
        <v>0</v>
      </c>
    </row>
    <row r="14" spans="2:9" ht="18.75">
      <c r="B14" s="859">
        <v>11</v>
      </c>
      <c r="C14" s="860"/>
      <c r="D14" s="863"/>
      <c r="E14" s="863"/>
      <c r="F14" s="860"/>
      <c r="G14" s="869"/>
      <c r="H14" s="862"/>
      <c r="I14" s="7"/>
    </row>
    <row r="15" spans="2:9" ht="18.75">
      <c r="B15" s="870">
        <v>12</v>
      </c>
      <c r="C15" s="860"/>
      <c r="D15" s="860"/>
      <c r="E15" s="868"/>
      <c r="F15" s="867"/>
      <c r="G15" s="3"/>
      <c r="H15" s="862"/>
    </row>
    <row r="16" spans="2:9" ht="18.75">
      <c r="B16" s="870"/>
      <c r="C16" s="3"/>
      <c r="D16" s="3"/>
      <c r="E16" s="3"/>
      <c r="F16" s="3"/>
      <c r="G16" s="3"/>
      <c r="H16" s="3"/>
    </row>
    <row r="17" spans="2:8" ht="26.25">
      <c r="B17" s="1170" t="s">
        <v>10</v>
      </c>
      <c r="C17" s="1171"/>
      <c r="D17" s="1171"/>
      <c r="E17" s="1171"/>
      <c r="F17" s="1171"/>
      <c r="G17" s="1172"/>
      <c r="H17" s="871">
        <f>SUM(H4:H16)</f>
        <v>2088</v>
      </c>
    </row>
    <row r="18" spans="2:8" ht="26.25">
      <c r="B18" s="914"/>
      <c r="C18" s="872" t="s">
        <v>491</v>
      </c>
      <c r="D18" s="872"/>
      <c r="E18" s="873">
        <f>+H10+H12+H11+H13+H14+H15+H16</f>
        <v>0</v>
      </c>
      <c r="F18" s="874"/>
      <c r="G18" s="874"/>
      <c r="H18" s="875"/>
    </row>
    <row r="19" spans="2:8" ht="26.25">
      <c r="B19" s="914"/>
      <c r="C19" s="876" t="s">
        <v>492</v>
      </c>
      <c r="D19" s="876"/>
      <c r="E19" s="876">
        <f>+H4+H5+H6+H7+H8+H9</f>
        <v>2088</v>
      </c>
      <c r="F19" s="877"/>
      <c r="G19" s="877"/>
      <c r="H19" s="878"/>
    </row>
  </sheetData>
  <sheetProtection algorithmName="SHA-512" hashValue="WBpqfm9CoR22Ef6uZ4/mS9m1YXT7Mnvh7JMSrgrLtLQA/SQ22UzuTs9M2UoU32EpizsSEFPGvxQKzUShiOoRBg==" saltValue="VR7XEc6IuJM+aMhw2i4gCA==" spinCount="100000" sheet="1" objects="1" scenarios="1"/>
  <mergeCells count="2">
    <mergeCell ref="C2:H2"/>
    <mergeCell ref="B17:G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0" master="" otherUserPermission="visible"/>
  <rangeList sheetStid="4" master="" otherUserPermission="visible"/>
  <rangeList sheetStid="63" master="" otherUserPermission="visible"/>
  <rangeList sheetStid="46" master="" otherUserPermission="visible"/>
  <rangeList sheetStid="5" master="" otherUserPermission="visible"/>
  <rangeList sheetStid="44" master="" otherUserPermission="visible"/>
  <rangeList sheetStid="45" master="" otherUserPermission="visible"/>
  <rangeList sheetStid="62" master="" otherUserPermission="visible"/>
  <rangeList sheetStid="61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  <rangeList sheetStid="24" master="" otherUserPermission="visible"/>
  <rangeList sheetStid="11" master="" otherUserPermission="visible"/>
  <rangeList sheetStid="12" master="" otherUserPermission="visible"/>
  <rangeList sheetStid="13" master="" otherUserPermission="visible"/>
  <rangeList sheetStid="14" master="" otherUserPermission="visible"/>
  <rangeList sheetStid="15" master="" otherUserPermission="visible"/>
  <rangeList sheetStid="17" master="" otherUserPermission="visible"/>
  <rangeList sheetStid="18" master="" otherUserPermission="visible"/>
  <rangeList sheetStid="19" master="" otherUserPermission="visible"/>
  <rangeList sheetStid="25" master="" otherUserPermission="visible"/>
  <rangeList sheetStid="26" master="" otherUserPermission="visible"/>
  <rangeList sheetStid="56" master="" otherUserPermission="visible"/>
  <rangeList sheetStid="55" master="" otherUserPermission="visible"/>
  <rangeList sheetStid="60" master="" otherUserPermission="visible"/>
  <rangeList sheetStid="27" master="" otherUserPermission="visible"/>
  <rangeList sheetStid="29" master="" otherUserPermission="visible"/>
  <rangeList sheetStid="31" master="" otherUserPermission="visible"/>
  <rangeList sheetStid="32" master="" otherUserPermission="visible"/>
  <rangeList sheetStid="35" master="" otherUserPermission="visible"/>
  <rangeList sheetStid="37" master="" otherUserPermission="visible"/>
  <rangeList sheetStid="38" master="" otherUserPermission="visible"/>
  <rangeList sheetStid="59" master="" otherUserPermission="visible"/>
  <rangeList sheetStid="48" master="" otherUserPermission="visible"/>
  <rangeList sheetStid="52" master="" otherUserPermission="visible"/>
  <rangeList sheetStid="49" master="" otherUserPermission="visible"/>
  <rangeList sheetStid="53" master="" otherUserPermission="visible"/>
  <rangeList sheetStid="5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39-6-OZ</vt:lpstr>
      <vt:lpstr>20 X10 </vt:lpstr>
      <vt:lpstr>38-8.12-OZ </vt:lpstr>
      <vt:lpstr>44-8.12 OZ (2)</vt:lpstr>
      <vt:lpstr>44-8.12 OZ</vt:lpstr>
      <vt:lpstr>40-4.5-OZ</vt:lpstr>
      <vt:lpstr>36-4.05 OZ</vt:lpstr>
      <vt:lpstr>34-9.82</vt:lpstr>
      <vt:lpstr>44-5 OZ (2)</vt:lpstr>
      <vt:lpstr>44-5 OZ</vt:lpstr>
      <vt:lpstr>54-6.5</vt:lpstr>
      <vt:lpstr>44-7.15 </vt:lpstr>
      <vt:lpstr>48-8.4-OZ  </vt:lpstr>
      <vt:lpstr>40-6.5</vt:lpstr>
      <vt:lpstr>51-11.36-OZ </vt:lpstr>
      <vt:lpstr>48-7.80 EXP</vt:lpstr>
      <vt:lpstr>40-5-OZ-EXP</vt:lpstr>
      <vt:lpstr>EXPORT </vt:lpstr>
      <vt:lpstr>48-6 EXPORT</vt:lpstr>
      <vt:lpstr>TYPE A GOV</vt:lpstr>
      <vt:lpstr>767 GMS 500 PCS</vt:lpstr>
      <vt:lpstr>EXCISE SALES DETAILS</vt:lpstr>
      <vt:lpstr>JCIR</vt:lpstr>
      <vt:lpstr>GROSS</vt:lpstr>
      <vt:lpstr>DSA HESS</vt:lpstr>
      <vt:lpstr>DSA SKG</vt:lpstr>
      <vt:lpstr>PRD</vt:lpstr>
      <vt:lpstr>MTOY</vt:lpstr>
      <vt:lpstr>YEARLY</vt:lpstr>
      <vt:lpstr>51 X51 LENO</vt:lpstr>
      <vt:lpstr>EXPORT 100FT</vt:lpstr>
      <vt:lpstr>EXPORT 30 FT)</vt:lpstr>
      <vt:lpstr>JUTE LENO</vt:lpstr>
      <vt:lpstr>JUCO</vt:lpstr>
      <vt:lpstr>BLEACH</vt:lpstr>
      <vt:lpstr>YARN</vt:lpstr>
      <vt:lpstr>MONTHLY </vt:lpstr>
      <vt:lpstr>YEARLY WISE</vt:lpstr>
      <vt:lpstr>yearly sum</vt:lpstr>
      <vt:lpstr>DATASHEET</vt:lpstr>
      <vt:lpstr>Sheet1</vt:lpstr>
      <vt:lpstr>Sheet4</vt:lpstr>
      <vt:lpstr>Sheet2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EJM</dc:creator>
  <cp:lastModifiedBy>Lenovo</cp:lastModifiedBy>
  <cp:lastPrinted>2025-12-31T12:28:59Z</cp:lastPrinted>
  <dcterms:created xsi:type="dcterms:W3CDTF">2019-06-03T06:48:00Z</dcterms:created>
  <dcterms:modified xsi:type="dcterms:W3CDTF">2026-01-12T06:05:13Z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E79E3BB6DC984F92822BB48AE0C14360_12</vt:lpwstr>
  </property>
  <property fmtid="{D5CDD505-2E9C-101B-9397-08002B2CF9AE}" pid="3" name="KSOProductBuildVer">
    <vt:lpwstr>1033-12.2.0.18911</vt:lpwstr>
  </property>
</Properties>
</file>